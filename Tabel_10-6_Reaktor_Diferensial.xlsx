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Grafik" sheetId="2" state="visible" r:id="rId4"/>
    <sheet name="Perhitungan" sheetId="3" state="visible" r:id="rId5"/>
    <sheet name="Plot Regres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<sst xmlns="http://schemas.openxmlformats.org/spreadsheetml/2006/main" count="101" uniqueCount="71">
  <si>
    <t xml:space="preserve">Tabel 10-6. Data dari Reaktor Diferensial (Hidrodemetilasi Toluena)</t>
  </si>
  <si>
    <t xml:space="preserve">Set</t>
  </si>
  <si>
    <t xml:space="preserve">Run</t>
  </si>
  <si>
    <t xml:space="preserve">r'T × 10^10
(g mol toluena / g kat·s)</t>
  </si>
  <si>
    <t xml:space="preserve">Toluena, PT
(atm)</t>
  </si>
  <si>
    <t xml:space="preserve">Hidrogen, PH2
(atm)</t>
  </si>
  <si>
    <t xml:space="preserve">Metana, PM
(atm)</t>
  </si>
  <si>
    <t xml:space="preserve">Benzena, PB
(atm)</t>
  </si>
  <si>
    <t xml:space="preserve">A</t>
  </si>
  <si>
    <t xml:space="preserve">B</t>
  </si>
  <si>
    <t xml:space="preserve">C</t>
  </si>
  <si>
    <t xml:space="preserve">D</t>
  </si>
  <si>
    <t xml:space="preserve">Catatan: PH ≡ PH2. Semua nilai diketik ulang dari gambar Tabel 10-6 yang diberikan pengguna (teks biru = data input).</t>
  </si>
  <si>
    <t xml:space="preserve">Run 16 (Set D) memiliki PM = 1 dan PB = 1, sehingga tidak diikutkan dalam grafik r'T vs PT.</t>
  </si>
  <si>
    <t xml:space="preserve">Grafik Laju Reaksi r'T × 10^10 terhadap Tekanan Parsial</t>
  </si>
  <si>
    <t xml:space="preserve">Tabel bantu di kolom A–C mengambil nilai dari sheet Data (teks hijau = link antar-sheet).</t>
  </si>
  <si>
    <t xml:space="preserve">Set A — pengaruh metana</t>
  </si>
  <si>
    <t xml:space="preserve">PM (atm)</t>
  </si>
  <si>
    <t xml:space="preserve">r'T × 10^10</t>
  </si>
  <si>
    <t xml:space="preserve">Set B — pengaruh benzena (PM = 0)</t>
  </si>
  <si>
    <t xml:space="preserve">PB (atm)</t>
  </si>
  <si>
    <t xml:space="preserve">Set B — PM = 1</t>
  </si>
  <si>
    <t xml:space="preserve">Set C — pengaruh hidrogen</t>
  </si>
  <si>
    <t xml:space="preserve">PH2 (atm)</t>
  </si>
  <si>
    <t xml:space="preserve">Set D — pengaruh toluena</t>
  </si>
  <si>
    <t xml:space="preserve">PT (atm)</t>
  </si>
  <si>
    <t xml:space="preserve">Perhitungan Regresi Linear Berganda</t>
  </si>
  <si>
    <t xml:space="preserve">Model: -r'T = k·PH2·PT / (1 + KB·PB + KT·PT)  →  y = PH2·PT/(-r'T) = 1/k + (KB/k)·PB + (KT/k)·PT = a0 + a1·x1 + a2·x2</t>
  </si>
  <si>
    <t xml:space="preserve">-r'T dipakai sesuai tabel (nilai × 10^10). Metana tidak dimasukkan ke model karena Set A menunjukkan PM tidak berpengaruh. Teks hijau = link ke sheet Data.</t>
  </si>
  <si>
    <t xml:space="preserve">PH2
(atm)</t>
  </si>
  <si>
    <t xml:space="preserve">PT
(atm)</t>
  </si>
  <si>
    <t xml:space="preserve">-r'T × 10^10</t>
  </si>
  <si>
    <t xml:space="preserve">y = PH2·PT/(-rT)</t>
  </si>
  <si>
    <t xml:space="preserve">x1 = PB</t>
  </si>
  <si>
    <t xml:space="preserve">x2 = PT</t>
  </si>
  <si>
    <t xml:space="preserve">x1·y</t>
  </si>
  <si>
    <t xml:space="preserve">x2·y</t>
  </si>
  <si>
    <t xml:space="preserve">x1·x2</t>
  </si>
  <si>
    <t xml:space="preserve">x1²</t>
  </si>
  <si>
    <t xml:space="preserve">x2²</t>
  </si>
  <si>
    <t xml:space="preserve">ŷ = a0 + a1·x1 + a2·x2</t>
  </si>
  <si>
    <t xml:space="preserve">Residual
y − ŷ</t>
  </si>
  <si>
    <t xml:space="preserve">Σ</t>
  </si>
  <si>
    <t xml:space="preserve">n =</t>
  </si>
  <si>
    <t xml:space="preserve">Persamaan normal (Cramer):  [A]·[a0; a1; a2] = [b]</t>
  </si>
  <si>
    <t xml:space="preserve">Matriks A</t>
  </si>
  <si>
    <t xml:space="preserve">Vektor b</t>
  </si>
  <si>
    <t xml:space="preserve">A0 (kolom 1 diganti b)</t>
  </si>
  <si>
    <t xml:space="preserve">A1 (kolom 2 diganti b)</t>
  </si>
  <si>
    <t xml:space="preserve">A2 (kolom 3 diganti b)</t>
  </si>
  <si>
    <t xml:space="preserve">Hasil</t>
  </si>
  <si>
    <t xml:space="preserve">det A</t>
  </si>
  <si>
    <t xml:space="preserve">a0 = 1/k</t>
  </si>
  <si>
    <t xml:space="preserve">a1 = KB/k</t>
  </si>
  <si>
    <t xml:space="preserve">a2 = KT/k</t>
  </si>
  <si>
    <t xml:space="preserve">k (× 10^10)</t>
  </si>
  <si>
    <t xml:space="preserve">k (g mol/g kat·s·atm²)</t>
  </si>
  <si>
    <t xml:space="preserve">KB (atm⁻¹)</t>
  </si>
  <si>
    <t xml:space="preserve">KT (atm⁻¹)</t>
  </si>
  <si>
    <t xml:space="preserve">SSE = Σ(y − ŷ)²</t>
  </si>
  <si>
    <t xml:space="preserve">SST = Σ(y − ȳ)²</t>
  </si>
  <si>
    <t xml:space="preserve">R² = 1 − SSE/SST</t>
  </si>
  <si>
    <t xml:space="preserve">Persamaan hasil regresi:</t>
  </si>
  <si>
    <t xml:space="preserve">Plot Regresi: y = a0 + a1·x1 + a2·x2</t>
  </si>
  <si>
    <t xml:space="preserve">Tabel bantu mengambil nilai dari sheet Perhitungan (teks hijau = link antar-sheet).</t>
  </si>
  <si>
    <t xml:space="preserve">1) y data vs ŷ model (semua run)</t>
  </si>
  <si>
    <t xml:space="preserve">ŷ model</t>
  </si>
  <si>
    <t xml:space="preserve">y data</t>
  </si>
  <si>
    <t xml:space="preserve">Garis y = ŷ</t>
  </si>
  <si>
    <t xml:space="preserve">2) y vs x2 = PT (x1 = PB = 0, Set D)</t>
  </si>
  <si>
    <t xml:space="preserve">3) y vs x1 = PB (x2 = PT = 1, PM = 0)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</si>
</sst>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"/>
    <numFmt numFmtId="166" formatCode="0.0#"/>
    <numFmt numFmtId="167" formatCode="General"/>
    <numFmt numFmtId="168" formatCode="0"/>
    <numFmt numFmtId="169" formatCode="0.00000"/>
    <numFmt numFmtId="170" formatCode="0.0000"/>
    <numFmt numFmtId="171" formatCode="0.000000"/>
    <numFmt numFmtId="172" formatCode="0.00"/>
    <numFmt numFmtId="173" formatCode="0.00E+00"/>
    <numFmt numFmtId="174" formatCode="0.000"/>
    <numFmt numFmtId="175" formatCode="0.000E+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4EE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DE4EE"/>
      <rgbColor rgb="FF660066"/>
      <rgbColor rgb="FFE8833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6FDB"/>
      <rgbColor rgb="FF33CCCC"/>
      <rgbColor rgb="FF99CC00"/>
      <rgbColor rgb="FFFFCC00"/>
      <rgbColor rgb="FFFF9900"/>
      <rgbColor rgb="FFFF6600"/>
      <rgbColor rgb="FF888888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Set A: r'T vs PM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"Set A"</c:f>
              <c:strCache>
                <c:ptCount val="1"/>
                <c:pt idx="0">
                  <c:v>Set A</c:v>
                </c:pt>
              </c:strCache>
            </c:strRef>
          </c:tx>
          <c:spPr>
            <a:solidFill>
              <a:srgbClr val="2a6fdb"/>
            </a:solidFill>
            <a:ln w="21960">
              <a:solidFill>
                <a:srgbClr val="2a6fdb"/>
              </a:solidFill>
              <a:round/>
            </a:ln>
          </c:spPr>
          <c:marker>
            <c:symbol val="circle"/>
            <c:size val="8"/>
            <c:spPr>
              <a:solidFill>
                <a:srgbClr val="2a6fd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Grafik!$B$6:$B$7</c:f>
              <c:numCache>
                <c:formatCode>0.0#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xVal>
          <c:yVal>
            <c:numRef>
              <c:f>Grafik!$C$6:$C$7</c:f>
              <c:numCache>
                <c:formatCode>0.0</c:formatCode>
                <c:ptCount val="2"/>
                <c:pt idx="0">
                  <c:v>71</c:v>
                </c:pt>
                <c:pt idx="1">
                  <c:v>71.3</c:v>
                </c:pt>
              </c:numCache>
            </c:numRef>
          </c:yVal>
          <c:smooth val="0"/>
        </c:ser>
        <c:axId val="1326939"/>
        <c:axId val="25140594"/>
      </c:scatterChart>
      <c:valAx>
        <c:axId val="1326939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PM (atm)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#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40594"/>
        <c:crosses val="autoZero"/>
        <c:crossBetween val="midCat"/>
      </c:valAx>
      <c:valAx>
        <c:axId val="2514059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r'T × 10^10 (g mol/g kat·s)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693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Set B: r'T vs PB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"PM = 0 (Run 3, 4, 6)"</c:f>
              <c:strCache>
                <c:ptCount val="1"/>
                <c:pt idx="0">
                  <c:v>PM = 0 (Run 3, 4, 6)</c:v>
                </c:pt>
              </c:strCache>
            </c:strRef>
          </c:tx>
          <c:spPr>
            <a:solidFill>
              <a:srgbClr val="2a6fdb"/>
            </a:solidFill>
            <a:ln w="21960">
              <a:solidFill>
                <a:srgbClr val="2a6fdb"/>
              </a:solidFill>
              <a:round/>
            </a:ln>
          </c:spPr>
          <c:marker>
            <c:symbol val="circle"/>
            <c:size val="8"/>
            <c:spPr>
              <a:solidFill>
                <a:srgbClr val="2a6fd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Grafik!$B$22:$B$24</c:f>
              <c:numCache>
                <c:formatCode>0.0#</c:formatCode>
                <c:ptCount val="3"/>
                <c:pt idx="0">
                  <c:v>1</c:v>
                </c:pt>
                <c:pt idx="1">
                  <c:v>4</c:v>
                </c:pt>
                <c:pt idx="2">
                  <c:v>5</c:v>
                </c:pt>
              </c:numCache>
            </c:numRef>
          </c:xVal>
          <c:yVal>
            <c:numRef>
              <c:f>Grafik!$C$22:$C$24</c:f>
              <c:numCache>
                <c:formatCode>0.0</c:formatCode>
                <c:ptCount val="3"/>
                <c:pt idx="0">
                  <c:v>41.6</c:v>
                </c:pt>
                <c:pt idx="1">
                  <c:v>19.7</c:v>
                </c:pt>
                <c:pt idx="2">
                  <c:v>17.1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"PM = 1 (Run 5)"</c:f>
              <c:strCache>
                <c:ptCount val="1"/>
                <c:pt idx="0">
                  <c:v>PM = 1 (Run 5)</c:v>
                </c:pt>
              </c:strCache>
            </c:strRef>
          </c:tx>
          <c:spPr>
            <a:solidFill>
              <a:srgbClr val="e8833a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e8833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Grafik!$B$28</c:f>
              <c:numCache>
                <c:formatCode>0.0#</c:formatCode>
                <c:ptCount val="1"/>
                <c:pt idx="0">
                  <c:v>1</c:v>
                </c:pt>
              </c:numCache>
            </c:numRef>
          </c:xVal>
          <c:yVal>
            <c:numRef>
              <c:f>Grafik!$C$28</c:f>
              <c:numCache>
                <c:formatCode>0.0</c:formatCode>
                <c:ptCount val="1"/>
                <c:pt idx="0">
                  <c:v>42</c:v>
                </c:pt>
              </c:numCache>
            </c:numRef>
          </c:yVal>
          <c:smooth val="0"/>
        </c:ser>
        <c:axId val="11637463"/>
        <c:axId val="47213593"/>
      </c:scatterChart>
      <c:valAx>
        <c:axId val="11637463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PB (atm)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#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13593"/>
        <c:crosses val="autoZero"/>
        <c:crossBetween val="midCat"/>
      </c:valAx>
      <c:valAx>
        <c:axId val="4721359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r'T × 10^10 (g mol/g kat·s)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3746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Set C: r'T vs PH2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"Set C"</c:f>
              <c:strCache>
                <c:ptCount val="1"/>
                <c:pt idx="0">
                  <c:v>Set C</c:v>
                </c:pt>
              </c:strCache>
            </c:strRef>
          </c:tx>
          <c:spPr>
            <a:solidFill>
              <a:srgbClr val="2a6fdb"/>
            </a:solidFill>
            <a:ln w="21960">
              <a:solidFill>
                <a:srgbClr val="2a6fdb"/>
              </a:solidFill>
              <a:round/>
            </a:ln>
          </c:spPr>
          <c:marker>
            <c:symbol val="circle"/>
            <c:size val="8"/>
            <c:spPr>
              <a:solidFill>
                <a:srgbClr val="2a6fd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Grafik!$B$42:$B$44</c:f>
              <c:numCache>
                <c:formatCode>0.0#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Grafik!$C$42:$C$44</c:f>
              <c:numCache>
                <c:formatCode>0.0</c:formatCode>
                <c:ptCount val="3"/>
                <c:pt idx="0">
                  <c:v>71.8</c:v>
                </c:pt>
                <c:pt idx="1">
                  <c:v>142</c:v>
                </c:pt>
                <c:pt idx="2">
                  <c:v>284</c:v>
                </c:pt>
              </c:numCache>
            </c:numRef>
          </c:yVal>
          <c:smooth val="0"/>
        </c:ser>
        <c:axId val="82038874"/>
        <c:axId val="50306150"/>
      </c:scatterChart>
      <c:valAx>
        <c:axId val="82038874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PH2 (atm)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#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06150"/>
        <c:crosses val="autoZero"/>
        <c:crossBetween val="midCat"/>
      </c:valAx>
      <c:valAx>
        <c:axId val="5030615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r'T × 10^10 (g mol/g kat·s)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3887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Set D: r'T vs PT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"Set D"</c:f>
              <c:strCache>
                <c:ptCount val="1"/>
                <c:pt idx="0">
                  <c:v>Set D</c:v>
                </c:pt>
              </c:strCache>
            </c:strRef>
          </c:tx>
          <c:spPr>
            <a:solidFill>
              <a:srgbClr val="2a6fdb"/>
            </a:solidFill>
            <a:ln w="21960">
              <a:solidFill>
                <a:srgbClr val="2a6fdb"/>
              </a:solidFill>
              <a:round/>
            </a:ln>
          </c:spPr>
          <c:marker>
            <c:symbol val="circle"/>
            <c:size val="8"/>
            <c:spPr>
              <a:solidFill>
                <a:srgbClr val="2a6fd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Grafik!$B$58:$B$63</c:f>
              <c:numCache>
                <c:formatCode>0.0#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xVal>
          <c:yVal>
            <c:numRef>
              <c:f>Grafik!$C$58:$C$63</c:f>
              <c:numCache>
                <c:formatCode>0.0</c:formatCode>
                <c:ptCount val="6"/>
                <c:pt idx="0">
                  <c:v>47</c:v>
                </c:pt>
                <c:pt idx="1">
                  <c:v>71.3</c:v>
                </c:pt>
                <c:pt idx="2">
                  <c:v>117</c:v>
                </c:pt>
                <c:pt idx="3">
                  <c:v>127</c:v>
                </c:pt>
                <c:pt idx="4">
                  <c:v>131</c:v>
                </c:pt>
                <c:pt idx="5">
                  <c:v>133</c:v>
                </c:pt>
              </c:numCache>
            </c:numRef>
          </c:yVal>
          <c:smooth val="0"/>
        </c:ser>
        <c:axId val="80747851"/>
        <c:axId val="81129484"/>
      </c:scatterChart>
      <c:valAx>
        <c:axId val="80747851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PT (atm)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#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29484"/>
        <c:crosses val="autoZero"/>
        <c:crossBetween val="midCat"/>
      </c:valAx>
      <c:valAx>
        <c:axId val="8112948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r'T × 10^10 (g mol/g kat·s)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4785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 data vs ŷ model (parity plot)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"Data (Run 1–16)"</c:f>
              <c:strCache>
                <c:ptCount val="1"/>
                <c:pt idx="0">
                  <c:v>Data (Run 1–16)</c:v>
                </c:pt>
              </c:strCache>
            </c:strRef>
          </c:tx>
          <c:spPr>
            <a:solidFill>
              <a:srgbClr val="2a6fdb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2a6fd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'Plot Regresi'!$B$7:$B$22</c:f>
              <c:numCache>
                <c:formatCode>0.00000</c:formatCode>
                <c:ptCount val="16"/>
                <c:pt idx="0">
                  <c:v>0.0142795150829522</c:v>
                </c:pt>
                <c:pt idx="1">
                  <c:v>0.0142795150829522</c:v>
                </c:pt>
                <c:pt idx="2">
                  <c:v>0.0232763467971916</c:v>
                </c:pt>
                <c:pt idx="3">
                  <c:v>0.0502668419399101</c:v>
                </c:pt>
                <c:pt idx="4">
                  <c:v>0.0232763467971916</c:v>
                </c:pt>
                <c:pt idx="5">
                  <c:v>0.0592636736541496</c:v>
                </c:pt>
                <c:pt idx="6">
                  <c:v>0.0142795150829522</c:v>
                </c:pt>
                <c:pt idx="7">
                  <c:v>0.0142795150829522</c:v>
                </c:pt>
                <c:pt idx="8">
                  <c:v>0.0142795150829522</c:v>
                </c:pt>
                <c:pt idx="9">
                  <c:v>0.0106992622779771</c:v>
                </c:pt>
                <c:pt idx="10">
                  <c:v>0.0142795150829522</c:v>
                </c:pt>
                <c:pt idx="11">
                  <c:v>0.0429215375227527</c:v>
                </c:pt>
                <c:pt idx="12">
                  <c:v>0.0787240655725033</c:v>
                </c:pt>
                <c:pt idx="13">
                  <c:v>0.114526593622254</c:v>
                </c:pt>
                <c:pt idx="14">
                  <c:v>0.150329121672005</c:v>
                </c:pt>
                <c:pt idx="15">
                  <c:v>0.0232763467971916</c:v>
                </c:pt>
              </c:numCache>
            </c:numRef>
          </c:xVal>
          <c:yVal>
            <c:numRef>
              <c:f>'Plot Regresi'!$C$7:$C$22</c:f>
              <c:numCache>
                <c:formatCode>0.00000</c:formatCode>
                <c:ptCount val="16"/>
                <c:pt idx="0">
                  <c:v>0.0140845070422535</c:v>
                </c:pt>
                <c:pt idx="1">
                  <c:v>0.0140252454417952</c:v>
                </c:pt>
                <c:pt idx="2">
                  <c:v>0.0240384615384615</c:v>
                </c:pt>
                <c:pt idx="3">
                  <c:v>0.050761421319797</c:v>
                </c:pt>
                <c:pt idx="4">
                  <c:v>0.0238095238095238</c:v>
                </c:pt>
                <c:pt idx="5">
                  <c:v>0.0584795321637427</c:v>
                </c:pt>
                <c:pt idx="6">
                  <c:v>0.0139275766016713</c:v>
                </c:pt>
                <c:pt idx="7">
                  <c:v>0.0140845070422535</c:v>
                </c:pt>
                <c:pt idx="8">
                  <c:v>0.0140845070422535</c:v>
                </c:pt>
                <c:pt idx="9">
                  <c:v>0.0106382978723404</c:v>
                </c:pt>
                <c:pt idx="10">
                  <c:v>0.0140252454417952</c:v>
                </c:pt>
                <c:pt idx="11">
                  <c:v>0.0427350427350427</c:v>
                </c:pt>
                <c:pt idx="12">
                  <c:v>0.078740157480315</c:v>
                </c:pt>
                <c:pt idx="13">
                  <c:v>0.114503816793893</c:v>
                </c:pt>
                <c:pt idx="14">
                  <c:v>0.150375939849624</c:v>
                </c:pt>
                <c:pt idx="15">
                  <c:v>0.0239234449760766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"Garis y = ŷ"</c:f>
              <c:strCache>
                <c:ptCount val="1"/>
                <c:pt idx="0">
                  <c:v>Garis y = ŷ</c:v>
                </c:pt>
              </c:strCache>
            </c:strRef>
          </c:tx>
          <c:spPr>
            <a:solidFill>
              <a:srgbClr val="888888"/>
            </a:solidFill>
            <a:ln w="21960">
              <a:solidFill>
                <a:srgbClr val="88888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'Plot Regresi'!$B$25:$B$26</c:f>
              <c:numCache>
                <c:formatCode>0.00000</c:formatCode>
                <c:ptCount val="2"/>
                <c:pt idx="0">
                  <c:v>0</c:v>
                </c:pt>
                <c:pt idx="1">
                  <c:v>0.157894736842105</c:v>
                </c:pt>
              </c:numCache>
            </c:numRef>
          </c:xVal>
          <c:yVal>
            <c:numRef>
              <c:f>'Plot Regresi'!$C$25:$C$26</c:f>
              <c:numCache>
                <c:formatCode>0.00000</c:formatCode>
                <c:ptCount val="2"/>
                <c:pt idx="0">
                  <c:v>0</c:v>
                </c:pt>
                <c:pt idx="1">
                  <c:v>0.157894736842105</c:v>
                </c:pt>
              </c:numCache>
            </c:numRef>
          </c:yVal>
          <c:smooth val="0"/>
        </c:ser>
        <c:axId val="12120149"/>
        <c:axId val="68585837"/>
      </c:scatterChart>
      <c:valAx>
        <c:axId val="12120149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ŷ = a0 + a1·x1 + a2·x2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85837"/>
        <c:crosses val="autoZero"/>
        <c:crossBetween val="midCat"/>
      </c:valAx>
      <c:valAx>
        <c:axId val="6858583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 = PH2·PT/(-r'T)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2014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 vs x2 (PB = 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"Data Set D (Run 10–15)"</c:f>
              <c:strCache>
                <c:ptCount val="1"/>
                <c:pt idx="0">
                  <c:v>Data Set D (Run 10–15)</c:v>
                </c:pt>
              </c:strCache>
            </c:strRef>
          </c:tx>
          <c:spPr>
            <a:solidFill>
              <a:srgbClr val="2a6fdb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2a6fd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'Plot Regresi'!$A$31:$A$36</c:f>
              <c:numCache>
                <c:formatCode>0.0#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xVal>
          <c:yVal>
            <c:numRef>
              <c:f>'Plot Regresi'!$B$31:$B$36</c:f>
              <c:numCache>
                <c:formatCode>0.00000</c:formatCode>
                <c:ptCount val="6"/>
                <c:pt idx="0">
                  <c:v>0.0106382978723404</c:v>
                </c:pt>
                <c:pt idx="1">
                  <c:v>0.0140252454417952</c:v>
                </c:pt>
                <c:pt idx="2">
                  <c:v>0.0427350427350427</c:v>
                </c:pt>
                <c:pt idx="3">
                  <c:v>0.078740157480315</c:v>
                </c:pt>
                <c:pt idx="4">
                  <c:v>0.114503816793893</c:v>
                </c:pt>
                <c:pt idx="5">
                  <c:v>0.150375939849624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"Model: ŷ = a0 + a2·x2"</c:f>
              <c:strCache>
                <c:ptCount val="1"/>
                <c:pt idx="0">
                  <c:v>Model: ŷ = a0 + a2·x2</c:v>
                </c:pt>
              </c:strCache>
            </c:strRef>
          </c:tx>
          <c:spPr>
            <a:solidFill>
              <a:srgbClr val="e8833a"/>
            </a:solidFill>
            <a:ln w="21960">
              <a:solidFill>
                <a:srgbClr val="e883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'Plot Regresi'!$A$31:$A$36</c:f>
              <c:numCache>
                <c:formatCode>0.0#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xVal>
          <c:yVal>
            <c:numRef>
              <c:f>'Plot Regresi'!$C$31:$C$36</c:f>
              <c:numCache>
                <c:formatCode>0.00000</c:formatCode>
                <c:ptCount val="6"/>
                <c:pt idx="0">
                  <c:v>0.0106992622779771</c:v>
                </c:pt>
                <c:pt idx="1">
                  <c:v>0.0142795150829522</c:v>
                </c:pt>
                <c:pt idx="2">
                  <c:v>0.0429215375227527</c:v>
                </c:pt>
                <c:pt idx="3">
                  <c:v>0.0787240655725033</c:v>
                </c:pt>
                <c:pt idx="4">
                  <c:v>0.114526593622254</c:v>
                </c:pt>
                <c:pt idx="5">
                  <c:v>0.150329121672005</c:v>
                </c:pt>
              </c:numCache>
            </c:numRef>
          </c:yVal>
          <c:smooth val="0"/>
        </c:ser>
        <c:axId val="30879269"/>
        <c:axId val="95176001"/>
      </c:scatterChart>
      <c:valAx>
        <c:axId val="30879269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x2 = PT (atm)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#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76001"/>
        <c:crosses val="autoZero"/>
        <c:crossBetween val="midCat"/>
      </c:valAx>
      <c:valAx>
        <c:axId val="9517600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 = PH2·PT/(-r'T)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7926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 vs x1 (PT = 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"Data Run 7, 3, 4, 6"</c:f>
              <c:strCache>
                <c:ptCount val="1"/>
                <c:pt idx="0">
                  <c:v>Data Run 7, 3, 4, 6</c:v>
                </c:pt>
              </c:strCache>
            </c:strRef>
          </c:tx>
          <c:spPr>
            <a:solidFill>
              <a:srgbClr val="2a6fdb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2a6fd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'Plot Regresi'!$A$41:$A$44</c:f>
              <c:numCache>
                <c:formatCode>0.0#</c:formatCode>
                <c:ptCount val="4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'Plot Regresi'!$B$41:$B$44</c:f>
              <c:numCache>
                <c:formatCode>0.00000</c:formatCode>
                <c:ptCount val="4"/>
                <c:pt idx="0">
                  <c:v>0.0139275766016713</c:v>
                </c:pt>
                <c:pt idx="1">
                  <c:v>0.0240384615384615</c:v>
                </c:pt>
                <c:pt idx="2">
                  <c:v>0.050761421319797</c:v>
                </c:pt>
                <c:pt idx="3">
                  <c:v>0.0584795321637427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"Model: ŷ = (a0 + a2) + a1·x1"</c:f>
              <c:strCache>
                <c:ptCount val="1"/>
                <c:pt idx="0">
                  <c:v>Model: ŷ = (a0 + a2) + a1·x1</c:v>
                </c:pt>
              </c:strCache>
            </c:strRef>
          </c:tx>
          <c:spPr>
            <a:solidFill>
              <a:srgbClr val="e8833a"/>
            </a:solidFill>
            <a:ln w="21960">
              <a:solidFill>
                <a:srgbClr val="e883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'Plot Regresi'!$A$41:$A$44</c:f>
              <c:numCache>
                <c:formatCode>0.0#</c:formatCode>
                <c:ptCount val="4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'Plot Regresi'!$C$41:$C$44</c:f>
              <c:numCache>
                <c:formatCode>0.00000</c:formatCode>
                <c:ptCount val="4"/>
                <c:pt idx="0">
                  <c:v>0.0142795150829522</c:v>
                </c:pt>
                <c:pt idx="1">
                  <c:v>0.0232763467971916</c:v>
                </c:pt>
                <c:pt idx="2">
                  <c:v>0.0502668419399101</c:v>
                </c:pt>
                <c:pt idx="3">
                  <c:v>0.0592636736541496</c:v>
                </c:pt>
              </c:numCache>
            </c:numRef>
          </c:yVal>
          <c:smooth val="0"/>
        </c:ser>
        <c:axId val="9329568"/>
        <c:axId val="33116245"/>
      </c:scatterChart>
      <c:valAx>
        <c:axId val="9329568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x1 = PB (atm)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#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16245"/>
        <c:crosses val="autoZero"/>
        <c:crossBetween val="midCat"/>
      </c:valAx>
      <c:valAx>
        <c:axId val="3311624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 = PH2·PT/(-r'T)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956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176040</xdr:rowOff>
    </xdr:from>
    <xdr:to>
      <xdr:col>11</xdr:col>
      <xdr:colOff>399240</xdr:colOff>
      <xdr:row>17</xdr:row>
      <xdr:rowOff>18360</xdr:rowOff>
    </xdr:to>
    <xdr:graphicFrame>
      <xdr:nvGraphicFramePr>
        <xdr:cNvPr id="0" name="Chart 1"/>
        <xdr:cNvGraphicFramePr/>
      </xdr:nvGraphicFramePr>
      <xdr:xfrm>
        <a:off x="2867040" y="5716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175680</xdr:rowOff>
    </xdr:from>
    <xdr:to>
      <xdr:col>11</xdr:col>
      <xdr:colOff>399240</xdr:colOff>
      <xdr:row>33</xdr:row>
      <xdr:rowOff>18000</xdr:rowOff>
    </xdr:to>
    <xdr:graphicFrame>
      <xdr:nvGraphicFramePr>
        <xdr:cNvPr id="1" name="Chart 2"/>
        <xdr:cNvGraphicFramePr/>
      </xdr:nvGraphicFramePr>
      <xdr:xfrm>
        <a:off x="2867040" y="3619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38</xdr:row>
      <xdr:rowOff>176040</xdr:rowOff>
    </xdr:from>
    <xdr:to>
      <xdr:col>11</xdr:col>
      <xdr:colOff>399240</xdr:colOff>
      <xdr:row>53</xdr:row>
      <xdr:rowOff>18360</xdr:rowOff>
    </xdr:to>
    <xdr:graphicFrame>
      <xdr:nvGraphicFramePr>
        <xdr:cNvPr id="2" name="Chart 3"/>
        <xdr:cNvGraphicFramePr/>
      </xdr:nvGraphicFramePr>
      <xdr:xfrm>
        <a:off x="2867040" y="74296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54</xdr:row>
      <xdr:rowOff>175680</xdr:rowOff>
    </xdr:from>
    <xdr:to>
      <xdr:col>11</xdr:col>
      <xdr:colOff>399240</xdr:colOff>
      <xdr:row>69</xdr:row>
      <xdr:rowOff>18000</xdr:rowOff>
    </xdr:to>
    <xdr:graphicFrame>
      <xdr:nvGraphicFramePr>
        <xdr:cNvPr id="3" name="Chart 4"/>
        <xdr:cNvGraphicFramePr/>
      </xdr:nvGraphicFramePr>
      <xdr:xfrm>
        <a:off x="2867040" y="10477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176040</xdr:rowOff>
    </xdr:from>
    <xdr:to>
      <xdr:col>12</xdr:col>
      <xdr:colOff>507600</xdr:colOff>
      <xdr:row>19</xdr:row>
      <xdr:rowOff>187560</xdr:rowOff>
    </xdr:to>
    <xdr:graphicFrame>
      <xdr:nvGraphicFramePr>
        <xdr:cNvPr id="4" name="Chart 1"/>
        <xdr:cNvGraphicFramePr/>
      </xdr:nvGraphicFramePr>
      <xdr:xfrm>
        <a:off x="3008160" y="762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22</xdr:row>
      <xdr:rowOff>176040</xdr:rowOff>
    </xdr:from>
    <xdr:to>
      <xdr:col>12</xdr:col>
      <xdr:colOff>507600</xdr:colOff>
      <xdr:row>38</xdr:row>
      <xdr:rowOff>187560</xdr:rowOff>
    </xdr:to>
    <xdr:graphicFrame>
      <xdr:nvGraphicFramePr>
        <xdr:cNvPr id="5" name="Chart 2"/>
        <xdr:cNvGraphicFramePr/>
      </xdr:nvGraphicFramePr>
      <xdr:xfrm>
        <a:off x="3008160" y="43815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41</xdr:row>
      <xdr:rowOff>176040</xdr:rowOff>
    </xdr:from>
    <xdr:to>
      <xdr:col>12</xdr:col>
      <xdr:colOff>507600</xdr:colOff>
      <xdr:row>57</xdr:row>
      <xdr:rowOff>187560</xdr:rowOff>
    </xdr:to>
    <xdr:graphicFrame>
      <xdr:nvGraphicFramePr>
        <xdr:cNvPr id="6" name="Chart 3"/>
        <xdr:cNvGraphicFramePr/>
      </xdr:nvGraphicFramePr>
      <xdr:xfrm>
        <a:off x="3008160" y="8001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16.1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3" t="n">
        <v>1</v>
      </c>
      <c r="C4" s="4" t="n">
        <v>71</v>
      </c>
      <c r="D4" s="5" t="n">
        <v>1</v>
      </c>
      <c r="E4" s="5" t="n">
        <v>1</v>
      </c>
      <c r="F4" s="5" t="n">
        <v>1</v>
      </c>
      <c r="G4" s="5" t="n">
        <v>0</v>
      </c>
    </row>
    <row r="5" customFormat="false" ht="15" hidden="false" customHeight="false" outlineLevel="0" collapsed="false">
      <c r="A5" s="3" t="s">
        <v>8</v>
      </c>
      <c r="B5" s="3" t="n">
        <v>2</v>
      </c>
      <c r="C5" s="4" t="n">
        <v>71.3</v>
      </c>
      <c r="D5" s="5" t="n">
        <v>1</v>
      </c>
      <c r="E5" s="5" t="n">
        <v>1</v>
      </c>
      <c r="F5" s="5" t="n">
        <v>4</v>
      </c>
      <c r="G5" s="5" t="n">
        <v>0</v>
      </c>
    </row>
    <row r="6" customFormat="false" ht="15" hidden="false" customHeight="false" outlineLevel="0" collapsed="false">
      <c r="A6" s="3" t="s">
        <v>9</v>
      </c>
      <c r="B6" s="3" t="n">
        <v>3</v>
      </c>
      <c r="C6" s="4" t="n">
        <v>41.6</v>
      </c>
      <c r="D6" s="5" t="n">
        <v>1</v>
      </c>
      <c r="E6" s="5" t="n">
        <v>1</v>
      </c>
      <c r="F6" s="5" t="n">
        <v>0</v>
      </c>
      <c r="G6" s="5" t="n">
        <v>1</v>
      </c>
    </row>
    <row r="7" customFormat="false" ht="15" hidden="false" customHeight="false" outlineLevel="0" collapsed="false">
      <c r="A7" s="3" t="s">
        <v>9</v>
      </c>
      <c r="B7" s="3" t="n">
        <v>4</v>
      </c>
      <c r="C7" s="4" t="n">
        <v>19.7</v>
      </c>
      <c r="D7" s="5" t="n">
        <v>1</v>
      </c>
      <c r="E7" s="5" t="n">
        <v>1</v>
      </c>
      <c r="F7" s="5" t="n">
        <v>0</v>
      </c>
      <c r="G7" s="5" t="n">
        <v>4</v>
      </c>
    </row>
    <row r="8" customFormat="false" ht="15" hidden="false" customHeight="false" outlineLevel="0" collapsed="false">
      <c r="A8" s="3" t="s">
        <v>9</v>
      </c>
      <c r="B8" s="3" t="n">
        <v>5</v>
      </c>
      <c r="C8" s="4" t="n">
        <v>42</v>
      </c>
      <c r="D8" s="5" t="n">
        <v>1</v>
      </c>
      <c r="E8" s="5" t="n">
        <v>1</v>
      </c>
      <c r="F8" s="5" t="n">
        <v>1</v>
      </c>
      <c r="G8" s="5" t="n">
        <v>1</v>
      </c>
    </row>
    <row r="9" customFormat="false" ht="15" hidden="false" customHeight="false" outlineLevel="0" collapsed="false">
      <c r="A9" s="3" t="s">
        <v>9</v>
      </c>
      <c r="B9" s="3" t="n">
        <v>6</v>
      </c>
      <c r="C9" s="4" t="n">
        <v>17.1</v>
      </c>
      <c r="D9" s="5" t="n">
        <v>1</v>
      </c>
      <c r="E9" s="5" t="n">
        <v>1</v>
      </c>
      <c r="F9" s="5" t="n">
        <v>0</v>
      </c>
      <c r="G9" s="5" t="n">
        <v>5</v>
      </c>
    </row>
    <row r="10" customFormat="false" ht="15" hidden="false" customHeight="false" outlineLevel="0" collapsed="false">
      <c r="A10" s="3" t="s">
        <v>10</v>
      </c>
      <c r="B10" s="3" t="n">
        <v>7</v>
      </c>
      <c r="C10" s="4" t="n">
        <v>71.8</v>
      </c>
      <c r="D10" s="5" t="n">
        <v>1</v>
      </c>
      <c r="E10" s="5" t="n">
        <v>1</v>
      </c>
      <c r="F10" s="5" t="n">
        <v>0</v>
      </c>
      <c r="G10" s="5" t="n">
        <v>0</v>
      </c>
    </row>
    <row r="11" customFormat="false" ht="15" hidden="false" customHeight="false" outlineLevel="0" collapsed="false">
      <c r="A11" s="3" t="s">
        <v>10</v>
      </c>
      <c r="B11" s="3" t="n">
        <v>8</v>
      </c>
      <c r="C11" s="4" t="n">
        <v>142</v>
      </c>
      <c r="D11" s="5" t="n">
        <v>1</v>
      </c>
      <c r="E11" s="5" t="n">
        <v>2</v>
      </c>
      <c r="F11" s="5" t="n">
        <v>0</v>
      </c>
      <c r="G11" s="5" t="n">
        <v>0</v>
      </c>
    </row>
    <row r="12" customFormat="false" ht="15" hidden="false" customHeight="false" outlineLevel="0" collapsed="false">
      <c r="A12" s="3" t="s">
        <v>10</v>
      </c>
      <c r="B12" s="3" t="n">
        <v>9</v>
      </c>
      <c r="C12" s="4" t="n">
        <v>284</v>
      </c>
      <c r="D12" s="5" t="n">
        <v>1</v>
      </c>
      <c r="E12" s="5" t="n">
        <v>4</v>
      </c>
      <c r="F12" s="5" t="n">
        <v>0</v>
      </c>
      <c r="G12" s="5" t="n">
        <v>0</v>
      </c>
    </row>
    <row r="13" customFormat="false" ht="15" hidden="false" customHeight="false" outlineLevel="0" collapsed="false">
      <c r="A13" s="3" t="s">
        <v>11</v>
      </c>
      <c r="B13" s="3" t="n">
        <v>10</v>
      </c>
      <c r="C13" s="4" t="n">
        <v>47</v>
      </c>
      <c r="D13" s="5" t="n">
        <v>0.5</v>
      </c>
      <c r="E13" s="5" t="n">
        <v>1</v>
      </c>
      <c r="F13" s="5" t="n">
        <v>0</v>
      </c>
      <c r="G13" s="5" t="n">
        <v>0</v>
      </c>
    </row>
    <row r="14" customFormat="false" ht="15" hidden="false" customHeight="false" outlineLevel="0" collapsed="false">
      <c r="A14" s="3" t="s">
        <v>11</v>
      </c>
      <c r="B14" s="3" t="n">
        <v>11</v>
      </c>
      <c r="C14" s="4" t="n">
        <v>71.3</v>
      </c>
      <c r="D14" s="5" t="n">
        <v>1</v>
      </c>
      <c r="E14" s="5" t="n">
        <v>1</v>
      </c>
      <c r="F14" s="5" t="n">
        <v>0</v>
      </c>
      <c r="G14" s="5" t="n">
        <v>0</v>
      </c>
    </row>
    <row r="15" customFormat="false" ht="15" hidden="false" customHeight="false" outlineLevel="0" collapsed="false">
      <c r="A15" s="3" t="s">
        <v>11</v>
      </c>
      <c r="B15" s="3" t="n">
        <v>12</v>
      </c>
      <c r="C15" s="4" t="n">
        <v>117</v>
      </c>
      <c r="D15" s="5" t="n">
        <v>5</v>
      </c>
      <c r="E15" s="5" t="n">
        <v>1</v>
      </c>
      <c r="F15" s="5" t="n">
        <v>0</v>
      </c>
      <c r="G15" s="5" t="n">
        <v>0</v>
      </c>
    </row>
    <row r="16" customFormat="false" ht="15" hidden="false" customHeight="false" outlineLevel="0" collapsed="false">
      <c r="A16" s="3" t="s">
        <v>11</v>
      </c>
      <c r="B16" s="3" t="n">
        <v>13</v>
      </c>
      <c r="C16" s="4" t="n">
        <v>127</v>
      </c>
      <c r="D16" s="5" t="n">
        <v>10</v>
      </c>
      <c r="E16" s="5" t="n">
        <v>1</v>
      </c>
      <c r="F16" s="5" t="n">
        <v>0</v>
      </c>
      <c r="G16" s="5" t="n">
        <v>0</v>
      </c>
    </row>
    <row r="17" customFormat="false" ht="15" hidden="false" customHeight="false" outlineLevel="0" collapsed="false">
      <c r="A17" s="3" t="s">
        <v>11</v>
      </c>
      <c r="B17" s="3" t="n">
        <v>14</v>
      </c>
      <c r="C17" s="4" t="n">
        <v>131</v>
      </c>
      <c r="D17" s="5" t="n">
        <v>15</v>
      </c>
      <c r="E17" s="5" t="n">
        <v>1</v>
      </c>
      <c r="F17" s="5" t="n">
        <v>0</v>
      </c>
      <c r="G17" s="5" t="n">
        <v>0</v>
      </c>
    </row>
    <row r="18" customFormat="false" ht="15" hidden="false" customHeight="false" outlineLevel="0" collapsed="false">
      <c r="A18" s="3" t="s">
        <v>11</v>
      </c>
      <c r="B18" s="3" t="n">
        <v>15</v>
      </c>
      <c r="C18" s="4" t="n">
        <v>133</v>
      </c>
      <c r="D18" s="5" t="n">
        <v>20</v>
      </c>
      <c r="E18" s="5" t="n">
        <v>1</v>
      </c>
      <c r="F18" s="5" t="n">
        <v>0</v>
      </c>
      <c r="G18" s="5" t="n">
        <v>0</v>
      </c>
    </row>
    <row r="19" customFormat="false" ht="15" hidden="false" customHeight="false" outlineLevel="0" collapsed="false">
      <c r="A19" s="3" t="s">
        <v>11</v>
      </c>
      <c r="B19" s="3" t="n">
        <v>16</v>
      </c>
      <c r="C19" s="4" t="n">
        <v>41.8</v>
      </c>
      <c r="D19" s="5" t="n">
        <v>1</v>
      </c>
      <c r="E19" s="5" t="n">
        <v>1</v>
      </c>
      <c r="F19" s="5" t="n">
        <v>1</v>
      </c>
      <c r="G19" s="5" t="n">
        <v>1</v>
      </c>
    </row>
    <row r="21" customFormat="false" ht="15" hidden="false" customHeight="false" outlineLevel="0" collapsed="false">
      <c r="A21" s="6" t="s">
        <v>12</v>
      </c>
    </row>
    <row r="22" customFormat="false" ht="15" hidden="false" customHeight="false" outlineLevel="0" collapsed="false">
      <c r="A22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3"/>
  </cols>
  <sheetData>
    <row r="1" customFormat="false" ht="16.15" hidden="false" customHeight="false" outlineLevel="0" collapsed="false">
      <c r="A1" s="1" t="s">
        <v>14</v>
      </c>
    </row>
    <row r="2" customFormat="false" ht="15" hidden="false" customHeight="false" outlineLevel="0" collapsed="false">
      <c r="A2" s="6" t="s">
        <v>15</v>
      </c>
    </row>
    <row r="4" customFormat="false" ht="15" hidden="false" customHeight="false" outlineLevel="0" collapsed="false">
      <c r="A4" s="7" t="s">
        <v>16</v>
      </c>
    </row>
    <row r="5" customFormat="false" ht="15" hidden="false" customHeight="false" outlineLevel="0" collapsed="false">
      <c r="A5" s="8" t="s">
        <v>2</v>
      </c>
      <c r="B5" s="8" t="s">
        <v>17</v>
      </c>
      <c r="C5" s="8" t="s">
        <v>18</v>
      </c>
    </row>
    <row r="6" customFormat="false" ht="15" hidden="false" customHeight="false" outlineLevel="0" collapsed="false">
      <c r="A6" s="9" t="n">
        <f aca="false">Data!B4</f>
        <v>1</v>
      </c>
      <c r="B6" s="10" t="n">
        <f aca="false">Data!F4</f>
        <v>1</v>
      </c>
      <c r="C6" s="11" t="n">
        <f aca="false">Data!C4</f>
        <v>71</v>
      </c>
    </row>
    <row r="7" customFormat="false" ht="15" hidden="false" customHeight="false" outlineLevel="0" collapsed="false">
      <c r="A7" s="9" t="n">
        <f aca="false">Data!B5</f>
        <v>2</v>
      </c>
      <c r="B7" s="10" t="n">
        <f aca="false">Data!F5</f>
        <v>4</v>
      </c>
      <c r="C7" s="11" t="n">
        <f aca="false">Data!C5</f>
        <v>71.3</v>
      </c>
    </row>
    <row r="20" customFormat="false" ht="15" hidden="false" customHeight="false" outlineLevel="0" collapsed="false">
      <c r="A20" s="7" t="s">
        <v>19</v>
      </c>
    </row>
    <row r="21" customFormat="false" ht="15" hidden="false" customHeight="false" outlineLevel="0" collapsed="false">
      <c r="A21" s="8" t="s">
        <v>2</v>
      </c>
      <c r="B21" s="8" t="s">
        <v>20</v>
      </c>
      <c r="C21" s="8" t="s">
        <v>18</v>
      </c>
    </row>
    <row r="22" customFormat="false" ht="15" hidden="false" customHeight="false" outlineLevel="0" collapsed="false">
      <c r="A22" s="9" t="n">
        <f aca="false">Data!B6</f>
        <v>3</v>
      </c>
      <c r="B22" s="10" t="n">
        <f aca="false">Data!G6</f>
        <v>1</v>
      </c>
      <c r="C22" s="11" t="n">
        <f aca="false">Data!C6</f>
        <v>41.6</v>
      </c>
    </row>
    <row r="23" customFormat="false" ht="15" hidden="false" customHeight="false" outlineLevel="0" collapsed="false">
      <c r="A23" s="9" t="n">
        <f aca="false">Data!B7</f>
        <v>4</v>
      </c>
      <c r="B23" s="10" t="n">
        <f aca="false">Data!G7</f>
        <v>4</v>
      </c>
      <c r="C23" s="11" t="n">
        <f aca="false">Data!C7</f>
        <v>19.7</v>
      </c>
    </row>
    <row r="24" customFormat="false" ht="15" hidden="false" customHeight="false" outlineLevel="0" collapsed="false">
      <c r="A24" s="9" t="n">
        <f aca="false">Data!B9</f>
        <v>6</v>
      </c>
      <c r="B24" s="10" t="n">
        <f aca="false">Data!G9</f>
        <v>5</v>
      </c>
      <c r="C24" s="11" t="n">
        <f aca="false">Data!C9</f>
        <v>17.1</v>
      </c>
    </row>
    <row r="26" customFormat="false" ht="15" hidden="false" customHeight="false" outlineLevel="0" collapsed="false">
      <c r="A26" s="7" t="s">
        <v>21</v>
      </c>
    </row>
    <row r="27" customFormat="false" ht="15" hidden="false" customHeight="false" outlineLevel="0" collapsed="false">
      <c r="A27" s="8" t="s">
        <v>2</v>
      </c>
      <c r="B27" s="8" t="s">
        <v>20</v>
      </c>
      <c r="C27" s="8" t="s">
        <v>18</v>
      </c>
    </row>
    <row r="28" customFormat="false" ht="15" hidden="false" customHeight="false" outlineLevel="0" collapsed="false">
      <c r="A28" s="9" t="n">
        <f aca="false">Data!B8</f>
        <v>5</v>
      </c>
      <c r="B28" s="10" t="n">
        <f aca="false">Data!G8</f>
        <v>1</v>
      </c>
      <c r="C28" s="11" t="n">
        <f aca="false">Data!C8</f>
        <v>42</v>
      </c>
    </row>
    <row r="40" customFormat="false" ht="15" hidden="false" customHeight="false" outlineLevel="0" collapsed="false">
      <c r="A40" s="7" t="s">
        <v>22</v>
      </c>
    </row>
    <row r="41" customFormat="false" ht="15" hidden="false" customHeight="false" outlineLevel="0" collapsed="false">
      <c r="A41" s="8" t="s">
        <v>2</v>
      </c>
      <c r="B41" s="8" t="s">
        <v>23</v>
      </c>
      <c r="C41" s="8" t="s">
        <v>18</v>
      </c>
    </row>
    <row r="42" customFormat="false" ht="15" hidden="false" customHeight="false" outlineLevel="0" collapsed="false">
      <c r="A42" s="9" t="n">
        <f aca="false">Data!B10</f>
        <v>7</v>
      </c>
      <c r="B42" s="10" t="n">
        <f aca="false">Data!E10</f>
        <v>1</v>
      </c>
      <c r="C42" s="11" t="n">
        <f aca="false">Data!C10</f>
        <v>71.8</v>
      </c>
    </row>
    <row r="43" customFormat="false" ht="15" hidden="false" customHeight="false" outlineLevel="0" collapsed="false">
      <c r="A43" s="9" t="n">
        <f aca="false">Data!B11</f>
        <v>8</v>
      </c>
      <c r="B43" s="10" t="n">
        <f aca="false">Data!E11</f>
        <v>2</v>
      </c>
      <c r="C43" s="11" t="n">
        <f aca="false">Data!C11</f>
        <v>142</v>
      </c>
    </row>
    <row r="44" customFormat="false" ht="15" hidden="false" customHeight="false" outlineLevel="0" collapsed="false">
      <c r="A44" s="9" t="n">
        <f aca="false">Data!B12</f>
        <v>9</v>
      </c>
      <c r="B44" s="10" t="n">
        <f aca="false">Data!E12</f>
        <v>4</v>
      </c>
      <c r="C44" s="11" t="n">
        <f aca="false">Data!C12</f>
        <v>284</v>
      </c>
    </row>
    <row r="56" customFormat="false" ht="15" hidden="false" customHeight="false" outlineLevel="0" collapsed="false">
      <c r="A56" s="7" t="s">
        <v>24</v>
      </c>
    </row>
    <row r="57" customFormat="false" ht="15" hidden="false" customHeight="false" outlineLevel="0" collapsed="false">
      <c r="A57" s="8" t="s">
        <v>2</v>
      </c>
      <c r="B57" s="8" t="s">
        <v>25</v>
      </c>
      <c r="C57" s="8" t="s">
        <v>18</v>
      </c>
    </row>
    <row r="58" customFormat="false" ht="15" hidden="false" customHeight="false" outlineLevel="0" collapsed="false">
      <c r="A58" s="9" t="n">
        <f aca="false">Data!B13</f>
        <v>10</v>
      </c>
      <c r="B58" s="10" t="n">
        <f aca="false">Data!D13</f>
        <v>0.5</v>
      </c>
      <c r="C58" s="11" t="n">
        <f aca="false">Data!C13</f>
        <v>47</v>
      </c>
    </row>
    <row r="59" customFormat="false" ht="15" hidden="false" customHeight="false" outlineLevel="0" collapsed="false">
      <c r="A59" s="9" t="n">
        <f aca="false">Data!B14</f>
        <v>11</v>
      </c>
      <c r="B59" s="10" t="n">
        <f aca="false">Data!D14</f>
        <v>1</v>
      </c>
      <c r="C59" s="11" t="n">
        <f aca="false">Data!C14</f>
        <v>71.3</v>
      </c>
    </row>
    <row r="60" customFormat="false" ht="15" hidden="false" customHeight="false" outlineLevel="0" collapsed="false">
      <c r="A60" s="9" t="n">
        <f aca="false">Data!B15</f>
        <v>12</v>
      </c>
      <c r="B60" s="10" t="n">
        <f aca="false">Data!D15</f>
        <v>5</v>
      </c>
      <c r="C60" s="11" t="n">
        <f aca="false">Data!C15</f>
        <v>117</v>
      </c>
    </row>
    <row r="61" customFormat="false" ht="15" hidden="false" customHeight="false" outlineLevel="0" collapsed="false">
      <c r="A61" s="9" t="n">
        <f aca="false">Data!B16</f>
        <v>13</v>
      </c>
      <c r="B61" s="10" t="n">
        <f aca="false">Data!D16</f>
        <v>10</v>
      </c>
      <c r="C61" s="11" t="n">
        <f aca="false">Data!C16</f>
        <v>127</v>
      </c>
    </row>
    <row r="62" customFormat="false" ht="15" hidden="false" customHeight="false" outlineLevel="0" collapsed="false">
      <c r="A62" s="9" t="n">
        <f aca="false">Data!B17</f>
        <v>14</v>
      </c>
      <c r="B62" s="10" t="n">
        <f aca="false">Data!D17</f>
        <v>15</v>
      </c>
      <c r="C62" s="11" t="n">
        <f aca="false">Data!C17</f>
        <v>131</v>
      </c>
    </row>
    <row r="63" customFormat="false" ht="15" hidden="false" customHeight="false" outlineLevel="0" collapsed="false">
      <c r="A63" s="9" t="n">
        <f aca="false">Data!B18</f>
        <v>15</v>
      </c>
      <c r="B63" s="10" t="n">
        <f aca="false">Data!D18</f>
        <v>20</v>
      </c>
      <c r="C63" s="11" t="n">
        <f aca="false">Data!C18</f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7" min="6" style="0" width="10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20"/>
    <col collapsed="false" customWidth="true" hidden="false" outlineLevel="0" max="14" min="14" style="0" width="12"/>
  </cols>
  <sheetData>
    <row r="1" customFormat="false" ht="16.15" hidden="false" customHeight="false" outlineLevel="0" collapsed="false">
      <c r="A1" s="1" t="s">
        <v>26</v>
      </c>
    </row>
    <row r="2" customFormat="false" ht="15" hidden="false" customHeight="false" outlineLevel="0" collapsed="false">
      <c r="A2" s="12" t="s">
        <v>27</v>
      </c>
    </row>
    <row r="3" customFormat="false" ht="15" hidden="false" customHeight="false" outlineLevel="0" collapsed="false">
      <c r="A3" s="6" t="s">
        <v>28</v>
      </c>
    </row>
    <row r="5" customFormat="false" ht="31.5" hidden="false" customHeight="true" outlineLevel="0" collapsed="false">
      <c r="A5" s="2" t="s">
        <v>2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41</v>
      </c>
    </row>
    <row r="6" customFormat="false" ht="15" hidden="false" customHeight="false" outlineLevel="0" collapsed="false">
      <c r="A6" s="13" t="n">
        <f aca="false">Data!B4</f>
        <v>1</v>
      </c>
      <c r="B6" s="10" t="n">
        <f aca="false">Data!E4</f>
        <v>1</v>
      </c>
      <c r="C6" s="10" t="n">
        <f aca="false">Data!D4</f>
        <v>1</v>
      </c>
      <c r="D6" s="10" t="n">
        <f aca="false">Data!C4</f>
        <v>71</v>
      </c>
      <c r="E6" s="14" t="n">
        <f aca="false">B6*C6/D6</f>
        <v>0.0140845070422535</v>
      </c>
      <c r="F6" s="10" t="n">
        <f aca="false">Data!G4</f>
        <v>0</v>
      </c>
      <c r="G6" s="15" t="n">
        <f aca="false">C6</f>
        <v>1</v>
      </c>
      <c r="H6" s="14" t="n">
        <f aca="false">F6*E6</f>
        <v>0</v>
      </c>
      <c r="I6" s="14" t="n">
        <f aca="false">G6*E6</f>
        <v>0.0140845070422535</v>
      </c>
      <c r="J6" s="15" t="n">
        <f aca="false">F6*G6</f>
        <v>0</v>
      </c>
      <c r="K6" s="15" t="n">
        <f aca="false">F6^2</f>
        <v>0</v>
      </c>
      <c r="L6" s="15" t="n">
        <f aca="false">G6^2</f>
        <v>1</v>
      </c>
      <c r="M6" s="16" t="n">
        <f aca="false">$C$38+$C$39*F6+$C$40*G6</f>
        <v>0.0142795150829522</v>
      </c>
      <c r="N6" s="16" t="n">
        <f aca="false">E6-M6</f>
        <v>-0.000195008040698632</v>
      </c>
    </row>
    <row r="7" customFormat="false" ht="15" hidden="false" customHeight="false" outlineLevel="0" collapsed="false">
      <c r="A7" s="13" t="n">
        <f aca="false">Data!B5</f>
        <v>2</v>
      </c>
      <c r="B7" s="10" t="n">
        <f aca="false">Data!E5</f>
        <v>1</v>
      </c>
      <c r="C7" s="10" t="n">
        <f aca="false">Data!D5</f>
        <v>1</v>
      </c>
      <c r="D7" s="10" t="n">
        <f aca="false">Data!C5</f>
        <v>71.3</v>
      </c>
      <c r="E7" s="14" t="n">
        <f aca="false">B7*C7/D7</f>
        <v>0.0140252454417952</v>
      </c>
      <c r="F7" s="10" t="n">
        <f aca="false">Data!G5</f>
        <v>0</v>
      </c>
      <c r="G7" s="15" t="n">
        <f aca="false">C7</f>
        <v>1</v>
      </c>
      <c r="H7" s="14" t="n">
        <f aca="false">F7*E7</f>
        <v>0</v>
      </c>
      <c r="I7" s="14" t="n">
        <f aca="false">G7*E7</f>
        <v>0.0140252454417952</v>
      </c>
      <c r="J7" s="15" t="n">
        <f aca="false">F7*G7</f>
        <v>0</v>
      </c>
      <c r="K7" s="15" t="n">
        <f aca="false">F7^2</f>
        <v>0</v>
      </c>
      <c r="L7" s="15" t="n">
        <f aca="false">G7^2</f>
        <v>1</v>
      </c>
      <c r="M7" s="16" t="n">
        <f aca="false">$C$38+$C$39*F7+$C$40*G7</f>
        <v>0.0142795150829522</v>
      </c>
      <c r="N7" s="16" t="n">
        <f aca="false">E7-M7</f>
        <v>-0.000254269641156921</v>
      </c>
    </row>
    <row r="8" customFormat="false" ht="15" hidden="false" customHeight="false" outlineLevel="0" collapsed="false">
      <c r="A8" s="13" t="n">
        <f aca="false">Data!B6</f>
        <v>3</v>
      </c>
      <c r="B8" s="10" t="n">
        <f aca="false">Data!E6</f>
        <v>1</v>
      </c>
      <c r="C8" s="10" t="n">
        <f aca="false">Data!D6</f>
        <v>1</v>
      </c>
      <c r="D8" s="10" t="n">
        <f aca="false">Data!C6</f>
        <v>41.6</v>
      </c>
      <c r="E8" s="14" t="n">
        <f aca="false">B8*C8/D8</f>
        <v>0.0240384615384615</v>
      </c>
      <c r="F8" s="10" t="n">
        <f aca="false">Data!G6</f>
        <v>1</v>
      </c>
      <c r="G8" s="15" t="n">
        <f aca="false">C8</f>
        <v>1</v>
      </c>
      <c r="H8" s="14" t="n">
        <f aca="false">F8*E8</f>
        <v>0.0240384615384615</v>
      </c>
      <c r="I8" s="14" t="n">
        <f aca="false">G8*E8</f>
        <v>0.0240384615384615</v>
      </c>
      <c r="J8" s="15" t="n">
        <f aca="false">F8*G8</f>
        <v>1</v>
      </c>
      <c r="K8" s="15" t="n">
        <f aca="false">F8^2</f>
        <v>1</v>
      </c>
      <c r="L8" s="15" t="n">
        <f aca="false">G8^2</f>
        <v>1</v>
      </c>
      <c r="M8" s="16" t="n">
        <f aca="false">$C$38+$C$39*F8+$C$40*G8</f>
        <v>0.0232763467971916</v>
      </c>
      <c r="N8" s="16" t="n">
        <f aca="false">E8-M8</f>
        <v>0.000762114741269901</v>
      </c>
    </row>
    <row r="9" customFormat="false" ht="15" hidden="false" customHeight="false" outlineLevel="0" collapsed="false">
      <c r="A9" s="13" t="n">
        <f aca="false">Data!B7</f>
        <v>4</v>
      </c>
      <c r="B9" s="10" t="n">
        <f aca="false">Data!E7</f>
        <v>1</v>
      </c>
      <c r="C9" s="10" t="n">
        <f aca="false">Data!D7</f>
        <v>1</v>
      </c>
      <c r="D9" s="10" t="n">
        <f aca="false">Data!C7</f>
        <v>19.7</v>
      </c>
      <c r="E9" s="14" t="n">
        <f aca="false">B9*C9/D9</f>
        <v>0.050761421319797</v>
      </c>
      <c r="F9" s="10" t="n">
        <f aca="false">Data!G7</f>
        <v>4</v>
      </c>
      <c r="G9" s="15" t="n">
        <f aca="false">C9</f>
        <v>1</v>
      </c>
      <c r="H9" s="14" t="n">
        <f aca="false">F9*E9</f>
        <v>0.203045685279188</v>
      </c>
      <c r="I9" s="14" t="n">
        <f aca="false">G9*E9</f>
        <v>0.050761421319797</v>
      </c>
      <c r="J9" s="15" t="n">
        <f aca="false">F9*G9</f>
        <v>4</v>
      </c>
      <c r="K9" s="15" t="n">
        <f aca="false">F9^2</f>
        <v>16</v>
      </c>
      <c r="L9" s="15" t="n">
        <f aca="false">G9^2</f>
        <v>1</v>
      </c>
      <c r="M9" s="16" t="n">
        <f aca="false">$C$38+$C$39*F9+$C$40*G9</f>
        <v>0.0502668419399101</v>
      </c>
      <c r="N9" s="16" t="n">
        <f aca="false">E9-M9</f>
        <v>0.000494579379886874</v>
      </c>
    </row>
    <row r="10" customFormat="false" ht="15" hidden="false" customHeight="false" outlineLevel="0" collapsed="false">
      <c r="A10" s="13" t="n">
        <f aca="false">Data!B8</f>
        <v>5</v>
      </c>
      <c r="B10" s="10" t="n">
        <f aca="false">Data!E8</f>
        <v>1</v>
      </c>
      <c r="C10" s="10" t="n">
        <f aca="false">Data!D8</f>
        <v>1</v>
      </c>
      <c r="D10" s="10" t="n">
        <f aca="false">Data!C8</f>
        <v>42</v>
      </c>
      <c r="E10" s="14" t="n">
        <f aca="false">B10*C10/D10</f>
        <v>0.0238095238095238</v>
      </c>
      <c r="F10" s="10" t="n">
        <f aca="false">Data!G8</f>
        <v>1</v>
      </c>
      <c r="G10" s="15" t="n">
        <f aca="false">C10</f>
        <v>1</v>
      </c>
      <c r="H10" s="14" t="n">
        <f aca="false">F10*E10</f>
        <v>0.0238095238095238</v>
      </c>
      <c r="I10" s="14" t="n">
        <f aca="false">G10*E10</f>
        <v>0.0238095238095238</v>
      </c>
      <c r="J10" s="15" t="n">
        <f aca="false">F10*G10</f>
        <v>1</v>
      </c>
      <c r="K10" s="15" t="n">
        <f aca="false">F10^2</f>
        <v>1</v>
      </c>
      <c r="L10" s="15" t="n">
        <f aca="false">G10^2</f>
        <v>1</v>
      </c>
      <c r="M10" s="16" t="n">
        <f aca="false">$C$38+$C$39*F10+$C$40*G10</f>
        <v>0.0232763467971916</v>
      </c>
      <c r="N10" s="16" t="n">
        <f aca="false">E10-M10</f>
        <v>0.000533177012332173</v>
      </c>
    </row>
    <row r="11" customFormat="false" ht="15" hidden="false" customHeight="false" outlineLevel="0" collapsed="false">
      <c r="A11" s="13" t="n">
        <f aca="false">Data!B9</f>
        <v>6</v>
      </c>
      <c r="B11" s="10" t="n">
        <f aca="false">Data!E9</f>
        <v>1</v>
      </c>
      <c r="C11" s="10" t="n">
        <f aca="false">Data!D9</f>
        <v>1</v>
      </c>
      <c r="D11" s="10" t="n">
        <f aca="false">Data!C9</f>
        <v>17.1</v>
      </c>
      <c r="E11" s="14" t="n">
        <f aca="false">B11*C11/D11</f>
        <v>0.0584795321637427</v>
      </c>
      <c r="F11" s="10" t="n">
        <f aca="false">Data!G9</f>
        <v>5</v>
      </c>
      <c r="G11" s="15" t="n">
        <f aca="false">C11</f>
        <v>1</v>
      </c>
      <c r="H11" s="14" t="n">
        <f aca="false">F11*E11</f>
        <v>0.292397660818713</v>
      </c>
      <c r="I11" s="14" t="n">
        <f aca="false">G11*E11</f>
        <v>0.0584795321637427</v>
      </c>
      <c r="J11" s="15" t="n">
        <f aca="false">F11*G11</f>
        <v>5</v>
      </c>
      <c r="K11" s="15" t="n">
        <f aca="false">F11^2</f>
        <v>25</v>
      </c>
      <c r="L11" s="15" t="n">
        <f aca="false">G11^2</f>
        <v>1</v>
      </c>
      <c r="M11" s="16" t="n">
        <f aca="false">$C$38+$C$39*F11+$C$40*G11</f>
        <v>0.0592636736541496</v>
      </c>
      <c r="N11" s="16" t="n">
        <f aca="false">E11-M11</f>
        <v>-0.000784141490406877</v>
      </c>
    </row>
    <row r="12" customFormat="false" ht="15" hidden="false" customHeight="false" outlineLevel="0" collapsed="false">
      <c r="A12" s="13" t="n">
        <f aca="false">Data!B10</f>
        <v>7</v>
      </c>
      <c r="B12" s="10" t="n">
        <f aca="false">Data!E10</f>
        <v>1</v>
      </c>
      <c r="C12" s="10" t="n">
        <f aca="false">Data!D10</f>
        <v>1</v>
      </c>
      <c r="D12" s="10" t="n">
        <f aca="false">Data!C10</f>
        <v>71.8</v>
      </c>
      <c r="E12" s="14" t="n">
        <f aca="false">B12*C12/D12</f>
        <v>0.0139275766016713</v>
      </c>
      <c r="F12" s="10" t="n">
        <f aca="false">Data!G10</f>
        <v>0</v>
      </c>
      <c r="G12" s="15" t="n">
        <f aca="false">C12</f>
        <v>1</v>
      </c>
      <c r="H12" s="14" t="n">
        <f aca="false">F12*E12</f>
        <v>0</v>
      </c>
      <c r="I12" s="14" t="n">
        <f aca="false">G12*E12</f>
        <v>0.0139275766016713</v>
      </c>
      <c r="J12" s="15" t="n">
        <f aca="false">F12*G12</f>
        <v>0</v>
      </c>
      <c r="K12" s="15" t="n">
        <f aca="false">F12^2</f>
        <v>0</v>
      </c>
      <c r="L12" s="15" t="n">
        <f aca="false">G12^2</f>
        <v>1</v>
      </c>
      <c r="M12" s="16" t="n">
        <f aca="false">$C$38+$C$39*F12+$C$40*G12</f>
        <v>0.0142795150829522</v>
      </c>
      <c r="N12" s="16" t="n">
        <f aca="false">E12-M12</f>
        <v>-0.000351938481280843</v>
      </c>
    </row>
    <row r="13" customFormat="false" ht="15" hidden="false" customHeight="false" outlineLevel="0" collapsed="false">
      <c r="A13" s="13" t="n">
        <f aca="false">Data!B11</f>
        <v>8</v>
      </c>
      <c r="B13" s="10" t="n">
        <f aca="false">Data!E11</f>
        <v>2</v>
      </c>
      <c r="C13" s="10" t="n">
        <f aca="false">Data!D11</f>
        <v>1</v>
      </c>
      <c r="D13" s="10" t="n">
        <f aca="false">Data!C11</f>
        <v>142</v>
      </c>
      <c r="E13" s="14" t="n">
        <f aca="false">B13*C13/D13</f>
        <v>0.0140845070422535</v>
      </c>
      <c r="F13" s="10" t="n">
        <f aca="false">Data!G11</f>
        <v>0</v>
      </c>
      <c r="G13" s="15" t="n">
        <f aca="false">C13</f>
        <v>1</v>
      </c>
      <c r="H13" s="14" t="n">
        <f aca="false">F13*E13</f>
        <v>0</v>
      </c>
      <c r="I13" s="14" t="n">
        <f aca="false">G13*E13</f>
        <v>0.0140845070422535</v>
      </c>
      <c r="J13" s="15" t="n">
        <f aca="false">F13*G13</f>
        <v>0</v>
      </c>
      <c r="K13" s="15" t="n">
        <f aca="false">F13^2</f>
        <v>0</v>
      </c>
      <c r="L13" s="15" t="n">
        <f aca="false">G13^2</f>
        <v>1</v>
      </c>
      <c r="M13" s="16" t="n">
        <f aca="false">$C$38+$C$39*F13+$C$40*G13</f>
        <v>0.0142795150829522</v>
      </c>
      <c r="N13" s="16" t="n">
        <f aca="false">E13-M13</f>
        <v>-0.000195008040698632</v>
      </c>
    </row>
    <row r="14" customFormat="false" ht="15" hidden="false" customHeight="false" outlineLevel="0" collapsed="false">
      <c r="A14" s="13" t="n">
        <f aca="false">Data!B12</f>
        <v>9</v>
      </c>
      <c r="B14" s="10" t="n">
        <f aca="false">Data!E12</f>
        <v>4</v>
      </c>
      <c r="C14" s="10" t="n">
        <f aca="false">Data!D12</f>
        <v>1</v>
      </c>
      <c r="D14" s="10" t="n">
        <f aca="false">Data!C12</f>
        <v>284</v>
      </c>
      <c r="E14" s="14" t="n">
        <f aca="false">B14*C14/D14</f>
        <v>0.0140845070422535</v>
      </c>
      <c r="F14" s="10" t="n">
        <f aca="false">Data!G12</f>
        <v>0</v>
      </c>
      <c r="G14" s="15" t="n">
        <f aca="false">C14</f>
        <v>1</v>
      </c>
      <c r="H14" s="14" t="n">
        <f aca="false">F14*E14</f>
        <v>0</v>
      </c>
      <c r="I14" s="14" t="n">
        <f aca="false">G14*E14</f>
        <v>0.0140845070422535</v>
      </c>
      <c r="J14" s="15" t="n">
        <f aca="false">F14*G14</f>
        <v>0</v>
      </c>
      <c r="K14" s="15" t="n">
        <f aca="false">F14^2</f>
        <v>0</v>
      </c>
      <c r="L14" s="15" t="n">
        <f aca="false">G14^2</f>
        <v>1</v>
      </c>
      <c r="M14" s="16" t="n">
        <f aca="false">$C$38+$C$39*F14+$C$40*G14</f>
        <v>0.0142795150829522</v>
      </c>
      <c r="N14" s="16" t="n">
        <f aca="false">E14-M14</f>
        <v>-0.000195008040698632</v>
      </c>
    </row>
    <row r="15" customFormat="false" ht="15" hidden="false" customHeight="false" outlineLevel="0" collapsed="false">
      <c r="A15" s="13" t="n">
        <f aca="false">Data!B13</f>
        <v>10</v>
      </c>
      <c r="B15" s="10" t="n">
        <f aca="false">Data!E13</f>
        <v>1</v>
      </c>
      <c r="C15" s="10" t="n">
        <f aca="false">Data!D13</f>
        <v>0.5</v>
      </c>
      <c r="D15" s="10" t="n">
        <f aca="false">Data!C13</f>
        <v>47</v>
      </c>
      <c r="E15" s="14" t="n">
        <f aca="false">B15*C15/D15</f>
        <v>0.0106382978723404</v>
      </c>
      <c r="F15" s="10" t="n">
        <f aca="false">Data!G13</f>
        <v>0</v>
      </c>
      <c r="G15" s="15" t="n">
        <f aca="false">C15</f>
        <v>0.5</v>
      </c>
      <c r="H15" s="14" t="n">
        <f aca="false">F15*E15</f>
        <v>0</v>
      </c>
      <c r="I15" s="14" t="n">
        <f aca="false">G15*E15</f>
        <v>0.00531914893617021</v>
      </c>
      <c r="J15" s="15" t="n">
        <f aca="false">F15*G15</f>
        <v>0</v>
      </c>
      <c r="K15" s="15" t="n">
        <f aca="false">F15^2</f>
        <v>0</v>
      </c>
      <c r="L15" s="15" t="n">
        <f aca="false">G15^2</f>
        <v>0.25</v>
      </c>
      <c r="M15" s="16" t="n">
        <f aca="false">$C$38+$C$39*F15+$C$40*G15</f>
        <v>0.0106992622779771</v>
      </c>
      <c r="N15" s="16" t="n">
        <f aca="false">E15-M15</f>
        <v>-6.09644056366616E-005</v>
      </c>
    </row>
    <row r="16" customFormat="false" ht="15" hidden="false" customHeight="false" outlineLevel="0" collapsed="false">
      <c r="A16" s="13" t="n">
        <f aca="false">Data!B14</f>
        <v>11</v>
      </c>
      <c r="B16" s="10" t="n">
        <f aca="false">Data!E14</f>
        <v>1</v>
      </c>
      <c r="C16" s="10" t="n">
        <f aca="false">Data!D14</f>
        <v>1</v>
      </c>
      <c r="D16" s="10" t="n">
        <f aca="false">Data!C14</f>
        <v>71.3</v>
      </c>
      <c r="E16" s="14" t="n">
        <f aca="false">B16*C16/D16</f>
        <v>0.0140252454417952</v>
      </c>
      <c r="F16" s="10" t="n">
        <f aca="false">Data!G14</f>
        <v>0</v>
      </c>
      <c r="G16" s="15" t="n">
        <f aca="false">C16</f>
        <v>1</v>
      </c>
      <c r="H16" s="14" t="n">
        <f aca="false">F16*E16</f>
        <v>0</v>
      </c>
      <c r="I16" s="14" t="n">
        <f aca="false">G16*E16</f>
        <v>0.0140252454417952</v>
      </c>
      <c r="J16" s="15" t="n">
        <f aca="false">F16*G16</f>
        <v>0</v>
      </c>
      <c r="K16" s="15" t="n">
        <f aca="false">F16^2</f>
        <v>0</v>
      </c>
      <c r="L16" s="15" t="n">
        <f aca="false">G16^2</f>
        <v>1</v>
      </c>
      <c r="M16" s="16" t="n">
        <f aca="false">$C$38+$C$39*F16+$C$40*G16</f>
        <v>0.0142795150829522</v>
      </c>
      <c r="N16" s="16" t="n">
        <f aca="false">E16-M16</f>
        <v>-0.000254269641156921</v>
      </c>
    </row>
    <row r="17" customFormat="false" ht="15" hidden="false" customHeight="false" outlineLevel="0" collapsed="false">
      <c r="A17" s="13" t="n">
        <f aca="false">Data!B15</f>
        <v>12</v>
      </c>
      <c r="B17" s="10" t="n">
        <f aca="false">Data!E15</f>
        <v>1</v>
      </c>
      <c r="C17" s="10" t="n">
        <f aca="false">Data!D15</f>
        <v>5</v>
      </c>
      <c r="D17" s="10" t="n">
        <f aca="false">Data!C15</f>
        <v>117</v>
      </c>
      <c r="E17" s="14" t="n">
        <f aca="false">B17*C17/D17</f>
        <v>0.0427350427350427</v>
      </c>
      <c r="F17" s="10" t="n">
        <f aca="false">Data!G15</f>
        <v>0</v>
      </c>
      <c r="G17" s="15" t="n">
        <f aca="false">C17</f>
        <v>5</v>
      </c>
      <c r="H17" s="14" t="n">
        <f aca="false">F17*E17</f>
        <v>0</v>
      </c>
      <c r="I17" s="14" t="n">
        <f aca="false">G17*E17</f>
        <v>0.213675213675214</v>
      </c>
      <c r="J17" s="15" t="n">
        <f aca="false">F17*G17</f>
        <v>0</v>
      </c>
      <c r="K17" s="15" t="n">
        <f aca="false">F17^2</f>
        <v>0</v>
      </c>
      <c r="L17" s="15" t="n">
        <f aca="false">G17^2</f>
        <v>25</v>
      </c>
      <c r="M17" s="16" t="n">
        <f aca="false">$C$38+$C$39*F17+$C$40*G17</f>
        <v>0.0429215375227527</v>
      </c>
      <c r="N17" s="16" t="n">
        <f aca="false">E17-M17</f>
        <v>-0.000186494787709941</v>
      </c>
    </row>
    <row r="18" customFormat="false" ht="15" hidden="false" customHeight="false" outlineLevel="0" collapsed="false">
      <c r="A18" s="13" t="n">
        <f aca="false">Data!B16</f>
        <v>13</v>
      </c>
      <c r="B18" s="10" t="n">
        <f aca="false">Data!E16</f>
        <v>1</v>
      </c>
      <c r="C18" s="10" t="n">
        <f aca="false">Data!D16</f>
        <v>10</v>
      </c>
      <c r="D18" s="10" t="n">
        <f aca="false">Data!C16</f>
        <v>127</v>
      </c>
      <c r="E18" s="14" t="n">
        <f aca="false">B18*C18/D18</f>
        <v>0.078740157480315</v>
      </c>
      <c r="F18" s="10" t="n">
        <f aca="false">Data!G16</f>
        <v>0</v>
      </c>
      <c r="G18" s="15" t="n">
        <f aca="false">C18</f>
        <v>10</v>
      </c>
      <c r="H18" s="14" t="n">
        <f aca="false">F18*E18</f>
        <v>0</v>
      </c>
      <c r="I18" s="14" t="n">
        <f aca="false">G18*E18</f>
        <v>0.78740157480315</v>
      </c>
      <c r="J18" s="15" t="n">
        <f aca="false">F18*G18</f>
        <v>0</v>
      </c>
      <c r="K18" s="15" t="n">
        <f aca="false">F18^2</f>
        <v>0</v>
      </c>
      <c r="L18" s="15" t="n">
        <f aca="false">G18^2</f>
        <v>100</v>
      </c>
      <c r="M18" s="16" t="n">
        <f aca="false">$C$38+$C$39*F18+$C$40*G18</f>
        <v>0.0787240655725033</v>
      </c>
      <c r="N18" s="16" t="n">
        <f aca="false">E18-M18</f>
        <v>1.60919078116273E-005</v>
      </c>
    </row>
    <row r="19" customFormat="false" ht="15" hidden="false" customHeight="false" outlineLevel="0" collapsed="false">
      <c r="A19" s="13" t="n">
        <f aca="false">Data!B17</f>
        <v>14</v>
      </c>
      <c r="B19" s="10" t="n">
        <f aca="false">Data!E17</f>
        <v>1</v>
      </c>
      <c r="C19" s="10" t="n">
        <f aca="false">Data!D17</f>
        <v>15</v>
      </c>
      <c r="D19" s="10" t="n">
        <f aca="false">Data!C17</f>
        <v>131</v>
      </c>
      <c r="E19" s="14" t="n">
        <f aca="false">B19*C19/D19</f>
        <v>0.114503816793893</v>
      </c>
      <c r="F19" s="10" t="n">
        <f aca="false">Data!G17</f>
        <v>0</v>
      </c>
      <c r="G19" s="15" t="n">
        <f aca="false">C19</f>
        <v>15</v>
      </c>
      <c r="H19" s="14" t="n">
        <f aca="false">F19*E19</f>
        <v>0</v>
      </c>
      <c r="I19" s="14" t="n">
        <f aca="false">G19*E19</f>
        <v>1.7175572519084</v>
      </c>
      <c r="J19" s="15" t="n">
        <f aca="false">F19*G19</f>
        <v>0</v>
      </c>
      <c r="K19" s="15" t="n">
        <f aca="false">F19^2</f>
        <v>0</v>
      </c>
      <c r="L19" s="15" t="n">
        <f aca="false">G19^2</f>
        <v>225</v>
      </c>
      <c r="M19" s="16" t="n">
        <f aca="false">$C$38+$C$39*F19+$C$40*G19</f>
        <v>0.114526593622254</v>
      </c>
      <c r="N19" s="16" t="n">
        <f aca="false">E19-M19</f>
        <v>-2.27768283608681E-005</v>
      </c>
    </row>
    <row r="20" customFormat="false" ht="15" hidden="false" customHeight="false" outlineLevel="0" collapsed="false">
      <c r="A20" s="13" t="n">
        <f aca="false">Data!B18</f>
        <v>15</v>
      </c>
      <c r="B20" s="10" t="n">
        <f aca="false">Data!E18</f>
        <v>1</v>
      </c>
      <c r="C20" s="10" t="n">
        <f aca="false">Data!D18</f>
        <v>20</v>
      </c>
      <c r="D20" s="10" t="n">
        <f aca="false">Data!C18</f>
        <v>133</v>
      </c>
      <c r="E20" s="14" t="n">
        <f aca="false">B20*C20/D20</f>
        <v>0.150375939849624</v>
      </c>
      <c r="F20" s="10" t="n">
        <f aca="false">Data!G18</f>
        <v>0</v>
      </c>
      <c r="G20" s="15" t="n">
        <f aca="false">C20</f>
        <v>20</v>
      </c>
      <c r="H20" s="14" t="n">
        <f aca="false">F20*E20</f>
        <v>0</v>
      </c>
      <c r="I20" s="14" t="n">
        <f aca="false">G20*E20</f>
        <v>3.00751879699248</v>
      </c>
      <c r="J20" s="15" t="n">
        <f aca="false">F20*G20</f>
        <v>0</v>
      </c>
      <c r="K20" s="15" t="n">
        <f aca="false">F20^2</f>
        <v>0</v>
      </c>
      <c r="L20" s="15" t="n">
        <f aca="false">G20^2</f>
        <v>400</v>
      </c>
      <c r="M20" s="16" t="n">
        <f aca="false">$C$38+$C$39*F20+$C$40*G20</f>
        <v>0.150329121672005</v>
      </c>
      <c r="N20" s="16" t="n">
        <f aca="false">E20-M20</f>
        <v>4.68181776194232E-005</v>
      </c>
    </row>
    <row r="21" customFormat="false" ht="15" hidden="false" customHeight="false" outlineLevel="0" collapsed="false">
      <c r="A21" s="13" t="n">
        <f aca="false">Data!B19</f>
        <v>16</v>
      </c>
      <c r="B21" s="10" t="n">
        <f aca="false">Data!E19</f>
        <v>1</v>
      </c>
      <c r="C21" s="10" t="n">
        <f aca="false">Data!D19</f>
        <v>1</v>
      </c>
      <c r="D21" s="10" t="n">
        <f aca="false">Data!C19</f>
        <v>41.8</v>
      </c>
      <c r="E21" s="14" t="n">
        <f aca="false">B21*C21/D21</f>
        <v>0.0239234449760766</v>
      </c>
      <c r="F21" s="10" t="n">
        <f aca="false">Data!G19</f>
        <v>1</v>
      </c>
      <c r="G21" s="15" t="n">
        <f aca="false">C21</f>
        <v>1</v>
      </c>
      <c r="H21" s="14" t="n">
        <f aca="false">F21*E21</f>
        <v>0.0239234449760766</v>
      </c>
      <c r="I21" s="14" t="n">
        <f aca="false">G21*E21</f>
        <v>0.0239234449760766</v>
      </c>
      <c r="J21" s="15" t="n">
        <f aca="false">F21*G21</f>
        <v>1</v>
      </c>
      <c r="K21" s="15" t="n">
        <f aca="false">F21^2</f>
        <v>1</v>
      </c>
      <c r="L21" s="15" t="n">
        <f aca="false">G21^2</f>
        <v>1</v>
      </c>
      <c r="M21" s="16" t="n">
        <f aca="false">$C$38+$C$39*F21+$C$40*G21</f>
        <v>0.0232763467971916</v>
      </c>
      <c r="N21" s="16" t="n">
        <f aca="false">E21-M21</f>
        <v>0.00064709817888492</v>
      </c>
    </row>
    <row r="22" customFormat="false" ht="15" hidden="false" customHeight="false" outlineLevel="0" collapsed="false">
      <c r="A22" s="7" t="s">
        <v>42</v>
      </c>
      <c r="B22" s="7" t="s">
        <v>43</v>
      </c>
      <c r="C22" s="7" t="n">
        <f aca="false">COUNT(E6:E21)</f>
        <v>16</v>
      </c>
      <c r="E22" s="17" t="n">
        <f aca="false">SUM(E6:E21)</f>
        <v>0.662237227150839</v>
      </c>
      <c r="F22" s="18" t="n">
        <f aca="false">SUM(F6:F21)</f>
        <v>12</v>
      </c>
      <c r="G22" s="18" t="n">
        <f aca="false">SUM(G6:G21)</f>
        <v>61.5</v>
      </c>
      <c r="H22" s="17" t="n">
        <f aca="false">SUM(H6:H21)</f>
        <v>0.567214776421963</v>
      </c>
      <c r="I22" s="17" t="n">
        <f aca="false">SUM(I6:I21)</f>
        <v>5.99671595873504</v>
      </c>
      <c r="J22" s="18" t="n">
        <f aca="false">SUM(J6:J21)</f>
        <v>12</v>
      </c>
      <c r="K22" s="18" t="n">
        <f aca="false">SUM(K6:K21)</f>
        <v>44</v>
      </c>
      <c r="L22" s="18" t="n">
        <f aca="false">SUM(L6:L21)</f>
        <v>761.25</v>
      </c>
    </row>
    <row r="25" customFormat="false" ht="15" hidden="false" customHeight="false" outlineLevel="0" collapsed="false">
      <c r="A25" s="7" t="s">
        <v>44</v>
      </c>
    </row>
    <row r="26" customFormat="false" ht="15" hidden="false" customHeight="false" outlineLevel="0" collapsed="false">
      <c r="B26" s="19" t="s">
        <v>45</v>
      </c>
      <c r="F26" s="19" t="s">
        <v>46</v>
      </c>
    </row>
    <row r="27" customFormat="false" ht="15" hidden="false" customHeight="false" outlineLevel="0" collapsed="false">
      <c r="B27" s="20" t="n">
        <f aca="false">$C$22</f>
        <v>16</v>
      </c>
      <c r="C27" s="20" t="n">
        <f aca="false">$F$22</f>
        <v>12</v>
      </c>
      <c r="D27" s="20" t="n">
        <f aca="false">$G$22</f>
        <v>61.5</v>
      </c>
      <c r="F27" s="20" t="n">
        <f aca="false">$E$22</f>
        <v>0.662237227150839</v>
      </c>
    </row>
    <row r="28" customFormat="false" ht="15" hidden="false" customHeight="false" outlineLevel="0" collapsed="false">
      <c r="B28" s="20" t="n">
        <f aca="false">$F$22</f>
        <v>12</v>
      </c>
      <c r="C28" s="20" t="n">
        <f aca="false">$K$22</f>
        <v>44</v>
      </c>
      <c r="D28" s="20" t="n">
        <f aca="false">$J$22</f>
        <v>12</v>
      </c>
      <c r="F28" s="20" t="n">
        <f aca="false">$H$22</f>
        <v>0.567214776421963</v>
      </c>
    </row>
    <row r="29" customFormat="false" ht="15" hidden="false" customHeight="false" outlineLevel="0" collapsed="false">
      <c r="B29" s="20" t="n">
        <f aca="false">$G$22</f>
        <v>61.5</v>
      </c>
      <c r="C29" s="20" t="n">
        <f aca="false">$J$22</f>
        <v>12</v>
      </c>
      <c r="D29" s="20" t="n">
        <f aca="false">$L$22</f>
        <v>761.25</v>
      </c>
      <c r="F29" s="20" t="n">
        <f aca="false">$I$22</f>
        <v>5.99671595873504</v>
      </c>
    </row>
    <row r="31" customFormat="false" ht="15" hidden="false" customHeight="false" outlineLevel="0" collapsed="false">
      <c r="B31" s="19" t="s">
        <v>47</v>
      </c>
      <c r="F31" s="19" t="s">
        <v>48</v>
      </c>
      <c r="J31" s="19" t="s">
        <v>49</v>
      </c>
    </row>
    <row r="32" customFormat="false" ht="15" hidden="false" customHeight="false" outlineLevel="0" collapsed="false">
      <c r="B32" s="20" t="n">
        <f aca="false">$E$22</f>
        <v>0.662237227150839</v>
      </c>
      <c r="C32" s="20" t="n">
        <f aca="false">$F$22</f>
        <v>12</v>
      </c>
      <c r="D32" s="20" t="n">
        <f aca="false">$G$22</f>
        <v>61.5</v>
      </c>
      <c r="F32" s="20" t="n">
        <f aca="false">$C$22</f>
        <v>16</v>
      </c>
      <c r="G32" s="20" t="n">
        <f aca="false">$E$22</f>
        <v>0.662237227150839</v>
      </c>
      <c r="H32" s="20" t="n">
        <f aca="false">$G$22</f>
        <v>61.5</v>
      </c>
      <c r="J32" s="20" t="n">
        <f aca="false">$C$22</f>
        <v>16</v>
      </c>
      <c r="K32" s="20" t="n">
        <f aca="false">$F$22</f>
        <v>12</v>
      </c>
      <c r="L32" s="20" t="n">
        <f aca="false">$E$22</f>
        <v>0.662237227150839</v>
      </c>
    </row>
    <row r="33" customFormat="false" ht="15" hidden="false" customHeight="false" outlineLevel="0" collapsed="false">
      <c r="B33" s="20" t="n">
        <f aca="false">$H$22</f>
        <v>0.567214776421963</v>
      </c>
      <c r="C33" s="20" t="n">
        <f aca="false">$K$22</f>
        <v>44</v>
      </c>
      <c r="D33" s="20" t="n">
        <f aca="false">$J$22</f>
        <v>12</v>
      </c>
      <c r="F33" s="20" t="n">
        <f aca="false">$F$22</f>
        <v>12</v>
      </c>
      <c r="G33" s="20" t="n">
        <f aca="false">$H$22</f>
        <v>0.567214776421963</v>
      </c>
      <c r="H33" s="20" t="n">
        <f aca="false">$J$22</f>
        <v>12</v>
      </c>
      <c r="J33" s="20" t="n">
        <f aca="false">$F$22</f>
        <v>12</v>
      </c>
      <c r="K33" s="20" t="n">
        <f aca="false">$K$22</f>
        <v>44</v>
      </c>
      <c r="L33" s="20" t="n">
        <f aca="false">$H$22</f>
        <v>0.567214776421963</v>
      </c>
    </row>
    <row r="34" customFormat="false" ht="15" hidden="false" customHeight="false" outlineLevel="0" collapsed="false">
      <c r="B34" s="20" t="n">
        <f aca="false">$I$22</f>
        <v>5.99671595873504</v>
      </c>
      <c r="C34" s="20" t="n">
        <f aca="false">$J$22</f>
        <v>12</v>
      </c>
      <c r="D34" s="20" t="n">
        <f aca="false">$L$22</f>
        <v>761.25</v>
      </c>
      <c r="F34" s="20" t="n">
        <f aca="false">$G$22</f>
        <v>61.5</v>
      </c>
      <c r="G34" s="20" t="n">
        <f aca="false">$I$22</f>
        <v>5.99671595873504</v>
      </c>
      <c r="H34" s="20" t="n">
        <f aca="false">$L$22</f>
        <v>761.25</v>
      </c>
      <c r="J34" s="20" t="n">
        <f aca="false">$G$22</f>
        <v>61.5</v>
      </c>
      <c r="K34" s="20" t="n">
        <f aca="false">$J$22</f>
        <v>12</v>
      </c>
      <c r="L34" s="20" t="n">
        <f aca="false">$I$22</f>
        <v>5.99671595873504</v>
      </c>
    </row>
    <row r="36" customFormat="false" ht="15" hidden="false" customHeight="false" outlineLevel="0" collapsed="false">
      <c r="A36" s="7" t="s">
        <v>50</v>
      </c>
    </row>
    <row r="37" customFormat="false" ht="15" hidden="false" customHeight="false" outlineLevel="0" collapsed="false">
      <c r="A37" s="21" t="s">
        <v>51</v>
      </c>
      <c r="C37" s="20" t="n">
        <f aca="false">MDETERM(B27:D29)</f>
        <v>275289</v>
      </c>
    </row>
    <row r="38" customFormat="false" ht="15" hidden="false" customHeight="false" outlineLevel="0" collapsed="false">
      <c r="A38" s="21" t="s">
        <v>52</v>
      </c>
      <c r="C38" s="22" t="n">
        <f aca="false">MDETERM(B32:D34)/C37</f>
        <v>0.00711900947300202</v>
      </c>
    </row>
    <row r="39" customFormat="false" ht="15" hidden="false" customHeight="false" outlineLevel="0" collapsed="false">
      <c r="A39" s="21" t="s">
        <v>53</v>
      </c>
      <c r="C39" s="22" t="n">
        <f aca="false">MDETERM(F32:H34)/C37</f>
        <v>0.00899683171423948</v>
      </c>
    </row>
    <row r="40" customFormat="false" ht="15" hidden="false" customHeight="false" outlineLevel="0" collapsed="false">
      <c r="A40" s="21" t="s">
        <v>54</v>
      </c>
      <c r="C40" s="22" t="n">
        <f aca="false">MDETERM(J32:L34)/C37</f>
        <v>0.00716050560995013</v>
      </c>
    </row>
    <row r="41" customFormat="false" ht="15" hidden="false" customHeight="false" outlineLevel="0" collapsed="false">
      <c r="A41" s="7" t="s">
        <v>55</v>
      </c>
      <c r="C41" s="23" t="n">
        <f aca="false">1/C38</f>
        <v>140.468980100726</v>
      </c>
    </row>
    <row r="42" customFormat="false" ht="15" hidden="false" customHeight="false" outlineLevel="0" collapsed="false">
      <c r="A42" s="7" t="s">
        <v>56</v>
      </c>
      <c r="C42" s="24" t="n">
        <f aca="false">C41*0.0000000001</f>
        <v>1.40468980100726E-008</v>
      </c>
    </row>
    <row r="43" customFormat="false" ht="15" hidden="false" customHeight="false" outlineLevel="0" collapsed="false">
      <c r="A43" s="7" t="s">
        <v>57</v>
      </c>
      <c r="C43" s="25" t="n">
        <f aca="false">C39/C38</f>
        <v>1.26377577503709</v>
      </c>
    </row>
    <row r="44" customFormat="false" ht="15" hidden="false" customHeight="false" outlineLevel="0" collapsed="false">
      <c r="A44" s="7" t="s">
        <v>58</v>
      </c>
      <c r="C44" s="25" t="n">
        <f aca="false">C40/C38</f>
        <v>1.00582892003522</v>
      </c>
    </row>
    <row r="45" customFormat="false" ht="15" hidden="false" customHeight="false" outlineLevel="0" collapsed="false">
      <c r="A45" s="21" t="s">
        <v>59</v>
      </c>
      <c r="C45" s="26" t="n">
        <f aca="false">SUMSQ(N6:N21)</f>
        <v>2.5520371414495E-006</v>
      </c>
    </row>
    <row r="46" customFormat="false" ht="15" hidden="false" customHeight="false" outlineLevel="0" collapsed="false">
      <c r="A46" s="21" t="s">
        <v>60</v>
      </c>
      <c r="C46" s="26" t="n">
        <f aca="false">DEVSQ(E6:E21)</f>
        <v>0.0253497952196739</v>
      </c>
    </row>
    <row r="47" customFormat="false" ht="15" hidden="false" customHeight="false" outlineLevel="0" collapsed="false">
      <c r="A47" s="7" t="s">
        <v>61</v>
      </c>
      <c r="C47" s="27" t="n">
        <f aca="false">1-C45/C46</f>
        <v>0.999899327110167</v>
      </c>
    </row>
    <row r="49" customFormat="false" ht="15" hidden="false" customHeight="false" outlineLevel="0" collapsed="false">
      <c r="A49" s="7" t="s">
        <v>62</v>
      </c>
      <c r="C49" s="7" t="str">
        <f aca="false">"y = "&amp;TEXT($C$38,"0.000000")&amp;" + "&amp;TEXT($C$39,"0.000000")&amp;"·x1 + "&amp;TEXT($C$40,"0.000000")&amp;"·x2"</f>
        <v>y = 0.007119 + 0.008997·x1 + 0.007161·x2</v>
      </c>
    </row>
    <row r="50" customFormat="false" ht="15" hidden="false" customHeight="false" outlineLevel="0" collapsed="false">
      <c r="C50" s="7" t="str">
        <f aca="false">"-r'T = "&amp;TEXT(C42,"0.00E+00")&amp;"·PH2·PT / (1 + "&amp;TEXT(C43,"0.000")&amp;"·PB + "&amp;TEXT(C44,"0.000")&amp;"·PT)"</f>
        <v>-r'T = 1.40E-08·PH2·PT / (1 + 1.264·PB + 1.006·PT)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</cols>
  <sheetData>
    <row r="1" customFormat="false" ht="16.1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8" t="str">
        <f aca="false">"a0 = "&amp;TEXT(Perhitungan!$C$38,"0.000000")&amp;"   a1 = "&amp;TEXT(Perhitungan!$C$39,"0.000000")&amp;"   a2 = "&amp;TEXT(Perhitungan!$C$40,"0.000000")&amp;"   R² = "&amp;TEXT(Perhitungan!C47,"0.0000")</f>
        <v>a0 = 0.007119   a1 = 0.008997   a2 = 0.007161   R² = 0.9999</v>
      </c>
    </row>
    <row r="3" customFormat="false" ht="15" hidden="false" customHeight="false" outlineLevel="0" collapsed="false">
      <c r="A3" s="6" t="s">
        <v>64</v>
      </c>
    </row>
    <row r="5" customFormat="false" ht="15" hidden="false" customHeight="false" outlineLevel="0" collapsed="false">
      <c r="A5" s="7" t="s">
        <v>65</v>
      </c>
    </row>
    <row r="6" customFormat="false" ht="15" hidden="false" customHeight="false" outlineLevel="0" collapsed="false">
      <c r="A6" s="29" t="s">
        <v>2</v>
      </c>
      <c r="B6" s="29" t="s">
        <v>66</v>
      </c>
      <c r="C6" s="29" t="s">
        <v>67</v>
      </c>
    </row>
    <row r="7" customFormat="false" ht="15" hidden="false" customHeight="false" outlineLevel="0" collapsed="false">
      <c r="A7" s="13" t="n">
        <f aca="false">Perhitungan!A6</f>
        <v>1</v>
      </c>
      <c r="B7" s="30" t="n">
        <f aca="false">Perhitungan!M6</f>
        <v>0.0142795150829522</v>
      </c>
      <c r="C7" s="30" t="n">
        <f aca="false">Perhitungan!E6</f>
        <v>0.0140845070422535</v>
      </c>
    </row>
    <row r="8" customFormat="false" ht="15" hidden="false" customHeight="false" outlineLevel="0" collapsed="false">
      <c r="A8" s="13" t="n">
        <f aca="false">Perhitungan!A7</f>
        <v>2</v>
      </c>
      <c r="B8" s="30" t="n">
        <f aca="false">Perhitungan!M7</f>
        <v>0.0142795150829522</v>
      </c>
      <c r="C8" s="30" t="n">
        <f aca="false">Perhitungan!E7</f>
        <v>0.0140252454417952</v>
      </c>
    </row>
    <row r="9" customFormat="false" ht="15" hidden="false" customHeight="false" outlineLevel="0" collapsed="false">
      <c r="A9" s="13" t="n">
        <f aca="false">Perhitungan!A8</f>
        <v>3</v>
      </c>
      <c r="B9" s="30" t="n">
        <f aca="false">Perhitungan!M8</f>
        <v>0.0232763467971916</v>
      </c>
      <c r="C9" s="30" t="n">
        <f aca="false">Perhitungan!E8</f>
        <v>0.0240384615384615</v>
      </c>
    </row>
    <row r="10" customFormat="false" ht="15" hidden="false" customHeight="false" outlineLevel="0" collapsed="false">
      <c r="A10" s="13" t="n">
        <f aca="false">Perhitungan!A9</f>
        <v>4</v>
      </c>
      <c r="B10" s="30" t="n">
        <f aca="false">Perhitungan!M9</f>
        <v>0.0502668419399101</v>
      </c>
      <c r="C10" s="30" t="n">
        <f aca="false">Perhitungan!E9</f>
        <v>0.050761421319797</v>
      </c>
    </row>
    <row r="11" customFormat="false" ht="15" hidden="false" customHeight="false" outlineLevel="0" collapsed="false">
      <c r="A11" s="13" t="n">
        <f aca="false">Perhitungan!A10</f>
        <v>5</v>
      </c>
      <c r="B11" s="30" t="n">
        <f aca="false">Perhitungan!M10</f>
        <v>0.0232763467971916</v>
      </c>
      <c r="C11" s="30" t="n">
        <f aca="false">Perhitungan!E10</f>
        <v>0.0238095238095238</v>
      </c>
    </row>
    <row r="12" customFormat="false" ht="15" hidden="false" customHeight="false" outlineLevel="0" collapsed="false">
      <c r="A12" s="13" t="n">
        <f aca="false">Perhitungan!A11</f>
        <v>6</v>
      </c>
      <c r="B12" s="30" t="n">
        <f aca="false">Perhitungan!M11</f>
        <v>0.0592636736541496</v>
      </c>
      <c r="C12" s="30" t="n">
        <f aca="false">Perhitungan!E11</f>
        <v>0.0584795321637427</v>
      </c>
    </row>
    <row r="13" customFormat="false" ht="15" hidden="false" customHeight="false" outlineLevel="0" collapsed="false">
      <c r="A13" s="13" t="n">
        <f aca="false">Perhitungan!A12</f>
        <v>7</v>
      </c>
      <c r="B13" s="30" t="n">
        <f aca="false">Perhitungan!M12</f>
        <v>0.0142795150829522</v>
      </c>
      <c r="C13" s="30" t="n">
        <f aca="false">Perhitungan!E12</f>
        <v>0.0139275766016713</v>
      </c>
    </row>
    <row r="14" customFormat="false" ht="15" hidden="false" customHeight="false" outlineLevel="0" collapsed="false">
      <c r="A14" s="13" t="n">
        <f aca="false">Perhitungan!A13</f>
        <v>8</v>
      </c>
      <c r="B14" s="30" t="n">
        <f aca="false">Perhitungan!M13</f>
        <v>0.0142795150829522</v>
      </c>
      <c r="C14" s="30" t="n">
        <f aca="false">Perhitungan!E13</f>
        <v>0.0140845070422535</v>
      </c>
    </row>
    <row r="15" customFormat="false" ht="15" hidden="false" customHeight="false" outlineLevel="0" collapsed="false">
      <c r="A15" s="13" t="n">
        <f aca="false">Perhitungan!A14</f>
        <v>9</v>
      </c>
      <c r="B15" s="30" t="n">
        <f aca="false">Perhitungan!M14</f>
        <v>0.0142795150829522</v>
      </c>
      <c r="C15" s="30" t="n">
        <f aca="false">Perhitungan!E14</f>
        <v>0.0140845070422535</v>
      </c>
    </row>
    <row r="16" customFormat="false" ht="15" hidden="false" customHeight="false" outlineLevel="0" collapsed="false">
      <c r="A16" s="13" t="n">
        <f aca="false">Perhitungan!A15</f>
        <v>10</v>
      </c>
      <c r="B16" s="30" t="n">
        <f aca="false">Perhitungan!M15</f>
        <v>0.0106992622779771</v>
      </c>
      <c r="C16" s="30" t="n">
        <f aca="false">Perhitungan!E15</f>
        <v>0.0106382978723404</v>
      </c>
    </row>
    <row r="17" customFormat="false" ht="15" hidden="false" customHeight="false" outlineLevel="0" collapsed="false">
      <c r="A17" s="13" t="n">
        <f aca="false">Perhitungan!A16</f>
        <v>11</v>
      </c>
      <c r="B17" s="30" t="n">
        <f aca="false">Perhitungan!M16</f>
        <v>0.0142795150829522</v>
      </c>
      <c r="C17" s="30" t="n">
        <f aca="false">Perhitungan!E16</f>
        <v>0.0140252454417952</v>
      </c>
    </row>
    <row r="18" customFormat="false" ht="15" hidden="false" customHeight="false" outlineLevel="0" collapsed="false">
      <c r="A18" s="13" t="n">
        <f aca="false">Perhitungan!A17</f>
        <v>12</v>
      </c>
      <c r="B18" s="30" t="n">
        <f aca="false">Perhitungan!M17</f>
        <v>0.0429215375227527</v>
      </c>
      <c r="C18" s="30" t="n">
        <f aca="false">Perhitungan!E17</f>
        <v>0.0427350427350427</v>
      </c>
    </row>
    <row r="19" customFormat="false" ht="15" hidden="false" customHeight="false" outlineLevel="0" collapsed="false">
      <c r="A19" s="13" t="n">
        <f aca="false">Perhitungan!A18</f>
        <v>13</v>
      </c>
      <c r="B19" s="30" t="n">
        <f aca="false">Perhitungan!M18</f>
        <v>0.0787240655725033</v>
      </c>
      <c r="C19" s="30" t="n">
        <f aca="false">Perhitungan!E18</f>
        <v>0.078740157480315</v>
      </c>
    </row>
    <row r="20" customFormat="false" ht="15" hidden="false" customHeight="false" outlineLevel="0" collapsed="false">
      <c r="A20" s="13" t="n">
        <f aca="false">Perhitungan!A19</f>
        <v>14</v>
      </c>
      <c r="B20" s="30" t="n">
        <f aca="false">Perhitungan!M19</f>
        <v>0.114526593622254</v>
      </c>
      <c r="C20" s="30" t="n">
        <f aca="false">Perhitungan!E19</f>
        <v>0.114503816793893</v>
      </c>
    </row>
    <row r="21" customFormat="false" ht="15" hidden="false" customHeight="false" outlineLevel="0" collapsed="false">
      <c r="A21" s="13" t="n">
        <f aca="false">Perhitungan!A20</f>
        <v>15</v>
      </c>
      <c r="B21" s="30" t="n">
        <f aca="false">Perhitungan!M20</f>
        <v>0.150329121672005</v>
      </c>
      <c r="C21" s="30" t="n">
        <f aca="false">Perhitungan!E20</f>
        <v>0.150375939849624</v>
      </c>
    </row>
    <row r="22" customFormat="false" ht="15" hidden="false" customHeight="false" outlineLevel="0" collapsed="false">
      <c r="A22" s="13" t="n">
        <f aca="false">Perhitungan!A21</f>
        <v>16</v>
      </c>
      <c r="B22" s="30" t="n">
        <f aca="false">Perhitungan!M21</f>
        <v>0.0232763467971916</v>
      </c>
      <c r="C22" s="30" t="n">
        <f aca="false">Perhitungan!E21</f>
        <v>0.0239234449760766</v>
      </c>
    </row>
    <row r="24" customFormat="false" ht="15" hidden="false" customHeight="false" outlineLevel="0" collapsed="false">
      <c r="A24" s="19" t="s">
        <v>68</v>
      </c>
    </row>
    <row r="25" customFormat="false" ht="15" hidden="false" customHeight="false" outlineLevel="0" collapsed="false">
      <c r="B25" s="14" t="n">
        <f aca="false">0</f>
        <v>0</v>
      </c>
      <c r="C25" s="14" t="n">
        <f aca="false">0</f>
        <v>0</v>
      </c>
    </row>
    <row r="26" customFormat="false" ht="15" hidden="false" customHeight="false" outlineLevel="0" collapsed="false">
      <c r="B26" s="14" t="n">
        <f aca="false">1.05*MAX(B7:C22)</f>
        <v>0.157894736842105</v>
      </c>
      <c r="C26" s="14" t="n">
        <f aca="false">B26</f>
        <v>0.157894736842105</v>
      </c>
    </row>
    <row r="29" customFormat="false" ht="15" hidden="false" customHeight="false" outlineLevel="0" collapsed="false">
      <c r="A29" s="7" t="s">
        <v>69</v>
      </c>
    </row>
    <row r="30" customFormat="false" ht="15" hidden="false" customHeight="false" outlineLevel="0" collapsed="false">
      <c r="A30" s="29" t="s">
        <v>34</v>
      </c>
      <c r="B30" s="29" t="s">
        <v>67</v>
      </c>
      <c r="C30" s="29" t="s">
        <v>66</v>
      </c>
    </row>
    <row r="31" customFormat="false" ht="15" hidden="false" customHeight="false" outlineLevel="0" collapsed="false">
      <c r="A31" s="10" t="n">
        <f aca="false">Perhitungan!G15</f>
        <v>0.5</v>
      </c>
      <c r="B31" s="30" t="n">
        <f aca="false">Perhitungan!E15</f>
        <v>0.0106382978723404</v>
      </c>
      <c r="C31" s="30" t="n">
        <f aca="false">Perhitungan!M15</f>
        <v>0.0106992622779771</v>
      </c>
    </row>
    <row r="32" customFormat="false" ht="15" hidden="false" customHeight="false" outlineLevel="0" collapsed="false">
      <c r="A32" s="10" t="n">
        <f aca="false">Perhitungan!G16</f>
        <v>1</v>
      </c>
      <c r="B32" s="30" t="n">
        <f aca="false">Perhitungan!E16</f>
        <v>0.0140252454417952</v>
      </c>
      <c r="C32" s="30" t="n">
        <f aca="false">Perhitungan!M16</f>
        <v>0.0142795150829522</v>
      </c>
    </row>
    <row r="33" customFormat="false" ht="15" hidden="false" customHeight="false" outlineLevel="0" collapsed="false">
      <c r="A33" s="10" t="n">
        <f aca="false">Perhitungan!G17</f>
        <v>5</v>
      </c>
      <c r="B33" s="30" t="n">
        <f aca="false">Perhitungan!E17</f>
        <v>0.0427350427350427</v>
      </c>
      <c r="C33" s="30" t="n">
        <f aca="false">Perhitungan!M17</f>
        <v>0.0429215375227527</v>
      </c>
    </row>
    <row r="34" customFormat="false" ht="15" hidden="false" customHeight="false" outlineLevel="0" collapsed="false">
      <c r="A34" s="10" t="n">
        <f aca="false">Perhitungan!G18</f>
        <v>10</v>
      </c>
      <c r="B34" s="30" t="n">
        <f aca="false">Perhitungan!E18</f>
        <v>0.078740157480315</v>
      </c>
      <c r="C34" s="30" t="n">
        <f aca="false">Perhitungan!M18</f>
        <v>0.0787240655725033</v>
      </c>
    </row>
    <row r="35" customFormat="false" ht="15" hidden="false" customHeight="false" outlineLevel="0" collapsed="false">
      <c r="A35" s="10" t="n">
        <f aca="false">Perhitungan!G19</f>
        <v>15</v>
      </c>
      <c r="B35" s="30" t="n">
        <f aca="false">Perhitungan!E19</f>
        <v>0.114503816793893</v>
      </c>
      <c r="C35" s="30" t="n">
        <f aca="false">Perhitungan!M19</f>
        <v>0.114526593622254</v>
      </c>
    </row>
    <row r="36" customFormat="false" ht="15" hidden="false" customHeight="false" outlineLevel="0" collapsed="false">
      <c r="A36" s="10" t="n">
        <f aca="false">Perhitungan!G20</f>
        <v>20</v>
      </c>
      <c r="B36" s="30" t="n">
        <f aca="false">Perhitungan!E20</f>
        <v>0.150375939849624</v>
      </c>
      <c r="C36" s="30" t="n">
        <f aca="false">Perhitungan!M20</f>
        <v>0.150329121672005</v>
      </c>
    </row>
    <row r="39" customFormat="false" ht="15" hidden="false" customHeight="false" outlineLevel="0" collapsed="false">
      <c r="A39" s="7" t="s">
        <v>70</v>
      </c>
    </row>
    <row r="40" customFormat="false" ht="15" hidden="false" customHeight="false" outlineLevel="0" collapsed="false">
      <c r="A40" s="29" t="s">
        <v>33</v>
      </c>
      <c r="B40" s="29" t="s">
        <v>67</v>
      </c>
      <c r="C40" s="29" t="s">
        <v>66</v>
      </c>
    </row>
    <row r="41" customFormat="false" ht="15" hidden="false" customHeight="false" outlineLevel="0" collapsed="false">
      <c r="A41" s="10" t="n">
        <f aca="false">Perhitungan!F12</f>
        <v>0</v>
      </c>
      <c r="B41" s="30" t="n">
        <f aca="false">Perhitungan!E12</f>
        <v>0.0139275766016713</v>
      </c>
      <c r="C41" s="30" t="n">
        <f aca="false">Perhitungan!M12</f>
        <v>0.0142795150829522</v>
      </c>
    </row>
    <row r="42" customFormat="false" ht="15" hidden="false" customHeight="false" outlineLevel="0" collapsed="false">
      <c r="A42" s="10" t="n">
        <f aca="false">Perhitungan!F8</f>
        <v>1</v>
      </c>
      <c r="B42" s="30" t="n">
        <f aca="false">Perhitungan!E8</f>
        <v>0.0240384615384615</v>
      </c>
      <c r="C42" s="30" t="n">
        <f aca="false">Perhitungan!M8</f>
        <v>0.0232763467971916</v>
      </c>
    </row>
    <row r="43" customFormat="false" ht="15" hidden="false" customHeight="false" outlineLevel="0" collapsed="false">
      <c r="A43" s="10" t="n">
        <f aca="false">Perhitungan!F9</f>
        <v>4</v>
      </c>
      <c r="B43" s="30" t="n">
        <f aca="false">Perhitungan!E9</f>
        <v>0.050761421319797</v>
      </c>
      <c r="C43" s="30" t="n">
        <f aca="false">Perhitungan!M9</f>
        <v>0.0502668419399101</v>
      </c>
    </row>
    <row r="44" customFormat="false" ht="15" hidden="false" customHeight="false" outlineLevel="0" collapsed="false">
      <c r="A44" s="10" t="n">
        <f aca="false">Perhitungan!F11</f>
        <v>5</v>
      </c>
      <c r="B44" s="30" t="n">
        <f aca="false">Perhitungan!E11</f>
        <v>0.0584795321637427</v>
      </c>
      <c r="C44" s="30" t="n">
        <f aca="false">Perhitungan!M11</f>
        <v>0.0592636736541496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2026-10-15T07:09:45Z</dcterms:created>
  <dc:creator>openpyxl</dc:creator>
  <dc:description/>
  <dc:language>en-US</dc:language>
  <cp:lastModifiedBy/>
  <dcterms:modified xsi:type="dcterms:W3CDTF">2026-10-15T07:09:46Z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