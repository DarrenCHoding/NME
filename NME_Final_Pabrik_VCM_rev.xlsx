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8" activeTab="0" autoFilterDateGrouping="1"/>
  </bookViews>
  <sheets>
    <sheet xmlns:r="http://schemas.openxmlformats.org/officeDocument/2006/relationships" name="Analisa Pasar" sheetId="1" state="visible" r:id="rId1"/>
    <sheet xmlns:r="http://schemas.openxmlformats.org/officeDocument/2006/relationships" name="Unjuk Kerja" sheetId="2" state="visible" r:id="rId2"/>
    <sheet xmlns:r="http://schemas.openxmlformats.org/officeDocument/2006/relationships" name="MASTER" sheetId="3" state="visible" r:id="rId3"/>
    <sheet xmlns:r="http://schemas.openxmlformats.org/officeDocument/2006/relationships" name="T-101" sheetId="4" state="visible" r:id="rId4"/>
    <sheet xmlns:r="http://schemas.openxmlformats.org/officeDocument/2006/relationships" name="T-102" sheetId="5" state="visible" r:id="rId5"/>
    <sheet xmlns:r="http://schemas.openxmlformats.org/officeDocument/2006/relationships" name="Data Komponen" sheetId="6" state="visible" r:id="rId6"/>
    <sheet xmlns:r="http://schemas.openxmlformats.org/officeDocument/2006/relationships" name="Data Termo" sheetId="7" state="visible" r:id="rId7"/>
    <sheet xmlns:r="http://schemas.openxmlformats.org/officeDocument/2006/relationships" name="Termodinamika" sheetId="8" state="visible" r:id="rId8"/>
    <sheet xmlns:r="http://schemas.openxmlformats.org/officeDocument/2006/relationships" name="NME-1 Klorinasi Langsung" sheetId="9" state="visible" r:id="rId9"/>
    <sheet xmlns:r="http://schemas.openxmlformats.org/officeDocument/2006/relationships" name="NME-2 Oksiklorinasi" sheetId="10" state="visible" r:id="rId10"/>
    <sheet xmlns:r="http://schemas.openxmlformats.org/officeDocument/2006/relationships" name="NME-3 Kondensasi-Dekantasi" sheetId="11" state="visible" r:id="rId11"/>
    <sheet xmlns:r="http://schemas.openxmlformats.org/officeDocument/2006/relationships" name="NME-4 Kolom Ringan" sheetId="12" state="visible" r:id="rId12"/>
    <sheet xmlns:r="http://schemas.openxmlformats.org/officeDocument/2006/relationships" name="NME-5 Kolom Berat" sheetId="13" state="visible" r:id="rId13"/>
    <sheet xmlns:r="http://schemas.openxmlformats.org/officeDocument/2006/relationships" name="NME-6 Pirolisis" sheetId="14" state="visible" r:id="rId14"/>
    <sheet xmlns:r="http://schemas.openxmlformats.org/officeDocument/2006/relationships" name="NME-7 Kolom HCl" sheetId="15" state="visible" r:id="rId15"/>
    <sheet xmlns:r="http://schemas.openxmlformats.org/officeDocument/2006/relationships" name="NME-8 Kolom VCM" sheetId="16" state="visible" r:id="rId16"/>
    <sheet xmlns:r="http://schemas.openxmlformats.org/officeDocument/2006/relationships" name="NME Overall" sheetId="17" state="visible" r:id="rId17"/>
    <sheet xmlns:r="http://schemas.openxmlformats.org/officeDocument/2006/relationships" name="Tabel Aliran" sheetId="18" state="visible" r:id="rId18"/>
  </sheets>
  <definedNames/>
  <calcPr calcId="124519" fullCalcOnLoad="1" iterate="1" iterateCount="5000" iterateDelta="1e-07"/>
</workbook>
</file>

<file path=xl/styles.xml><?xml version="1.0" encoding="utf-8"?>
<styleSheet xmlns="http://schemas.openxmlformats.org/spreadsheetml/2006/main">
  <numFmts count="16">
    <numFmt numFmtId="164" formatCode="0.0000%"/>
    <numFmt numFmtId="165" formatCode="0.000"/>
    <numFmt numFmtId="166" formatCode="0.0000E+00"/>
    <numFmt numFmtId="167" formatCode="0.0"/>
    <numFmt numFmtId="168" formatCode="#,##0.000"/>
    <numFmt numFmtId="169" formatCode="#,##0.0000"/>
    <numFmt numFmtId="170" formatCode="0.0000"/>
    <numFmt numFmtId="171" formatCode="0.000E+00"/>
    <numFmt numFmtId="172" formatCode="0.000000"/>
    <numFmt numFmtId="173" formatCode="0.00000"/>
    <numFmt numFmtId="174" formatCode="0.000000E+00"/>
    <numFmt numFmtId="175" formatCode="0.0%"/>
    <numFmt numFmtId="176" formatCode="0.00000%"/>
    <numFmt numFmtId="177" formatCode="0.000%"/>
    <numFmt numFmtId="178" formatCode="0.0;\-0.0;0"/>
    <numFmt numFmtId="179" formatCode="0.0000000"/>
  </numFmts>
  <fonts count="19">
    <font>
      <name val="Calibri"/>
      <charset val="1"/>
      <family val="2"/>
      <color theme="1"/>
      <sz val="11"/>
    </font>
    <font>
      <name val="Times New Roman"/>
      <charset val="1"/>
      <color theme="1"/>
      <sz val="12"/>
    </font>
    <font>
      <name val="Times New Roman"/>
      <charset val="1"/>
      <b val="1"/>
      <color theme="1"/>
      <sz val="12"/>
    </font>
    <font>
      <name val="Times New Roman"/>
      <charset val="1"/>
      <sz val="12"/>
    </font>
    <font>
      <name val="Times New Roman"/>
      <charset val="1"/>
      <b val="1"/>
      <color rgb="FF000000"/>
      <sz val="12"/>
    </font>
    <font>
      <name val="Times New Roman"/>
      <charset val="1"/>
      <color rgb="FF242424"/>
      <sz val="12"/>
    </font>
    <font>
      <name val="Aptos Narrow"/>
      <charset val="1"/>
      <b val="1"/>
      <color rgb="FF242424"/>
      <sz val="11"/>
    </font>
    <font>
      <name val="Times New Roman"/>
      <charset val="1"/>
      <b val="1"/>
      <sz val="12"/>
    </font>
    <font>
      <name val="Times New Roman"/>
      <charset val="1"/>
      <b val="1"/>
      <color rgb="FF000000"/>
      <sz val="13"/>
    </font>
    <font>
      <name val="Times New Roman"/>
      <charset val="1"/>
      <i val="1"/>
      <color rgb="FF000000"/>
      <sz val="11"/>
    </font>
    <font>
      <name val="Times New Roman"/>
      <charset val="1"/>
      <color rgb="FF000000"/>
      <sz val="12"/>
    </font>
    <font>
      <name val="Calibri"/>
      <charset val="1"/>
      <family val="2"/>
      <color rgb="FF000000"/>
      <sz val="11"/>
    </font>
    <font>
      <name val="Times New Roman"/>
      <color rgb="FF000000"/>
      <sz val="12"/>
    </font>
    <font>
      <name val="Times New Roman"/>
      <b val="1"/>
      <color rgb="FF000000"/>
      <sz val="12"/>
    </font>
    <font>
      <name val="Times New Roman"/>
      <i val="1"/>
      <color rgb="FF000000"/>
      <sz val="12"/>
    </font>
    <font>
      <name val="Times New Roman"/>
      <b val="1"/>
      <sz val="12"/>
    </font>
    <font>
      <name val="Times New Roman"/>
      <sz val="12"/>
    </font>
    <font>
      <name val="Times New Roman"/>
      <color rgb="FF242424"/>
      <sz val="12"/>
    </font>
    <font>
      <name val="Times New Roman"/>
      <i val="1"/>
      <sz val="12"/>
    </font>
  </fonts>
  <fills count="3">
    <fill>
      <patternFill/>
    </fill>
    <fill>
      <patternFill patternType="gray125"/>
    </fill>
    <fill>
      <patternFill patternType="solid">
        <fgColor rgb="FFDDEBF7"/>
        <bgColor rgb="FFCCFFFF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/>
      <diagonal/>
    </border>
    <border>
      <left/>
      <right style="thin">
        <color auto="1"/>
      </right>
      <top/>
      <bottom/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28">
    <xf numFmtId="0" fontId="0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3" fillId="0" borderId="5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49" fontId="3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1" fillId="0" borderId="6" applyAlignment="1" pivotButton="0" quotePrefix="0" xfId="0">
      <alignment horizontal="center" vertical="center"/>
    </xf>
    <xf numFmtId="0" fontId="1" fillId="0" borderId="7" applyAlignment="1" pivotButton="0" quotePrefix="0" xfId="0">
      <alignment horizontal="center" vertical="center"/>
    </xf>
    <xf numFmtId="0" fontId="1" fillId="0" borderId="8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center" vertical="center" wrapText="1"/>
    </xf>
    <xf numFmtId="4" fontId="3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 wrapText="1"/>
    </xf>
    <xf numFmtId="169" fontId="3" fillId="0" borderId="1" applyAlignment="1" pivotButton="0" quotePrefix="0" xfId="0">
      <alignment horizontal="center" vertical="center" wrapText="1"/>
    </xf>
    <xf numFmtId="4" fontId="7" fillId="0" borderId="1" applyAlignment="1" pivotButton="0" quotePrefix="0" xfId="0">
      <alignment horizontal="center" vertical="center" wrapText="1"/>
    </xf>
    <xf numFmtId="170" fontId="3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11" fontId="3" fillId="0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center" vertical="center" wrapText="1"/>
    </xf>
    <xf numFmtId="171" fontId="3" fillId="0" borderId="1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left" vertical="center"/>
    </xf>
    <xf numFmtId="172" fontId="3" fillId="0" borderId="9" applyAlignment="1" pivotButton="0" quotePrefix="0" xfId="0">
      <alignment horizontal="center" vertical="center" wrapText="1"/>
    </xf>
    <xf numFmtId="0" fontId="2" fillId="0" borderId="9" applyAlignment="1" pivotButton="0" quotePrefix="0" xfId="0">
      <alignment horizontal="center" vertical="center"/>
    </xf>
    <xf numFmtId="0" fontId="6" fillId="0" borderId="9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64" fontId="1" fillId="0" borderId="9" applyAlignment="1" pivotButton="0" quotePrefix="0" xfId="0">
      <alignment horizontal="center" vertical="center"/>
    </xf>
    <xf numFmtId="173" fontId="3" fillId="0" borderId="9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/>
    </xf>
    <xf numFmtId="169" fontId="10" fillId="0" borderId="1" applyAlignment="1" pivotButton="0" quotePrefix="0" xfId="0">
      <alignment horizontal="center" vertical="center" wrapText="1"/>
    </xf>
    <xf numFmtId="4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4" fillId="0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 wrapText="1"/>
    </xf>
    <xf numFmtId="10" fontId="10" fillId="0" borderId="0" applyAlignment="1" pivotButton="0" quotePrefix="0" xfId="0">
      <alignment horizontal="center" vertical="center" wrapText="1"/>
    </xf>
    <xf numFmtId="174" fontId="10" fillId="0" borderId="1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center" vertical="center" wrapText="1"/>
    </xf>
    <xf numFmtId="172" fontId="10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/>
    </xf>
    <xf numFmtId="175" fontId="10" fillId="0" borderId="0" applyAlignment="1" pivotButton="0" quotePrefix="0" xfId="0">
      <alignment horizontal="center" vertical="center" wrapText="1"/>
    </xf>
    <xf numFmtId="175" fontId="10" fillId="0" borderId="1" applyAlignment="1" pivotButton="0" quotePrefix="0" xfId="0">
      <alignment horizontal="center" vertical="center" wrapText="1"/>
    </xf>
    <xf numFmtId="2" fontId="10" fillId="0" borderId="0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11" fontId="10" fillId="0" borderId="1" applyAlignment="1" pivotButton="0" quotePrefix="0" xfId="0">
      <alignment horizontal="center" vertical="center" wrapText="1"/>
    </xf>
    <xf numFmtId="176" fontId="10" fillId="0" borderId="0" applyAlignment="1" pivotButton="0" quotePrefix="0" xfId="0">
      <alignment horizontal="center" vertical="center" wrapText="1"/>
    </xf>
    <xf numFmtId="174" fontId="10" fillId="0" borderId="0" applyAlignment="1" pivotButton="0" quotePrefix="0" xfId="0">
      <alignment horizontal="center" vertical="center" wrapText="1"/>
    </xf>
    <xf numFmtId="177" fontId="10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2" fillId="0" borderId="0" pivotButton="0" quotePrefix="0" xfId="0"/>
    <xf numFmtId="0" fontId="12" fillId="0" borderId="0" applyAlignment="1" pivotButton="0" quotePrefix="0" xfId="0">
      <alignment horizontal="left" vertical="center"/>
    </xf>
    <xf numFmtId="10" fontId="12" fillId="0" borderId="0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/>
    </xf>
    <xf numFmtId="174" fontId="12" fillId="0" borderId="1" applyAlignment="1" pivotButton="0" quotePrefix="0" xfId="0">
      <alignment horizontal="center" vertical="center" wrapText="1"/>
    </xf>
    <xf numFmtId="165" fontId="12" fillId="0" borderId="0" applyAlignment="1" pivotButton="0" quotePrefix="0" xfId="0">
      <alignment horizontal="center" vertical="center" wrapText="1"/>
    </xf>
    <xf numFmtId="4" fontId="12" fillId="0" borderId="0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170" fontId="12" fillId="0" borderId="1" applyAlignment="1" pivotButton="0" quotePrefix="0" xfId="0">
      <alignment horizontal="center" vertical="center" wrapText="1"/>
    </xf>
    <xf numFmtId="172" fontId="12" fillId="0" borderId="1" applyAlignment="1" pivotButton="0" quotePrefix="0" xfId="0">
      <alignment horizontal="center" vertical="center" wrapText="1"/>
    </xf>
    <xf numFmtId="177" fontId="12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4" fontId="12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/>
    </xf>
    <xf numFmtId="169" fontId="12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center"/>
    </xf>
    <xf numFmtId="0" fontId="7" fillId="0" borderId="5" applyAlignment="1" pivotButton="0" quotePrefix="0" xfId="0">
      <alignment horizontal="center" vertical="center" wrapText="1"/>
    </xf>
    <xf numFmtId="4" fontId="3" fillId="0" borderId="5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4" fontId="3" fillId="0" borderId="9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 vertical="center" wrapText="1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4" fillId="0" borderId="1" applyAlignment="1" pivotButton="0" quotePrefix="0" xfId="0">
      <alignment horizontal="center" vertical="center" wrapText="1"/>
    </xf>
    <xf numFmtId="4" fontId="13" fillId="0" borderId="1" applyAlignment="1" pivotButton="0" quotePrefix="0" xfId="0">
      <alignment horizontal="center" vertical="center" wrapText="1"/>
    </xf>
    <xf numFmtId="4" fontId="12" fillId="0" borderId="1" applyAlignment="1" pivotButton="0" quotePrefix="0" xfId="0">
      <alignment horizontal="center" vertical="center" wrapText="1"/>
    </xf>
    <xf numFmtId="165" fontId="3" fillId="0" borderId="9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3" fillId="0" borderId="6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 wrapText="1"/>
    </xf>
    <xf numFmtId="0" fontId="3" fillId="0" borderId="11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 vertical="center" wrapText="1"/>
    </xf>
    <xf numFmtId="2" fontId="3" fillId="0" borderId="9" applyAlignment="1" pivotButton="0" quotePrefix="0" xfId="0">
      <alignment horizontal="center" vertical="center" wrapText="1"/>
    </xf>
    <xf numFmtId="2" fontId="3" fillId="0" borderId="10" applyAlignment="1" pivotButton="0" quotePrefix="0" xfId="0">
      <alignment horizontal="center" vertical="center" wrapText="1"/>
    </xf>
    <xf numFmtId="165" fontId="3" fillId="0" borderId="10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3" fillId="0" borderId="5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4" fontId="10" fillId="0" borderId="1" applyAlignment="1" pivotButton="0" quotePrefix="0" xfId="0">
      <alignment horizontal="center" vertical="center" wrapText="1"/>
    </xf>
    <xf numFmtId="4" fontId="4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/>
    </xf>
    <xf numFmtId="49" fontId="10" fillId="0" borderId="1" applyAlignment="1" pivotButton="0" quotePrefix="0" xfId="0">
      <alignment horizontal="center" vertical="center" wrapText="1"/>
    </xf>
    <xf numFmtId="2" fontId="10" fillId="0" borderId="1" applyAlignment="1" pivotButton="0" quotePrefix="0" xfId="0">
      <alignment horizontal="center" vertical="center" wrapText="1"/>
    </xf>
    <xf numFmtId="170" fontId="10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 wrapText="1"/>
    </xf>
    <xf numFmtId="171" fontId="3" fillId="0" borderId="1" applyAlignment="1" pivotButton="0" quotePrefix="0" xfId="0">
      <alignment horizontal="center" vertical="center" wrapText="1"/>
    </xf>
    <xf numFmtId="2" fontId="3" fillId="0" borderId="11" applyAlignment="1" pivotButton="0" quotePrefix="0" xfId="0">
      <alignment horizontal="center" vertical="center" wrapText="1"/>
    </xf>
    <xf numFmtId="165" fontId="3" fillId="0" borderId="11" applyAlignment="1" pivotButton="0" quotePrefix="0" xfId="0">
      <alignment horizontal="center" vertical="center" wrapText="1"/>
    </xf>
    <xf numFmtId="0" fontId="13" fillId="0" borderId="12" applyAlignment="1" pivotButton="0" quotePrefix="0" xfId="0">
      <alignment horizontal="center" vertical="center" wrapText="1"/>
    </xf>
    <xf numFmtId="0" fontId="13" fillId="0" borderId="13" applyAlignment="1" pivotButton="0" quotePrefix="0" xfId="0">
      <alignment horizontal="center" vertical="center" wrapText="1"/>
    </xf>
    <xf numFmtId="0" fontId="13" fillId="0" borderId="5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vertical="center" wrapText="1"/>
    </xf>
    <xf numFmtId="0" fontId="13" fillId="0" borderId="3" applyAlignment="1" pivotButton="0" quotePrefix="0" xfId="0">
      <alignment horizontal="center" vertical="center" wrapText="1"/>
    </xf>
    <xf numFmtId="0" fontId="13" fillId="0" borderId="14" applyAlignment="1" pivotButton="0" quotePrefix="0" xfId="0">
      <alignment horizontal="center" vertical="center" wrapText="1"/>
    </xf>
    <xf numFmtId="4" fontId="13" fillId="0" borderId="5" applyAlignment="1" pivotButton="0" quotePrefix="0" xfId="0">
      <alignment horizontal="center" vertical="center" wrapText="1"/>
    </xf>
    <xf numFmtId="4" fontId="13" fillId="0" borderId="2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 wrapText="1"/>
    </xf>
    <xf numFmtId="0" fontId="14" fillId="0" borderId="15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4" fontId="13" fillId="0" borderId="15" applyAlignment="1" pivotButton="0" quotePrefix="0" xfId="0">
      <alignment horizontal="center" vertical="center" wrapText="1"/>
    </xf>
    <xf numFmtId="4" fontId="12" fillId="0" borderId="5" applyAlignment="1" pivotButton="0" quotePrefix="0" xfId="0">
      <alignment horizontal="center" vertical="center" wrapText="1"/>
    </xf>
    <xf numFmtId="4" fontId="12" fillId="0" borderId="2" applyAlignment="1" pivotButton="0" quotePrefix="0" xfId="0">
      <alignment horizontal="center" vertical="center" wrapText="1"/>
    </xf>
    <xf numFmtId="4" fontId="12" fillId="0" borderId="15" applyAlignment="1" pivotButton="0" quotePrefix="0" xfId="0">
      <alignment horizontal="center" vertical="center" wrapText="1"/>
    </xf>
    <xf numFmtId="0" fontId="15" fillId="0" borderId="24" applyAlignment="1" pivotButton="0" quotePrefix="0" xfId="0">
      <alignment horizontal="center" vertical="center" wrapText="1"/>
    </xf>
    <xf numFmtId="0" fontId="16" fillId="0" borderId="24" applyAlignment="1" pivotButton="0" quotePrefix="0" xfId="0">
      <alignment horizontal="left" vertical="center"/>
    </xf>
    <xf numFmtId="3" fontId="16" fillId="0" borderId="24" applyAlignment="1" pivotButton="0" quotePrefix="0" xfId="0">
      <alignment horizontal="center" vertical="center" wrapText="1"/>
    </xf>
    <xf numFmtId="10" fontId="16" fillId="0" borderId="24" applyAlignment="1" pivotButton="0" quotePrefix="0" xfId="0">
      <alignment horizontal="center" vertical="center" wrapText="1"/>
    </xf>
    <xf numFmtId="0" fontId="0" fillId="0" borderId="24" pivotButton="0" quotePrefix="0" xfId="0"/>
    <xf numFmtId="3" fontId="0" fillId="0" borderId="0" pivotButton="0" quotePrefix="0" xfId="0"/>
    <xf numFmtId="3" fontId="15" fillId="0" borderId="24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/>
    </xf>
    <xf numFmtId="3" fontId="16" fillId="0" borderId="24" applyAlignment="1" pivotButton="0" quotePrefix="0" xfId="0">
      <alignment horizontal="left" vertical="center"/>
    </xf>
    <xf numFmtId="0" fontId="16" fillId="0" borderId="24" applyAlignment="1" pivotButton="0" quotePrefix="0" xfId="0">
      <alignment horizontal="left" vertical="center" wrapText="1"/>
    </xf>
    <xf numFmtId="0" fontId="16" fillId="0" borderId="24" applyAlignment="1" pivotButton="0" quotePrefix="0" xfId="0">
      <alignment horizontal="center" vertical="center" wrapText="1"/>
    </xf>
    <xf numFmtId="9" fontId="16" fillId="0" borderId="24" applyAlignment="1" pivotButton="0" quotePrefix="0" xfId="0">
      <alignment horizontal="center" vertical="center" wrapText="1"/>
    </xf>
    <xf numFmtId="175" fontId="16" fillId="0" borderId="2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2" pivotButton="0" quotePrefix="0" xfId="0"/>
    <xf numFmtId="0" fontId="0" fillId="0" borderId="14" pivotButton="0" quotePrefix="0" xfId="0"/>
    <xf numFmtId="0" fontId="0" fillId="0" borderId="16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11" pivotButton="0" quotePrefix="0" xfId="0"/>
    <xf numFmtId="172" fontId="3" fillId="0" borderId="9" applyAlignment="1" pivotButton="0" quotePrefix="0" xfId="0">
      <alignment horizontal="center" vertical="center" wrapText="1"/>
    </xf>
    <xf numFmtId="0" fontId="0" fillId="0" borderId="20" pivotButton="0" quotePrefix="0" xfId="0"/>
    <xf numFmtId="2" fontId="16" fillId="0" borderId="24" applyAlignment="1" pivotButton="0" quotePrefix="0" xfId="0">
      <alignment horizontal="center" vertical="center" wrapText="1"/>
    </xf>
    <xf numFmtId="173" fontId="3" fillId="0" borderId="9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center"/>
    </xf>
    <xf numFmtId="0" fontId="16" fillId="0" borderId="0" pivotButton="0" quotePrefix="0" xfId="0"/>
    <xf numFmtId="172" fontId="16" fillId="0" borderId="24" applyAlignment="1" pivotButton="0" quotePrefix="0" xfId="0">
      <alignment horizontal="center" vertical="center" wrapText="1"/>
    </xf>
    <xf numFmtId="165" fontId="16" fillId="0" borderId="24" applyAlignment="1" pivotButton="0" quotePrefix="0" xfId="0">
      <alignment horizontal="center" vertical="center" wrapText="1"/>
    </xf>
    <xf numFmtId="166" fontId="16" fillId="0" borderId="24" applyAlignment="1" pivotButton="0" quotePrefix="0" xfId="0">
      <alignment horizontal="center" vertical="center" wrapText="1"/>
    </xf>
    <xf numFmtId="167" fontId="16" fillId="0" borderId="24" applyAlignment="1" pivotButton="0" quotePrefix="0" xfId="0">
      <alignment horizontal="center" vertical="center" wrapText="1"/>
    </xf>
    <xf numFmtId="171" fontId="16" fillId="0" borderId="24" applyAlignment="1" pivotButton="0" quotePrefix="0" xfId="0">
      <alignment horizontal="center" vertical="center" wrapText="1"/>
    </xf>
    <xf numFmtId="178" fontId="16" fillId="0" borderId="24" applyAlignment="1" pivotButton="0" quotePrefix="0" xfId="0">
      <alignment horizontal="center" vertical="center" wrapText="1"/>
    </xf>
    <xf numFmtId="165" fontId="16" fillId="0" borderId="24" applyAlignment="1" pivotButton="0" quotePrefix="0" xfId="0">
      <alignment horizontal="left" vertical="center" wrapText="1"/>
    </xf>
    <xf numFmtId="11" fontId="16" fillId="0" borderId="24" applyAlignment="1" pivotButton="0" quotePrefix="0" xfId="0">
      <alignment horizontal="center" vertical="center" wrapText="1"/>
    </xf>
    <xf numFmtId="1" fontId="16" fillId="0" borderId="24" applyAlignment="1" pivotButton="0" quotePrefix="0" xfId="0">
      <alignment horizontal="left" vertical="center"/>
    </xf>
    <xf numFmtId="2" fontId="16" fillId="0" borderId="24" applyAlignment="1" pivotButton="0" quotePrefix="0" xfId="0">
      <alignment horizontal="left" vertical="center" wrapText="1"/>
    </xf>
    <xf numFmtId="165" fontId="15" fillId="0" borderId="24" applyAlignment="1" pivotButton="0" quotePrefix="0" xfId="0">
      <alignment horizontal="center" vertical="center" wrapText="1"/>
    </xf>
    <xf numFmtId="0" fontId="15" fillId="0" borderId="24" applyAlignment="1" pivotButton="0" quotePrefix="0" xfId="0">
      <alignment horizontal="left" vertical="center"/>
    </xf>
    <xf numFmtId="0" fontId="15" fillId="0" borderId="24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center" vertical="center" wrapText="1"/>
    </xf>
    <xf numFmtId="10" fontId="16" fillId="0" borderId="0" applyAlignment="1" pivotButton="0" quotePrefix="0" xfId="0">
      <alignment horizontal="center" vertical="center" wrapText="1"/>
    </xf>
    <xf numFmtId="172" fontId="16" fillId="0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center" vertical="center" wrapText="1"/>
    </xf>
    <xf numFmtId="173" fontId="16" fillId="0" borderId="0" applyAlignment="1" pivotButton="0" quotePrefix="0" xfId="0">
      <alignment horizontal="center" vertical="center" wrapText="1"/>
    </xf>
    <xf numFmtId="1" fontId="16" fillId="0" borderId="0" applyAlignment="1" pivotButton="0" quotePrefix="0" xfId="0">
      <alignment horizontal="center" vertical="center" wrapText="1"/>
    </xf>
    <xf numFmtId="3" fontId="16" fillId="0" borderId="0" applyAlignment="1" pivotButton="0" quotePrefix="0" xfId="0">
      <alignment horizontal="center" vertical="center" wrapText="1"/>
    </xf>
    <xf numFmtId="4" fontId="16" fillId="0" borderId="0" applyAlignment="1" pivotButton="0" quotePrefix="0" xfId="0">
      <alignment horizontal="center" vertical="center" wrapText="1"/>
    </xf>
    <xf numFmtId="0" fontId="0" fillId="0" borderId="30" pivotButton="0" quotePrefix="0" xfId="0"/>
    <xf numFmtId="0" fontId="0" fillId="0" borderId="31" pivotButton="0" quotePrefix="0" xfId="0"/>
    <xf numFmtId="0" fontId="0" fillId="0" borderId="26" pivotButton="0" quotePrefix="0" xfId="0"/>
    <xf numFmtId="0" fontId="0" fillId="0" borderId="27" pivotButton="0" quotePrefix="0" xfId="0"/>
    <xf numFmtId="0" fontId="17" fillId="0" borderId="24" applyAlignment="1" pivotButton="0" quotePrefix="0" xfId="0">
      <alignment horizontal="center" vertical="center" wrapText="1"/>
    </xf>
    <xf numFmtId="168" fontId="16" fillId="0" borderId="24" applyAlignment="1" pivotButton="0" quotePrefix="0" xfId="0">
      <alignment horizontal="center" vertical="center" wrapText="1"/>
    </xf>
    <xf numFmtId="169" fontId="16" fillId="0" borderId="24" applyAlignment="1" pivotButton="0" quotePrefix="0" xfId="0">
      <alignment horizontal="center" vertical="center" wrapText="1"/>
    </xf>
    <xf numFmtId="4" fontId="16" fillId="0" borderId="24" applyAlignment="1" pivotButton="0" quotePrefix="0" xfId="0">
      <alignment horizontal="center" vertical="center" wrapText="1"/>
    </xf>
    <xf numFmtId="4" fontId="15" fillId="0" borderId="24" applyAlignment="1" pivotButton="0" quotePrefix="0" xfId="0">
      <alignment horizontal="center" vertical="center" wrapText="1"/>
    </xf>
    <xf numFmtId="0" fontId="18" fillId="0" borderId="24" applyAlignment="1" pivotButton="0" quotePrefix="0" xfId="0">
      <alignment horizontal="center" vertical="center" wrapText="1"/>
    </xf>
    <xf numFmtId="4" fontId="18" fillId="0" borderId="24" applyAlignment="1" pivotButton="0" quotePrefix="0" xfId="0">
      <alignment horizontal="center" vertical="center" wrapText="1"/>
    </xf>
    <xf numFmtId="167" fontId="16" fillId="0" borderId="0" applyAlignment="1" pivotButton="0" quotePrefix="0" xfId="0">
      <alignment horizontal="center" vertical="center" wrapText="1"/>
    </xf>
    <xf numFmtId="175" fontId="16" fillId="0" borderId="0" applyAlignment="1" pivotButton="0" quotePrefix="0" xfId="0">
      <alignment horizontal="center" vertical="center" wrapText="1"/>
    </xf>
    <xf numFmtId="2" fontId="16" fillId="0" borderId="0" applyAlignment="1" pivotButton="0" quotePrefix="0" xfId="0">
      <alignment horizontal="center" vertical="center" wrapText="1"/>
    </xf>
    <xf numFmtId="170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179" fontId="16" fillId="0" borderId="0" applyAlignment="1" pivotButton="0" quotePrefix="0" xfId="0">
      <alignment horizontal="center" vertical="center" wrapText="1"/>
    </xf>
    <xf numFmtId="168" fontId="15" fillId="0" borderId="24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242424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0"/>
  <sheetViews>
    <sheetView tabSelected="1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30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62" t="inlineStr">
        <is>
          <t>Tahun</t>
        </is>
      </c>
      <c r="B1" s="162" t="inlineStr">
        <is>
          <t>Impor (ton)</t>
        </is>
      </c>
      <c r="C1" s="162" t="inlineStr">
        <is>
          <t>Ekspor (ton)</t>
        </is>
      </c>
      <c r="D1" s="162" t="inlineStr">
        <is>
          <t>Kapasitas Produksi VCM Total di Indonesia (ton)</t>
        </is>
      </c>
      <c r="E1" s="162" t="inlineStr">
        <is>
          <t>Konsumsi VCM (ton) = Kapasitas + Impor − Ekspor</t>
        </is>
      </c>
      <c r="F1" s="162" t="inlineStr">
        <is>
          <t>CAGR Impor (2017-2025)</t>
        </is>
      </c>
      <c r="G1" s="162" t="inlineStr">
        <is>
          <t>CAGR Ekspor (2017-2025)</t>
        </is>
      </c>
      <c r="H1" s="162" t="inlineStr">
        <is>
          <t>CAGR Impor 5 Tahun Terakhir</t>
        </is>
      </c>
      <c r="I1" s="162" t="inlineStr">
        <is>
          <t>CAGR Ekspor 5 Tahun Terakhir</t>
        </is>
      </c>
      <c r="J1" s="162" t="inlineStr">
        <is>
          <t>CAGR Impor 3 Tahun Terakhir</t>
        </is>
      </c>
      <c r="K1" s="162" t="inlineStr">
        <is>
          <t>CAGR Ekspor 3 Tahun Terakhir</t>
        </is>
      </c>
      <c r="L1" s="162" t="inlineStr">
        <is>
          <t>Impor VCM 2030 (ton)</t>
        </is>
      </c>
      <c r="M1" s="162" t="inlineStr">
        <is>
          <t>Ekspor VCM 2030 (ton)</t>
        </is>
      </c>
    </row>
    <row r="2">
      <c r="A2" s="163" t="n">
        <v>2017</v>
      </c>
      <c r="B2" s="164" t="n">
        <v>112777.474</v>
      </c>
      <c r="C2" s="164" t="n">
        <v>166080.983</v>
      </c>
      <c r="D2" s="164">
        <f>$B$22</f>
        <v>1030000.0</v>
      </c>
      <c r="E2" s="164">
        <f>D2+B2-C2</f>
        <v>976696.4909999999</v>
      </c>
      <c r="F2" s="165">
        <f>(B10/B2)^(1/(A10-A2))-1</f>
        <v>0.05877796652221923</v>
      </c>
      <c r="G2" s="165">
        <f>(C10/C2)^(1/(A10-A2))-1</f>
        <v>-0.11595752865489595</v>
      </c>
      <c r="H2" s="165">
        <f>(B10/B6)^(1/(A10-A6))-1</f>
        <v>0.12514432229889505</v>
      </c>
      <c r="I2" s="165">
        <f>(C10/C6)^(1/(A10-A6))-1</f>
        <v>-0.2763799158780982</v>
      </c>
      <c r="J2" s="165">
        <f>(B10/B8)^(1/(A10-A8))-1</f>
        <v>0.16282788564596729</v>
      </c>
      <c r="K2" s="165">
        <f>(C10/C8)^(1/(A10-A8))-1</f>
        <v>0.17952199970778038</v>
      </c>
      <c r="L2" s="164">
        <f>$B$10*(1+$F$2)^(2030-$A$10)</f>
        <v>236965.9778346451</v>
      </c>
      <c r="M2" s="164">
        <f>$C$10*(1+$G$2)^(2030-$A$10)</f>
        <v>33455.73660966965</v>
      </c>
    </row>
    <row r="3">
      <c r="A3" s="163" t="n">
        <v>2018</v>
      </c>
      <c r="B3" s="164" t="n">
        <v>144285.34</v>
      </c>
      <c r="C3" s="164" t="n">
        <v>212006.94</v>
      </c>
      <c r="D3" s="164">
        <f>$B$22</f>
        <v>1030000.0</v>
      </c>
      <c r="E3" s="164">
        <f>D3+B3-C3</f>
        <v>962278.4000000001</v>
      </c>
      <c r="F3" s="166" t="n"/>
      <c r="G3" s="166" t="n"/>
      <c r="H3" s="166" t="n"/>
      <c r="I3" s="166" t="n"/>
      <c r="J3" s="166" t="n"/>
      <c r="K3" s="166" t="n"/>
      <c r="L3" s="166" t="n"/>
      <c r="M3" s="166" t="n"/>
    </row>
    <row r="4">
      <c r="A4" s="163" t="n">
        <v>2019</v>
      </c>
      <c r="B4" s="164" t="n">
        <v>127740.417</v>
      </c>
      <c r="C4" s="164" t="n">
        <v>195566.352</v>
      </c>
      <c r="D4" s="164">
        <f>$B$22</f>
        <v>1030000.0</v>
      </c>
      <c r="E4" s="164">
        <f>D4+B4-C4</f>
        <v>962174.065</v>
      </c>
      <c r="F4" s="166" t="n"/>
      <c r="G4" s="166" t="n"/>
      <c r="H4" s="166" t="n"/>
      <c r="I4" s="166" t="n"/>
      <c r="J4" s="166" t="n"/>
      <c r="K4" s="166" t="n"/>
      <c r="L4" s="166" t="n"/>
      <c r="M4" s="166" t="n"/>
    </row>
    <row r="5">
      <c r="A5" s="163" t="n">
        <v>2020</v>
      </c>
      <c r="B5" s="164" t="n">
        <v>121070.215</v>
      </c>
      <c r="C5" s="164" t="n">
        <v>198092.4</v>
      </c>
      <c r="D5" s="164">
        <f>$B$22</f>
        <v>1030000.0</v>
      </c>
      <c r="E5" s="164">
        <f>D5+B5-C5</f>
        <v>952977.8150000001</v>
      </c>
      <c r="F5" s="166" t="n"/>
      <c r="G5" s="166" t="n"/>
      <c r="H5" s="166" t="n"/>
      <c r="I5" s="166" t="n"/>
      <c r="J5" s="166" t="n"/>
      <c r="K5" s="166" t="n"/>
      <c r="L5" s="166" t="n"/>
      <c r="M5" s="166" t="n"/>
    </row>
    <row r="6">
      <c r="A6" s="163" t="n">
        <v>2021</v>
      </c>
      <c r="B6" s="164" t="n">
        <v>111129.303</v>
      </c>
      <c r="C6" s="164" t="n">
        <v>225976.094</v>
      </c>
      <c r="D6" s="164">
        <f>$B$22</f>
        <v>1030000.0</v>
      </c>
      <c r="E6" s="164">
        <f>D6+B6-C6</f>
        <v>915153.209</v>
      </c>
      <c r="F6" s="166" t="n"/>
      <c r="G6" s="166" t="n"/>
      <c r="H6" s="166" t="n"/>
      <c r="I6" s="166" t="n"/>
      <c r="J6" s="166" t="n"/>
      <c r="K6" s="166" t="n"/>
      <c r="L6" s="166" t="n"/>
      <c r="M6" s="166" t="n"/>
    </row>
    <row r="7">
      <c r="A7" s="163" t="n">
        <v>2022</v>
      </c>
      <c r="B7" s="164" t="n">
        <v>110382.107</v>
      </c>
      <c r="C7" s="164" t="n">
        <v>115236.485</v>
      </c>
      <c r="D7" s="164">
        <f>$B$22</f>
        <v>1030000.0</v>
      </c>
      <c r="E7" s="164">
        <f>D7+B7-C7</f>
        <v>1025145.6220000001</v>
      </c>
      <c r="F7" s="166" t="n"/>
      <c r="G7" s="166" t="n"/>
      <c r="H7" s="166" t="n"/>
      <c r="I7" s="166" t="n"/>
      <c r="J7" s="166" t="n"/>
      <c r="K7" s="166" t="n"/>
      <c r="L7" s="166" t="n"/>
      <c r="M7" s="166" t="n"/>
    </row>
    <row r="8">
      <c r="A8" s="163" t="n">
        <v>2023</v>
      </c>
      <c r="B8" s="164" t="n">
        <v>131713.608</v>
      </c>
      <c r="C8" s="164" t="n">
        <v>44534.118</v>
      </c>
      <c r="D8" s="164">
        <f>$B$22</f>
        <v>1030000.0</v>
      </c>
      <c r="E8" s="164">
        <f>D8+B8-C8</f>
        <v>1117179.49</v>
      </c>
      <c r="F8" s="166" t="n"/>
      <c r="G8" s="166" t="n"/>
      <c r="H8" s="166" t="n"/>
      <c r="I8" s="166" t="n"/>
      <c r="J8" s="166" t="n"/>
      <c r="K8" s="166" t="n"/>
      <c r="L8" s="166" t="n"/>
      <c r="M8" s="166" t="n"/>
    </row>
    <row r="9">
      <c r="A9" s="163" t="n">
        <v>2024</v>
      </c>
      <c r="B9" s="164" t="n">
        <v>141123.634</v>
      </c>
      <c r="C9" s="164" t="n">
        <v>27413.954</v>
      </c>
      <c r="D9" s="164">
        <f>$B$22</f>
        <v>1030000.0</v>
      </c>
      <c r="E9" s="164">
        <f>D9+B9-C9</f>
        <v>1143709.6800000002</v>
      </c>
      <c r="F9" s="166" t="n"/>
      <c r="G9" s="166" t="n"/>
      <c r="H9" s="166" t="n"/>
      <c r="I9" s="166" t="n"/>
      <c r="J9" s="166" t="n"/>
      <c r="K9" s="166" t="n"/>
      <c r="L9" s="166" t="n"/>
      <c r="M9" s="166" t="n"/>
    </row>
    <row r="10">
      <c r="A10" s="163" t="n">
        <v>2025</v>
      </c>
      <c r="B10" s="164" t="n">
        <v>178099.017</v>
      </c>
      <c r="C10" s="164" t="n">
        <v>61959.078</v>
      </c>
      <c r="D10" s="164">
        <f>$B$22</f>
        <v>1030000.0</v>
      </c>
      <c r="E10" s="164">
        <f>D10+B10-C10</f>
        <v>1146139.939</v>
      </c>
      <c r="F10" s="166" t="n"/>
      <c r="G10" s="166" t="n"/>
      <c r="H10" s="166" t="n"/>
      <c r="I10" s="166" t="n"/>
      <c r="J10" s="166" t="n"/>
      <c r="K10" s="166" t="n"/>
      <c r="L10" s="166" t="n"/>
      <c r="M10" s="166" t="n"/>
    </row>
    <row r="12">
      <c r="A12" s="162" t="inlineStr">
        <is>
          <t>Perusahaan</t>
        </is>
      </c>
      <c r="B12" s="162" t="inlineStr">
        <is>
          <t>Capacity Produksi PVC</t>
        </is>
      </c>
    </row>
    <row r="13">
      <c r="A13" s="163" t="inlineStr">
        <is>
          <t>PT Asahimas Chemical</t>
        </is>
      </c>
      <c r="B13" s="164" t="n">
        <v>750000</v>
      </c>
    </row>
    <row r="14">
      <c r="A14" s="163" t="inlineStr">
        <is>
          <t>PT Sulfindo</t>
        </is>
      </c>
      <c r="B14" s="164" t="n">
        <v>110000</v>
      </c>
    </row>
    <row r="15">
      <c r="A15" s="163" t="inlineStr">
        <is>
          <t>TPC Indo Plastik</t>
        </is>
      </c>
      <c r="B15" s="164" t="n">
        <v>120000</v>
      </c>
    </row>
    <row r="16">
      <c r="A16" s="163" t="inlineStr">
        <is>
          <t>Standar Toyo</t>
        </is>
      </c>
      <c r="B16" s="164" t="n">
        <v>88000</v>
      </c>
    </row>
    <row r="17">
      <c r="A17" s="163" t="inlineStr">
        <is>
          <t>Total Demand</t>
        </is>
      </c>
      <c r="B17" s="164">
        <f>SUM(B13:B16)</f>
        <v>1068000.0</v>
      </c>
    </row>
    <row r="18">
      <c r="B18" s="167" t="n"/>
    </row>
    <row r="19">
      <c r="A19" s="162" t="inlineStr">
        <is>
          <t>Perusahaan</t>
        </is>
      </c>
      <c r="B19" s="168" t="inlineStr">
        <is>
          <t>Capacity Produksi VCM</t>
        </is>
      </c>
    </row>
    <row r="20">
      <c r="A20" s="163" t="inlineStr">
        <is>
          <t>PT Asahimas Chemical</t>
        </is>
      </c>
      <c r="B20" s="164" t="n">
        <v>900000</v>
      </c>
    </row>
    <row r="21">
      <c r="A21" s="163" t="inlineStr">
        <is>
          <t>PT Sulfindo</t>
        </is>
      </c>
      <c r="B21" s="164" t="n">
        <v>130000</v>
      </c>
    </row>
    <row r="22">
      <c r="A22" s="163" t="inlineStr">
        <is>
          <t>Total Supply</t>
        </is>
      </c>
      <c r="B22" s="164">
        <f>SUM(B20:B21)</f>
        <v>1030000.0</v>
      </c>
    </row>
    <row r="24">
      <c r="A24" s="169" t="inlineStr">
        <is>
          <t>CAGR 3 Tahun Terakhir</t>
        </is>
      </c>
    </row>
    <row r="25">
      <c r="A25" s="162" t="inlineStr">
        <is>
          <t>Impor 2030 (ton)</t>
        </is>
      </c>
      <c r="B25" s="162" t="inlineStr">
        <is>
          <t>Ekspor 2030 (ton)</t>
        </is>
      </c>
      <c r="C25" s="162" t="inlineStr">
        <is>
          <t>Demand 2030 (ton)</t>
        </is>
      </c>
      <c r="D25" s="162" t="inlineStr">
        <is>
          <t>Supply 2030 (ton)</t>
        </is>
      </c>
      <c r="E25" s="162" t="inlineStr">
        <is>
          <t>Supply Gap (ton)</t>
        </is>
      </c>
    </row>
    <row r="26">
      <c r="A26" s="170">
        <f>B10*(1+J2)^(2030-A10)</f>
        <v>378650.6549677454</v>
      </c>
      <c r="B26" s="164">
        <f>C10*(1+K2)^(2030-A10)</f>
        <v>141460.49515859288</v>
      </c>
      <c r="C26" s="164">
        <f>B22+A26-B26</f>
        <v>1267190.1598091524</v>
      </c>
      <c r="D26" s="164">
        <f>B22</f>
        <v>1030000.0</v>
      </c>
      <c r="E26" s="164">
        <f>C26-D26</f>
        <v>237190.15980915236</v>
      </c>
    </row>
    <row r="28">
      <c r="A28" s="169" t="inlineStr">
        <is>
          <t>Linearize dari 5 Tahun</t>
        </is>
      </c>
    </row>
    <row r="29">
      <c r="A29" s="162" t="inlineStr">
        <is>
          <t>Demand 2030</t>
        </is>
      </c>
      <c r="B29" s="162" t="inlineStr">
        <is>
          <t>Supply 2030</t>
        </is>
      </c>
      <c r="C29" s="162" t="inlineStr">
        <is>
          <t>Supply Gap</t>
        </is>
      </c>
    </row>
    <row r="30">
      <c r="A30" s="170">
        <f>FORECAST(2030,E6:E10,A6:A10)</f>
        <v>1475841.8506</v>
      </c>
      <c r="B30" s="164">
        <f>B22</f>
        <v>1030000.0</v>
      </c>
      <c r="C30" s="164">
        <f>A30-B30</f>
        <v>445841.8506</v>
      </c>
    </row>
    <row r="32">
      <c r="A32" s="162" t="inlineStr">
        <is>
          <t>Referensi</t>
        </is>
      </c>
      <c r="B32" s="162" t="inlineStr">
        <is>
          <t>Regulasi</t>
        </is>
      </c>
      <c r="C32" s="162" t="inlineStr">
        <is>
          <t>Definisi</t>
        </is>
      </c>
      <c r="D32" s="162" t="n"/>
    </row>
    <row r="33">
      <c r="A33" s="163" t="inlineStr">
        <is>
          <t>https://www.bps.go.id/id/exim</t>
        </is>
      </c>
      <c r="B33" s="171" t="inlineStr">
        <is>
          <t>Undang-Undang Nomor 5 Tahun 1999 Pasal 17: "Satu pelaku usaha tidak boleh menguasai lebih dari 50% pangsa pasar"</t>
        </is>
      </c>
      <c r="C33" s="171" t="inlineStr">
        <is>
          <t>Pangsa pasar adalah persentase nilai jual atau beli barang atau jasa tertentu yang dikuasai oleh pelaku usaha pada pasar bersangkutan dalam tahun kalender tertentu.</t>
        </is>
      </c>
      <c r="D33" s="172" t="inlineStr">
        <is>
          <t>MS = kapasitas pabrik / demand</t>
        </is>
      </c>
    </row>
    <row r="36">
      <c r="A36" s="169" t="inlineStr">
        <is>
          <t>Analisa Regulasi dan Pasar</t>
        </is>
      </c>
    </row>
    <row r="37">
      <c r="A37" s="162" t="inlineStr">
        <is>
          <t>Besaran</t>
        </is>
      </c>
      <c r="B37" s="162" t="inlineStr">
        <is>
          <t>Nilai</t>
        </is>
      </c>
      <c r="C37" s="162" t="inlineStr">
        <is>
          <t>Satuan</t>
        </is>
      </c>
      <c r="D37" s="162" t="inlineStr">
        <is>
          <t>Keterangan</t>
        </is>
      </c>
    </row>
    <row r="38">
      <c r="A38" s="163" t="inlineStr">
        <is>
          <t>Utilisasi pabrik PVC</t>
        </is>
      </c>
      <c r="B38" s="173" t="n">
        <v>0.88</v>
      </c>
      <c r="C38" s="172" t="inlineStr">
        <is>
          <t>-</t>
        </is>
      </c>
      <c r="D38" s="171" t="inlineStr">
        <is>
          <t>Asumsi Book 1</t>
        </is>
      </c>
    </row>
    <row r="39">
      <c r="A39" s="163" t="inlineStr">
        <is>
          <t>Konsumsi VCM pabrik PVC</t>
        </is>
      </c>
      <c r="B39" s="164">
        <f>B17*B38</f>
        <v>939840.0</v>
      </c>
      <c r="C39" s="172" t="inlineStr">
        <is>
          <t>ton/tahun</t>
        </is>
      </c>
      <c r="D39" s="171" t="inlineStr">
        <is>
          <t>Kapasitas PVC × utilisasi (1 t VCM per t PVC)</t>
        </is>
      </c>
    </row>
    <row r="40">
      <c r="A40" s="163" t="inlineStr">
        <is>
          <t>Kapasitas pabrik rencana</t>
        </is>
      </c>
      <c r="B40" s="164" t="n">
        <v>150000</v>
      </c>
      <c r="C40" s="172" t="inlineStr">
        <is>
          <t>ton/tahun</t>
        </is>
      </c>
      <c r="D40" s="171" t="inlineStr">
        <is>
          <t>Book 1</t>
        </is>
      </c>
    </row>
    <row r="41">
      <c r="A41" s="163" t="inlineStr">
        <is>
          <t>Pangsa pasar terhadap konsumsi VCM</t>
        </is>
      </c>
      <c r="B41" s="174">
        <f>B40/B39</f>
        <v>0.15960163432073546</v>
      </c>
      <c r="C41" s="172" t="inlineStr">
        <is>
          <t>-</t>
        </is>
      </c>
      <c r="D41" s="171" t="inlineStr">
        <is>
          <t>MS = kapasitas pabrik / demand</t>
        </is>
      </c>
    </row>
    <row r="42">
      <c r="A42" s="163" t="inlineStr">
        <is>
          <t>Pasar VCM yang diperjualbelikan</t>
        </is>
      </c>
      <c r="B42" s="164">
        <f>(B15+B16)*B38</f>
        <v>183040.0</v>
      </c>
      <c r="C42" s="172" t="inlineStr">
        <is>
          <t>ton/tahun</t>
        </is>
      </c>
      <c r="D42" s="171" t="inlineStr">
        <is>
          <t>Pabrik PVC tanpa unit VCM sendiri (TPC Indo Plastik dan Standar Toyo) × utilisasi</t>
        </is>
      </c>
    </row>
    <row r="43">
      <c r="A43" s="163" t="inlineStr">
        <is>
          <t>Pangsa pasar terhadap pasar diperjualbelikan</t>
        </is>
      </c>
      <c r="B43" s="174">
        <f>B40/B42</f>
        <v>0.819493006993007</v>
      </c>
      <c r="C43" s="172" t="inlineStr">
        <is>
          <t>-</t>
        </is>
      </c>
      <c r="D43" s="171" t="inlineStr"/>
    </row>
    <row r="44">
      <c r="A44" s="163" t="inlineStr">
        <is>
          <t>Batas pangsa pasar</t>
        </is>
      </c>
      <c r="B44" s="173" t="n">
        <v>0.5</v>
      </c>
      <c r="C44" s="172" t="inlineStr">
        <is>
          <t>-</t>
        </is>
      </c>
      <c r="D44" s="171" t="inlineStr">
        <is>
          <t>UU No. 5 Tahun 1999 Pasal 17</t>
        </is>
      </c>
    </row>
    <row r="45">
      <c r="A45" s="163" t="inlineStr">
        <is>
          <t>Kapasitas maksimum sesuai batas pangsa pasar</t>
        </is>
      </c>
      <c r="B45" s="164">
        <f>B44*B42</f>
        <v>91520.0</v>
      </c>
      <c r="C45" s="172" t="inlineStr">
        <is>
          <t>ton/tahun</t>
        </is>
      </c>
      <c r="D45" s="171" t="inlineStr"/>
    </row>
    <row r="46">
      <c r="A46" s="163" t="inlineStr">
        <is>
          <t>Kapasitas terpilih</t>
        </is>
      </c>
      <c r="B46" s="164" t="n">
        <v>90000</v>
      </c>
      <c r="C46" s="172" t="inlineStr">
        <is>
          <t>ton/tahun</t>
        </is>
      </c>
      <c r="D46" s="171" t="inlineStr">
        <is>
          <t>Book 1</t>
        </is>
      </c>
    </row>
    <row r="47">
      <c r="A47" s="163" t="inlineStr">
        <is>
          <t>Pangsa pasar kapasitas terpilih</t>
        </is>
      </c>
      <c r="B47" s="174">
        <f>B46/B42</f>
        <v>0.4916958041958042</v>
      </c>
      <c r="C47" s="172" t="inlineStr">
        <is>
          <t>-</t>
        </is>
      </c>
      <c r="D47" s="171" t="inlineStr"/>
    </row>
    <row r="49" ht="34" customHeight="1">
      <c r="A49" s="175" t="inlineStr">
        <is>
          <t>Jumlah estimasi perhitungan konsumsi VCM di Indonesia sebesar 939840 ton/tahun, jika perusahaan ini membangun 150000 ton per tahun maka pabrik ini menguasai 16% pangsa pasar</t>
        </is>
      </c>
    </row>
    <row r="50" ht="34" customHeight="1">
      <c r="A50" s="175" t="inlineStr">
        <is>
          <t>Namun jika definisi pangsa pasar didefinisikan VCM yang diperjualbelikan bukan VCM yang dikonsumsi maka pangsa pasarnya akan menjadi (120000+88000) * 88% = 183040 ton per tahun artinya dengan produksi 150000 ton per tahun, pabrik ini menguasai lebih dari 81.9% pangsa pasar. Maka untuk menaati peraturan UU, produksi harus diturunkan hingga 90000 ton per tahun yang menjadikan pabrik ini menguasai 49% pangsa pasar</t>
        </is>
      </c>
    </row>
  </sheetData>
  <mergeCells count="13">
    <mergeCell ref="A28:C28"/>
    <mergeCell ref="I2:I10"/>
    <mergeCell ref="A24:E24"/>
    <mergeCell ref="A50:M50"/>
    <mergeCell ref="F2:F10"/>
    <mergeCell ref="A36:B36"/>
    <mergeCell ref="H2:H10"/>
    <mergeCell ref="J2:J10"/>
    <mergeCell ref="L2:L10"/>
    <mergeCell ref="M2:M10"/>
    <mergeCell ref="K2:K10"/>
    <mergeCell ref="A49:M49"/>
    <mergeCell ref="G2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tabSelected="0" topLeftCell="B1" zoomScaleNormal="100" workbookViewId="0">
      <selection activeCell="C8" sqref="C8"/>
    </sheetView>
  </sheetViews>
  <sheetFormatPr baseColWidth="8" defaultColWidth="8.7109375" defaultRowHeight="15"/>
  <cols>
    <col width="3.42578125" customWidth="1" style="11" min="1" max="1"/>
    <col width="41.7109375" customWidth="1" style="11" min="2" max="2"/>
    <col width="43.7109375" customWidth="1" style="11" min="3" max="3"/>
    <col width="16" customWidth="1" style="11" min="4" max="4"/>
    <col width="66.5703125" customWidth="1" style="11" min="5" max="5"/>
    <col width="32.42578125" customWidth="1" style="11" min="6" max="6"/>
    <col width="10.28515625" customWidth="1" style="11" min="7" max="7"/>
    <col width="8.7109375" customWidth="1" style="11" min="8" max="16384"/>
  </cols>
  <sheetData>
    <row r="1" ht="15" customHeight="1">
      <c r="A1" s="115" t="inlineStr">
        <is>
          <t>Unjuk Kerja Unit Proses dan Unit Operasi</t>
        </is>
      </c>
      <c r="B1" s="176" t="n"/>
      <c r="C1" s="176" t="n"/>
      <c r="D1" s="176" t="n"/>
      <c r="E1" s="176" t="n"/>
      <c r="F1" s="177" t="n"/>
    </row>
    <row r="2" ht="15" customHeight="1">
      <c r="A2" s="115" t="inlineStr">
        <is>
          <t>No</t>
        </is>
      </c>
      <c r="B2" s="115" t="inlineStr">
        <is>
          <t>Unit Proses / Unit Operasi</t>
        </is>
      </c>
      <c r="C2" s="115" t="inlineStr">
        <is>
          <t>Parameter Unjuk Kerja</t>
        </is>
      </c>
      <c r="D2" s="115" t="inlineStr">
        <is>
          <t>Nilai</t>
        </is>
      </c>
      <c r="E2" s="115" t="inlineStr">
        <is>
          <t>Keterangan</t>
        </is>
      </c>
      <c r="F2" s="115" t="inlineStr">
        <is>
          <t>Referensi</t>
        </is>
      </c>
    </row>
    <row r="3" ht="33" customHeight="1">
      <c r="A3" s="1" t="n">
        <v>1</v>
      </c>
      <c r="B3" s="1" t="inlineStr">
        <is>
          <t>Reaktor Klorinasi Langsung (R-01)</t>
        </is>
      </c>
      <c r="C3" s="1" t="inlineStr">
        <is>
          <t>Rasio mol umpan C₂H₄/Cl₂</t>
        </is>
      </c>
      <c r="D3" s="12" t="inlineStr">
        <is>
          <t>1.004</t>
        </is>
      </c>
      <c r="E3" s="1" t="inlineStr">
        <is>
          <t>Jumlah etilena zona 1 (99.5 %-mol) dan zona 2 (0.9 %-mol) terhadap Cl₂ murni</t>
        </is>
      </c>
      <c r="F3" s="1" t="inlineStr">
        <is>
          <t>U.S. Patent No. 4,072,728 (1978), Contoh 1</t>
        </is>
      </c>
    </row>
    <row r="4" ht="33" customHeight="1">
      <c r="A4" s="1" t="n">
        <v>2</v>
      </c>
      <c r="B4" s="1" t="inlineStr">
        <is>
          <t>Reaktor Klorinasi Langsung (R-01)</t>
        </is>
      </c>
      <c r="C4" s="1" t="inlineStr">
        <is>
          <t>Kehilangan Cl₂</t>
        </is>
      </c>
      <c r="D4" s="12" t="inlineStr">
        <is>
          <t>&lt; 0.01 %</t>
        </is>
      </c>
      <c r="E4" s="1" t="inlineStr">
        <is>
          <t>Fraksi Cl₂ umpan yang tidak bereaksi, dipakai 0.01 % (batas atas)</t>
        </is>
      </c>
      <c r="F4" s="1" t="inlineStr">
        <is>
          <t>U.S. Patent No. 4,072,728 (1978), Contoh 1</t>
        </is>
      </c>
    </row>
    <row r="5" ht="33" customHeight="1">
      <c r="A5" s="1" t="n">
        <v>3</v>
      </c>
      <c r="B5" s="1" t="inlineStr">
        <is>
          <t>Reaktor Klorinasi Langsung (R-01)</t>
        </is>
      </c>
      <c r="C5" s="1" t="inlineStr">
        <is>
          <t>Kadar 1,1,2-trikloroetana dalam EDC</t>
        </is>
      </c>
      <c r="D5" s="12" t="inlineStr">
        <is>
          <t>300 ppm</t>
        </is>
      </c>
      <c r="E5" s="1" t="inlineStr">
        <is>
          <t>Basis berat, menentukan laju reaksi pembentukan TCE</t>
        </is>
      </c>
      <c r="F5" s="1" t="inlineStr">
        <is>
          <t>U.S. Patent No. 4,072,728 (1978), Contoh 1</t>
        </is>
      </c>
    </row>
    <row r="6" ht="33" customHeight="1">
      <c r="A6" s="1" t="n">
        <v>4</v>
      </c>
      <c r="B6" s="1" t="inlineStr">
        <is>
          <t>Reaktor Klorinasi Langsung (R-01)</t>
        </is>
      </c>
      <c r="C6" s="1" t="inlineStr">
        <is>
          <t>Kadar FeCl₃ terlarut dalam EDC</t>
        </is>
      </c>
      <c r="D6" s="12" t="inlineStr">
        <is>
          <t>200 ppm</t>
        </is>
      </c>
      <c r="E6" s="1" t="inlineStr">
        <is>
          <t>Paten tidak menyebut basisnya, dihitung sebagai fraksi berat untuk make-up FeCl₃</t>
        </is>
      </c>
      <c r="F6" s="1" t="inlineStr">
        <is>
          <t>U.S. Patent No. 4,072,728 (1978), Contoh 1</t>
        </is>
      </c>
    </row>
    <row r="7" ht="33" customHeight="1">
      <c r="A7" s="1" t="n">
        <v>5</v>
      </c>
      <c r="B7" s="1" t="inlineStr">
        <is>
          <t>Kondensor Vent R-01</t>
        </is>
      </c>
      <c r="C7" s="1" t="inlineStr">
        <is>
          <t>EDC terbawa gas vent</t>
        </is>
      </c>
      <c r="D7" s="12" t="inlineStr">
        <is>
          <t>1.08 kg/t EDC</t>
        </is>
      </c>
      <c r="E7" s="1" t="inlineStr">
        <is>
          <t>Per ton EDC yang dihasilkan proses seimbang (R-01 + R-02), sebelum alat pengendali emisi. Gas inert, etilena sisa, Cl₂ sisa, dan HCl keluar sebagai vent</t>
        </is>
      </c>
      <c r="F7" s="1" t="inlineStr">
        <is>
          <t>U.S. EPA (1984) EPA-450/4-84-007d, Tabel 2 (Vent B)</t>
        </is>
      </c>
    </row>
    <row r="8" ht="33" customHeight="1">
      <c r="A8" s="1" t="n">
        <v>6</v>
      </c>
      <c r="B8" s="1" t="inlineStr">
        <is>
          <t>Reaktor Oksiklorinasi (R-02)</t>
        </is>
      </c>
      <c r="C8" s="1" t="inlineStr">
        <is>
          <t>Rasio mol umpan C₂H₄ : O₂ : HCl</t>
        </is>
      </c>
      <c r="D8" s="12" t="inlineStr">
        <is>
          <t>1.0 : 0.8 : 2.0</t>
        </is>
      </c>
      <c r="E8" s="1" t="inlineStr">
        <is>
          <t>Oksigen dipasok sebagai udara</t>
        </is>
      </c>
      <c r="F8" s="1" t="inlineStr">
        <is>
          <t>U.S. Patent No. 4,740,642 (1988)</t>
        </is>
      </c>
    </row>
    <row r="9" ht="33" customHeight="1">
      <c r="A9" s="1" t="n">
        <v>7</v>
      </c>
      <c r="B9" s="1" t="inlineStr">
        <is>
          <t>Reaktor Oksiklorinasi (R-02)</t>
        </is>
      </c>
      <c r="C9" s="1" t="inlineStr">
        <is>
          <t>Konversi C₂H₄</t>
        </is>
      </c>
      <c r="D9" s="12" t="inlineStr">
        <is>
          <t>99.5 %</t>
        </is>
      </c>
      <c r="E9" s="1" t="inlineStr">
        <is>
          <t>Fraksi etilena umpan yang bereaksi</t>
        </is>
      </c>
      <c r="F9" s="1" t="inlineStr">
        <is>
          <t>U.S. Patent No. 4,740,642 (1988), Contoh I no. 6</t>
        </is>
      </c>
    </row>
    <row r="10" ht="33" customHeight="1">
      <c r="A10" s="1" t="n">
        <v>8</v>
      </c>
      <c r="B10" s="1" t="inlineStr">
        <is>
          <t>Reaktor Oksiklorinasi (R-02)</t>
        </is>
      </c>
      <c r="C10" s="1" t="inlineStr">
        <is>
          <t>Efisiensi C₂H₄ menjadi EDC</t>
        </is>
      </c>
      <c r="D10" s="12" t="inlineStr">
        <is>
          <t>98.2 %</t>
        </is>
      </c>
      <c r="E10" s="1" t="inlineStr">
        <is>
          <t>Mol EDC terbentuk per mol etilena umpan</t>
        </is>
      </c>
      <c r="F10" s="1" t="inlineStr">
        <is>
          <t>U.S. Patent No. 4,740,642 (1988), Contoh I no. 6</t>
        </is>
      </c>
    </row>
    <row r="11" ht="33" customHeight="1">
      <c r="A11" s="1" t="n">
        <v>9</v>
      </c>
      <c r="B11" s="1" t="inlineStr">
        <is>
          <t>Reaktor Oksiklorinasi (R-02)</t>
        </is>
      </c>
      <c r="C11" s="1" t="inlineStr">
        <is>
          <t>Konversi HCl</t>
        </is>
      </c>
      <c r="D11" s="12" t="inlineStr">
        <is>
          <t>98.6 %</t>
        </is>
      </c>
      <c r="E11" s="1" t="inlineStr">
        <is>
          <t>Nilai terkoreksi</t>
        </is>
      </c>
      <c r="F11" s="1" t="inlineStr">
        <is>
          <t>U.S. Patent No. 4,740,642 (1988), Contoh I no. 6</t>
        </is>
      </c>
    </row>
    <row r="12" ht="33" customHeight="1">
      <c r="A12" s="1" t="n">
        <v>10</v>
      </c>
      <c r="B12" s="1" t="inlineStr">
        <is>
          <t>Reaktor Oksiklorinasi (R-02)</t>
        </is>
      </c>
      <c r="C12" s="1" t="inlineStr">
        <is>
          <t>Produk samping</t>
        </is>
      </c>
      <c r="D12" s="12" t="inlineStr">
        <is>
          <t>C₂H₅Cl dan CO₂</t>
        </is>
      </c>
      <c r="E12" s="1" t="inlineStr">
        <is>
          <t>Etil klorida termasuk produk samping paling banyak dan etilena juga teroksidasi menjadi COₓ. Jumlahnya dihitung dari selisih konversi, efisiensi, dan konversi HCl paten</t>
        </is>
      </c>
      <c r="F12" s="1" t="inlineStr">
        <is>
          <t>Montebelli dkk. (2015); BREF LVOC (2017) Bab 11</t>
        </is>
      </c>
    </row>
    <row r="13" ht="33" customHeight="1">
      <c r="A13" s="1" t="n">
        <v>11</v>
      </c>
      <c r="B13" s="1" t="inlineStr">
        <is>
          <t>Udara Umpan R-02</t>
        </is>
      </c>
      <c r="C13" s="1" t="inlineStr">
        <is>
          <t>Fraksi mol O₂ dalam udara</t>
        </is>
      </c>
      <c r="D13" s="12" t="inlineStr">
        <is>
          <t>0.21</t>
        </is>
      </c>
      <c r="E13" s="1" t="inlineStr">
        <is>
          <t>Fraksi mol N₂ 0.79</t>
        </is>
      </c>
      <c r="F13" s="1" t="inlineStr">
        <is>
          <t>Smith dkk. (2018) Tabel B.1</t>
        </is>
      </c>
    </row>
    <row r="14" ht="33" customHeight="1">
      <c r="A14" s="1" t="n">
        <v>12</v>
      </c>
      <c r="B14" s="1" t="inlineStr">
        <is>
          <t>Kondensor dan Dekanter</t>
        </is>
      </c>
      <c r="C14" s="1" t="inlineStr">
        <is>
          <t>EDC terbawa gas vent</t>
        </is>
      </c>
      <c r="D14" s="12" t="inlineStr">
        <is>
          <t>2.40 kg/t EDC</t>
        </is>
      </c>
      <c r="E14" s="1" t="inlineStr">
        <is>
          <t>Proses udara dengan kondensor berpendingin, per ton EDC yang dihasilkan R-01 + R-02. O₂, N₂, CO₂, etilena, dan etana keluar sebagai vent</t>
        </is>
      </c>
      <c r="F14" s="1" t="inlineStr">
        <is>
          <t>U.S. EPA (1984) EPA-450/4-84-007d, Tabel 2 (Vent A)</t>
        </is>
      </c>
    </row>
    <row r="15" ht="33" customHeight="1">
      <c r="A15" s="1" t="n">
        <v>13</v>
      </c>
      <c r="B15" s="1" t="inlineStr">
        <is>
          <t>Kondensor dan Dekanter</t>
        </is>
      </c>
      <c r="C15" s="1" t="inlineStr">
        <is>
          <t>Kadar EDC dalam fase air asam</t>
        </is>
      </c>
      <c r="D15" s="12" t="inlineStr">
        <is>
          <t>0.08 %</t>
        </is>
      </c>
      <c r="E15" s="1" t="inlineStr">
        <is>
          <t>Basis berat. Air asam berisi HCl sisa reaksi (9.5 %-berat pada contoh paten)</t>
        </is>
      </c>
      <c r="F15" s="1" t="inlineStr">
        <is>
          <t>U.S. Patent No. 4,263,269 (1981), Contoh 1</t>
        </is>
      </c>
    </row>
    <row r="16" ht="33" customHeight="1">
      <c r="A16" s="1" t="n">
        <v>14</v>
      </c>
      <c r="B16" s="1" t="inlineStr">
        <is>
          <t>Kondensor dan Dekanter</t>
        </is>
      </c>
      <c r="C16" s="1" t="inlineStr">
        <is>
          <t>Kadar air dalam fase EDC</t>
        </is>
      </c>
      <c r="D16" s="12" t="inlineStr">
        <is>
          <t>0.20 %</t>
        </is>
      </c>
      <c r="E16" s="1" t="inlineStr">
        <is>
          <t>Basis berat, sisa air ke fase air</t>
        </is>
      </c>
      <c r="F16" s="1" t="inlineStr">
        <is>
          <t>U.S. Patent No. 4,071,572 (1978), Contoh</t>
        </is>
      </c>
    </row>
    <row r="17" ht="33" customHeight="1">
      <c r="A17" s="1" t="n">
        <v>15</v>
      </c>
      <c r="B17" s="1" t="inlineStr">
        <is>
          <t>Kondensor dan Dekanter</t>
        </is>
      </c>
      <c r="C17" s="1" t="inlineStr">
        <is>
          <t>Kadar FeCl₃ dalam fase EDC</t>
        </is>
      </c>
      <c r="D17" s="12" t="inlineStr">
        <is>
          <t>3 ppm</t>
        </is>
      </c>
      <c r="E17" s="1" t="inlineStr">
        <is>
          <t>Basis berat setelah kontak dengan air asam, sisa FeCl₃ ke fase air</t>
        </is>
      </c>
      <c r="F17" s="1" t="inlineStr">
        <is>
          <t>U.S. Patent No. 4,072,728 (1978), Contoh 1 (nilai 3 ppm); klaim 5 (metode ekstraksi air asam)</t>
        </is>
      </c>
    </row>
    <row r="18" ht="33" customHeight="1">
      <c r="A18" s="1" t="n">
        <v>16</v>
      </c>
      <c r="B18" s="1" t="inlineStr">
        <is>
          <t>Kolom Ringan</t>
        </is>
      </c>
      <c r="C18" s="1" t="inlineStr">
        <is>
          <t>Kadar air dalam produk bawah</t>
        </is>
      </c>
      <c r="D18" s="12" t="inlineStr">
        <is>
          <t>&lt; 35 ppm</t>
        </is>
      </c>
      <c r="E18" s="1" t="inlineStr">
        <is>
          <t>Basis berat, dipakai 35 ppm, sisa air ke distilat</t>
        </is>
      </c>
      <c r="F18" s="1" t="inlineStr">
        <is>
          <t>U.S. Patent No. 4,814,528 (1989)</t>
        </is>
      </c>
    </row>
    <row r="19" ht="33" customHeight="1">
      <c r="A19" s="1" t="n">
        <v>17</v>
      </c>
      <c r="B19" s="1" t="inlineStr">
        <is>
          <t>Kolom Ringan</t>
        </is>
      </c>
      <c r="C19" s="1" t="inlineStr">
        <is>
          <t>Kadar VCM dalam produk bawah</t>
        </is>
      </c>
      <c r="D19" s="12" t="inlineStr">
        <is>
          <t>10 ppm</t>
        </is>
      </c>
      <c r="E19" s="1" t="inlineStr">
        <is>
          <t>Basis berat, kadar VCM dalam EDC mentah umpan kolom berat. Sisa VCM ke distilat</t>
        </is>
      </c>
      <c r="F19" s="1" t="inlineStr">
        <is>
          <t>U.S. Patent No. 4,788,357 (1988), Contoh 5</t>
        </is>
      </c>
    </row>
    <row r="20" ht="33" customHeight="1">
      <c r="A20" s="1" t="n">
        <v>18</v>
      </c>
      <c r="B20" s="1" t="inlineStr">
        <is>
          <t>Kolom Ringan</t>
        </is>
      </c>
      <c r="C20" s="1" t="inlineStr">
        <is>
          <t>EDC terbawa keluar lewat vent kolom</t>
        </is>
      </c>
      <c r="D20" s="12" t="inlineStr">
        <is>
          <t>3.00 kg/t EDC</t>
        </is>
      </c>
      <c r="E20" s="1" t="inlineStr">
        <is>
          <t>Per ton EDC yang dihasilkan R-01 + R-02. Faktor EPA menggabungkan vent kolom pengering, kolom fraksi ringan, dan kolom pemurnian EDC, dibebankan ke distilat kolom ringan</t>
        </is>
      </c>
      <c r="F20" s="1" t="inlineStr">
        <is>
          <t>U.S. EPA (1984) EPA-450/4-84-007d, Tabel 2 (Column vents C); BREF LVOC (2017) 11.2.2.3</t>
        </is>
      </c>
    </row>
    <row r="21" ht="33" customHeight="1">
      <c r="A21" s="1" t="n">
        <v>19</v>
      </c>
      <c r="B21" s="1" t="inlineStr">
        <is>
          <t>Kolom Berat</t>
        </is>
      </c>
      <c r="C21" s="1" t="inlineStr">
        <is>
          <t>EDC terbawa ke produk bawah</t>
        </is>
      </c>
      <c r="D21" s="12" t="inlineStr">
        <is>
          <t>1.0 × 10⁻³ mol/mol VCM</t>
        </is>
      </c>
      <c r="E21" s="1" t="inlineStr">
        <is>
          <t>EDC yang keluar dari seksi pemurnian EDC, ikut bersama tar</t>
        </is>
      </c>
      <c r="F21" s="1" t="inlineStr">
        <is>
          <t>Lakshmanan dkk. (1999) Tabel 1; BREF LVOC (2017) 11.2.2.3</t>
        </is>
      </c>
    </row>
    <row r="22" ht="33" customHeight="1">
      <c r="A22" s="1" t="n">
        <v>20</v>
      </c>
      <c r="B22" s="1" t="inlineStr">
        <is>
          <t>Kolom Berat</t>
        </is>
      </c>
      <c r="C22" s="1" t="inlineStr">
        <is>
          <t>1,1,2-trikloroetana ke distilat</t>
        </is>
      </c>
      <c r="D22" s="12" t="inlineStr">
        <is>
          <t>9.42 %</t>
        </is>
      </c>
      <c r="E22" s="1" t="inlineStr">
        <is>
          <t>Dihitung dari data paten: umpan 74.5 t/jam dengan TCE 3100 ppm, distilat 73 t/jam dengan TCE 298 ppm. Sisanya ke produk bawah</t>
        </is>
      </c>
      <c r="F22" s="1" t="inlineStr">
        <is>
          <t>U.S. Patent No. 4,788,357 (1988), Contoh 5</t>
        </is>
      </c>
    </row>
    <row r="23" ht="33" customHeight="1">
      <c r="A23" s="1" t="n">
        <v>21</v>
      </c>
      <c r="B23" s="1" t="inlineStr">
        <is>
          <t>Furnace Pirolisis</t>
        </is>
      </c>
      <c r="C23" s="1" t="inlineStr">
        <is>
          <t>Konversi EDC</t>
        </is>
      </c>
      <c r="D23" s="12" t="inlineStr">
        <is>
          <t>55 %</t>
        </is>
      </c>
      <c r="E23" s="1" t="inlineStr">
        <is>
          <t>Fraksi EDC umpan yang terengkah, tanpa promotor</t>
        </is>
      </c>
      <c r="F23" s="1" t="inlineStr">
        <is>
          <t>U.S. Patent No. 4,590,318 (1986), Contoh II Run 1</t>
        </is>
      </c>
    </row>
    <row r="24" ht="33" customHeight="1">
      <c r="A24" s="1" t="n">
        <v>22</v>
      </c>
      <c r="B24" s="1" t="inlineStr">
        <is>
          <t>Furnace Pirolisis</t>
        </is>
      </c>
      <c r="C24" s="1" t="inlineStr">
        <is>
          <t>Selektivitas VCM</t>
        </is>
      </c>
      <c r="D24" s="12" t="inlineStr">
        <is>
          <t>&gt; 98.5 %</t>
        </is>
      </c>
      <c r="E24" s="1" t="inlineStr">
        <is>
          <t>Dipakai 98.5 %</t>
        </is>
      </c>
      <c r="F24" s="1" t="inlineStr">
        <is>
          <t>U.S. Patent No. 4,590,318 (1986), Contoh II</t>
        </is>
      </c>
    </row>
    <row r="25" ht="33" customHeight="1">
      <c r="A25" s="1" t="n">
        <v>23</v>
      </c>
      <c r="B25" s="1" t="inlineStr">
        <is>
          <t>Furnace Pirolisis</t>
        </is>
      </c>
      <c r="C25" s="1" t="inlineStr">
        <is>
          <t>Reaksi samping</t>
        </is>
      </c>
      <c r="D25" s="12" t="inlineStr">
        <is>
          <t>2EDC → C₄H₈Cl₂ + Cl₂</t>
        </is>
      </c>
      <c r="E25" s="1" t="inlineStr">
        <is>
          <t>EDC yang tidak menjadi VCM terdegradasi menjadi fraksi berat dengan konversi (1 − S)</t>
        </is>
      </c>
      <c r="F25" s="1" t="inlineStr">
        <is>
          <t>Dimian &amp; Bildea (2008) Tabel 7.4 dan Tabel 7.6</t>
        </is>
      </c>
    </row>
    <row r="26" ht="33" customHeight="1">
      <c r="A26" s="1" t="n">
        <v>24</v>
      </c>
      <c r="B26" s="1" t="inlineStr">
        <is>
          <t>Kolom HCl</t>
        </is>
      </c>
      <c r="C26" s="1" t="inlineStr">
        <is>
          <t>Kadar HCl dalam VCM produk</t>
        </is>
      </c>
      <c r="D26" s="12" t="inlineStr">
        <is>
          <t>0.5 ppm</t>
        </is>
      </c>
      <c r="E26" s="1" t="inlineStr">
        <is>
          <t>Basis berat. HCl yang lolos ke produk bawah kolom HCl ikut ke distilat kolom VCM, sehingga laju HCl lolos dihitung dari spesifikasi ini</t>
        </is>
      </c>
      <c r="F26" s="1" t="inlineStr">
        <is>
          <t>U.S. Patent No. 4,642,400 (1987); Dimian &amp; Bildea (2008) Tabel 7.1</t>
        </is>
      </c>
    </row>
    <row r="27" ht="33" customHeight="1">
      <c r="A27" s="1" t="n">
        <v>25</v>
      </c>
      <c r="B27" s="1" t="inlineStr">
        <is>
          <t>Kolom HCl</t>
        </is>
      </c>
      <c r="C27" s="1" t="inlineStr">
        <is>
          <t>Kadar VCM dalam HCl daur ulang</t>
        </is>
      </c>
      <c r="D27" s="12" t="inlineStr">
        <is>
          <t>± 100 ppm</t>
        </is>
      </c>
      <c r="E27" s="1" t="inlineStr">
        <is>
          <t>Satuan tidak dirinci, dihitung sebagai fraksi mol</t>
        </is>
      </c>
      <c r="F27" s="1" t="inlineStr">
        <is>
          <t>BREF LVOC (2017) 11.4.1.1.1</t>
        </is>
      </c>
    </row>
    <row r="28" ht="33" customHeight="1">
      <c r="A28" s="1" t="n">
        <v>26</v>
      </c>
      <c r="B28" s="1" t="inlineStr">
        <is>
          <t>Kolom VCM</t>
        </is>
      </c>
      <c r="C28" s="1" t="inlineStr">
        <is>
          <t>Kemurnian VCM produk</t>
        </is>
      </c>
      <c r="D28" s="12" t="inlineStr">
        <is>
          <t>≥ 99.95 %-mol</t>
        </is>
      </c>
      <c r="E28" s="1" t="inlineStr">
        <is>
          <t>Pengotor yang ada di umpan kolom VCM adalah EDC</t>
        </is>
      </c>
      <c r="F28" s="1" t="inlineStr">
        <is>
          <t>U.S. Patent No. 3,899,399 (1975)</t>
        </is>
      </c>
    </row>
    <row r="29" ht="33" customHeight="1">
      <c r="A29" s="1" t="n">
        <v>27</v>
      </c>
      <c r="B29" s="1" t="inlineStr">
        <is>
          <t>Kolom VCM</t>
        </is>
      </c>
      <c r="C29" s="1" t="inlineStr">
        <is>
          <t>Kadar VCM dalam EDC produk bawah</t>
        </is>
      </c>
      <c r="D29" s="12" t="inlineStr">
        <is>
          <t>&lt; 0.5 %</t>
        </is>
      </c>
      <c r="E29" s="1" t="inlineStr">
        <is>
          <t>Basis berat, dipakai 0.5 %. EDC produk bawah didaur ulang ke kolom ringan</t>
        </is>
      </c>
      <c r="F29" s="1" t="inlineStr">
        <is>
          <t>U.S. Patent No. 3,920,761 (1975), Contoh</t>
        </is>
      </c>
    </row>
    <row r="30" ht="33" customHeight="1">
      <c r="A30" s="1" t="n">
        <v>28</v>
      </c>
      <c r="B30" s="1" t="inlineStr">
        <is>
          <t>Kompresor Udara (K-101)</t>
        </is>
      </c>
      <c r="C30" s="1" t="inlineStr">
        <is>
          <t>Efisiensi isentropik</t>
        </is>
      </c>
      <c r="D30" s="12" t="inlineStr">
        <is>
          <t>0.75</t>
        </is>
      </c>
      <c r="E30" s="1" t="inlineStr">
        <is>
          <t>Rentang umum 0.7 s.d. 0.8, dipakai nilai tengah</t>
        </is>
      </c>
      <c r="F30" s="1" t="inlineStr">
        <is>
          <t>Smith, Van Ness, Abbott &amp; Swihart (2018) h.284</t>
        </is>
      </c>
    </row>
    <row r="31" ht="33" customHeight="1">
      <c r="A31" s="1" t="n">
        <v>29</v>
      </c>
      <c r="B31" s="1" t="inlineStr">
        <is>
          <t>Pompa (P-101, P-103, P-104)</t>
        </is>
      </c>
      <c r="C31" s="1" t="inlineStr">
        <is>
          <t>Efisiensi pompa</t>
        </is>
      </c>
      <c r="D31" s="12" t="inlineStr">
        <is>
          <t>0.75</t>
        </is>
      </c>
      <c r="E31" s="1" t="inlineStr">
        <is>
          <t>Nilai yang dipakai pada contoh pompa cairan</t>
        </is>
      </c>
      <c r="F31" s="1" t="inlineStr">
        <is>
          <t>Smith dkk. (2018) Contoh 7.10</t>
        </is>
      </c>
    </row>
    <row r="32" ht="33" customHeight="1">
      <c r="A32" s="1" t="n">
        <v>30</v>
      </c>
      <c r="B32" s="1" t="inlineStr">
        <is>
          <t>Vaporizer Cl₂ (E-101)</t>
        </is>
      </c>
      <c r="C32" s="1" t="inlineStr">
        <is>
          <t>Superheat minimum uap Cl₂</t>
        </is>
      </c>
      <c r="D32" s="12" t="inlineStr">
        <is>
          <t>11 °C</t>
        </is>
      </c>
      <c r="E32" s="1" t="inlineStr">
        <is>
          <t>Mencegah reliquefaksi di pipa</t>
        </is>
      </c>
      <c r="F32" s="1" t="inlineStr">
        <is>
          <t>The Chlorine Institute, Pamphlet 9 §3.3</t>
        </is>
      </c>
    </row>
    <row r="33" ht="33" customHeight="1">
      <c r="A33" s="1" t="n">
        <v>31</v>
      </c>
      <c r="B33" s="1" t="inlineStr">
        <is>
          <t>Vaporizer HCl (E-109)</t>
        </is>
      </c>
      <c r="C33" s="1" t="inlineStr">
        <is>
          <t>Superheat uap HCl</t>
        </is>
      </c>
      <c r="D33" s="12" t="inlineStr">
        <is>
          <t>11 °C</t>
        </is>
      </c>
      <c r="E33" s="1" t="inlineStr">
        <is>
          <t>Dipakai nilai yang sama dengan Cl₂ (analog)</t>
        </is>
      </c>
      <c r="F33" s="1" t="inlineStr">
        <is>
          <t>The Chlorine Institute, Pamphlet 9 §3.3</t>
        </is>
      </c>
    </row>
    <row r="34" ht="33" customHeight="1">
      <c r="A34" s="1" t="n">
        <v>32</v>
      </c>
      <c r="B34" s="1" t="inlineStr">
        <is>
          <t>Kolom Ringan (KD-101)</t>
        </is>
      </c>
      <c r="C34" s="1" t="inlineStr">
        <is>
          <t>Boil-up ratio</t>
        </is>
      </c>
      <c r="D34" s="12" t="inlineStr">
        <is>
          <t>0.6</t>
        </is>
      </c>
      <c r="E34" s="1" t="inlineStr">
        <is>
          <t>V/B pada reboiler</t>
        </is>
      </c>
      <c r="F34" s="1" t="inlineStr">
        <is>
          <t>Dimian &amp; Bildea (2008) Subbab 7.6</t>
        </is>
      </c>
    </row>
    <row r="35" ht="33" customHeight="1">
      <c r="A35" s="1" t="n">
        <v>33</v>
      </c>
      <c r="B35" s="1" t="inlineStr">
        <is>
          <t>Kolom Berat (KD-102)</t>
        </is>
      </c>
      <c r="C35" s="1" t="inlineStr">
        <is>
          <t>Rasio refluks</t>
        </is>
      </c>
      <c r="D35" s="12" t="inlineStr">
        <is>
          <t>1</t>
        </is>
      </c>
      <c r="E35" s="1" t="inlineStr">
        <is>
          <t>L/D</t>
        </is>
      </c>
      <c r="F35" s="1" t="inlineStr">
        <is>
          <t>Dry dkk. (2003), Capstone Design Univ. of Oklahoma</t>
        </is>
      </c>
    </row>
    <row r="36" ht="33" customHeight="1">
      <c r="A36" s="1" t="n">
        <v>34</v>
      </c>
      <c r="B36" s="1" t="inlineStr">
        <is>
          <t>Kolom HCl (KD-103)</t>
        </is>
      </c>
      <c r="C36" s="1" t="inlineStr">
        <is>
          <t>Laju refluks</t>
        </is>
      </c>
      <c r="D36" s="12" t="inlineStr">
        <is>
          <t>1000 kg/h</t>
        </is>
      </c>
      <c r="E36" s="1" t="inlineStr">
        <is>
          <t>Pada pabrik dengan umpan reaktor ±74,000 kg/h</t>
        </is>
      </c>
      <c r="F36" s="1" t="inlineStr">
        <is>
          <t>Dimian &amp; Bildea (2008) Subbab 7.6</t>
        </is>
      </c>
    </row>
    <row r="37" ht="33" customHeight="1">
      <c r="A37" s="1" t="n">
        <v>35</v>
      </c>
      <c r="B37" s="1" t="inlineStr">
        <is>
          <t>Kolom VCM (KD-104)</t>
        </is>
      </c>
      <c r="C37" s="1" t="inlineStr">
        <is>
          <t>Beban kondensor</t>
        </is>
      </c>
      <c r="D37" s="12" t="inlineStr">
        <is>
          <t>2.98 MW</t>
        </is>
      </c>
      <c r="E37" s="1" t="inlineStr">
        <is>
          <t>Dipakai untuk menurunkan rasio refluks</t>
        </is>
      </c>
      <c r="F37" s="1" t="inlineStr">
        <is>
          <t>Dimian &amp; Bildea (2008) Tabel 7.8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Q30"/>
  <sheetViews>
    <sheetView showGridLines="0" tabSelected="0" zoomScaleNormal="100" workbookViewId="0">
      <selection activeCell="G322" sqref="G322"/>
    </sheetView>
  </sheetViews>
  <sheetFormatPr baseColWidth="8" defaultColWidth="8.7109375" defaultRowHeight="15"/>
  <cols>
    <col width="30" customWidth="1" style="13" min="1" max="1"/>
    <col width="11.28515625" customWidth="1" style="13" min="2" max="2"/>
    <col width="14.28515625" customWidth="1" style="13" min="3" max="3"/>
    <col width="11.28515625" customWidth="1" style="13" min="4" max="4"/>
    <col width="14.28515625" customWidth="1" style="13" min="5" max="5"/>
    <col width="11.28515625" customWidth="1" style="13" min="6" max="6"/>
    <col width="15.140625" customWidth="1" style="13" min="7" max="7"/>
    <col width="11.28515625" customWidth="1" style="13" min="8" max="8"/>
    <col width="13.85546875" customWidth="1" style="13" min="9" max="9"/>
    <col width="9.140625" customWidth="1" style="13" min="10" max="10"/>
    <col width="10.85546875" customWidth="1" style="13" min="11" max="11"/>
    <col width="9.140625" customWidth="1" style="13" min="12" max="12"/>
    <col width="12.5703125" customWidth="1" style="13" min="13" max="13"/>
    <col width="9.140625" customWidth="1" style="13" min="14" max="14"/>
    <col width="10.85546875" customWidth="1" style="13" min="15" max="15"/>
    <col width="9.140625" customWidth="1" style="13" min="16" max="16"/>
    <col width="12.5703125" customWidth="1" style="13" min="17" max="17"/>
    <col width="8.7109375" customWidth="1" style="13" min="18" max="16384"/>
  </cols>
  <sheetData>
    <row r="3" ht="15" customHeight="1">
      <c r="A3" s="14" t="inlineStr">
        <is>
          <t>Neraca Massa</t>
        </is>
      </c>
    </row>
    <row r="4" ht="15" customHeight="1">
      <c r="A4" s="14" t="inlineStr">
        <is>
          <t>NM Unit xx (xx)</t>
        </is>
      </c>
    </row>
    <row r="5" ht="15" customHeight="1">
      <c r="A5" s="15" t="inlineStr">
        <is>
          <t>Tujuan:</t>
        </is>
      </c>
    </row>
    <row r="6" ht="15" customHeight="1">
      <c r="A6" s="15" t="inlineStr">
        <is>
          <t>Unjuk Kerja</t>
        </is>
      </c>
    </row>
    <row r="9" ht="15" customHeight="1">
      <c r="A9" s="15" t="inlineStr">
        <is>
          <t>Basis Perhitungan</t>
        </is>
      </c>
    </row>
    <row r="10" ht="15" customHeight="1">
      <c r="A10" s="115" t="inlineStr">
        <is>
          <t>Substance</t>
        </is>
      </c>
      <c r="B10" s="115" t="inlineStr">
        <is>
          <t>Inlet</t>
        </is>
      </c>
      <c r="C10" s="176" t="n"/>
      <c r="D10" s="176" t="n"/>
      <c r="E10" s="176" t="n"/>
      <c r="F10" s="176" t="n"/>
      <c r="G10" s="176" t="n"/>
      <c r="H10" s="176" t="n"/>
      <c r="I10" s="177" t="n"/>
      <c r="J10" s="116" t="inlineStr">
        <is>
          <t>Outlet</t>
        </is>
      </c>
      <c r="K10" s="176" t="n"/>
      <c r="L10" s="176" t="n"/>
      <c r="M10" s="176" t="n"/>
      <c r="N10" s="176" t="n"/>
      <c r="O10" s="176" t="n"/>
      <c r="P10" s="176" t="n"/>
      <c r="Q10" s="177" t="n"/>
    </row>
    <row r="11" ht="15" customHeight="1">
      <c r="A11" s="178" t="n"/>
      <c r="B11" s="115" t="inlineStr">
        <is>
          <t>Aliran 1</t>
        </is>
      </c>
      <c r="C11" s="176" t="n"/>
      <c r="D11" s="176" t="n"/>
      <c r="E11" s="177" t="n"/>
      <c r="F11" s="117" t="inlineStr">
        <is>
          <t>Aliran 2</t>
        </is>
      </c>
      <c r="G11" s="179" t="n"/>
      <c r="H11" s="179" t="n"/>
      <c r="I11" s="180" t="n"/>
      <c r="J11" s="118" t="inlineStr">
        <is>
          <t>Aliran 3</t>
        </is>
      </c>
      <c r="K11" s="179" t="n"/>
      <c r="L11" s="179" t="n"/>
      <c r="M11" s="180" t="n"/>
      <c r="N11" s="119" t="inlineStr">
        <is>
          <t>Aliran 4</t>
        </is>
      </c>
      <c r="O11" s="179" t="n"/>
      <c r="P11" s="179" t="n"/>
      <c r="Q11" s="180" t="n"/>
    </row>
    <row r="12" ht="15" customHeight="1">
      <c r="A12" s="181" t="n"/>
      <c r="B12" s="16" t="inlineStr">
        <is>
          <t>ẋᵢ</t>
        </is>
      </c>
      <c r="C12" s="17" t="inlineStr">
        <is>
          <t>ṁᵢ (kg/h)</t>
        </is>
      </c>
      <c r="D12" s="17" t="inlineStr">
        <is>
          <t>ẏᵢ</t>
        </is>
      </c>
      <c r="E12" s="17" t="inlineStr">
        <is>
          <t>ṅᵢ (kmol/h)</t>
        </is>
      </c>
      <c r="F12" s="16" t="inlineStr">
        <is>
          <t>ẋᵢ</t>
        </is>
      </c>
      <c r="G12" s="17" t="inlineStr">
        <is>
          <t>ṁᵢ (kg/h)</t>
        </is>
      </c>
      <c r="H12" s="17" t="inlineStr">
        <is>
          <t>ẏᵢ</t>
        </is>
      </c>
      <c r="I12" s="17" t="inlineStr">
        <is>
          <t>ṅᵢ (kmol/h)</t>
        </is>
      </c>
      <c r="J12" s="16" t="inlineStr">
        <is>
          <t>ẋᵢ</t>
        </is>
      </c>
      <c r="K12" s="17" t="inlineStr">
        <is>
          <t>ṁᵢ (kg/h)</t>
        </is>
      </c>
      <c r="L12" s="17" t="inlineStr">
        <is>
          <t>ẏᵢ</t>
        </is>
      </c>
      <c r="M12" s="17" t="inlineStr">
        <is>
          <t>ṅᵢ (kmol/h)</t>
        </is>
      </c>
      <c r="N12" s="16" t="inlineStr">
        <is>
          <t>ẋᵢ</t>
        </is>
      </c>
      <c r="O12" s="17" t="inlineStr">
        <is>
          <t>ṁᵢ (kg/h)</t>
        </is>
      </c>
      <c r="P12" s="17" t="inlineStr">
        <is>
          <t>ẏᵢ</t>
        </is>
      </c>
      <c r="Q12" s="17" t="inlineStr">
        <is>
          <t>ṅᵢ (kmol/h)</t>
        </is>
      </c>
    </row>
    <row r="13" ht="15" customHeight="1">
      <c r="A13" s="121" t="inlineStr">
        <is>
          <t>A (x)</t>
        </is>
      </c>
      <c r="B13" s="121" t="n"/>
      <c r="C13" s="18" t="n"/>
      <c r="D13" s="18" t="n"/>
      <c r="E13" s="18" t="n"/>
      <c r="F13" s="18" t="n"/>
      <c r="G13" s="121" t="n"/>
      <c r="H13" s="121" t="n"/>
      <c r="I13" s="121" t="n"/>
      <c r="J13" s="19" t="n"/>
      <c r="K13" s="18" t="n"/>
      <c r="L13" s="18" t="n"/>
      <c r="M13" s="18" t="n"/>
      <c r="N13" s="18" t="n"/>
      <c r="O13" s="18" t="n"/>
      <c r="P13" s="18" t="n"/>
      <c r="Q13" s="18" t="n"/>
    </row>
    <row r="14" ht="15" customHeight="1">
      <c r="A14" s="121" t="inlineStr">
        <is>
          <t>B (x)</t>
        </is>
      </c>
      <c r="B14" s="121" t="n"/>
      <c r="C14" s="121" t="n"/>
      <c r="D14" s="121" t="n"/>
      <c r="E14" s="121" t="n"/>
      <c r="F14" s="121" t="n"/>
      <c r="G14" s="121" t="n"/>
      <c r="H14" s="121" t="n"/>
      <c r="I14" s="121" t="n"/>
      <c r="J14" s="116" t="n"/>
      <c r="K14" s="121" t="n"/>
      <c r="L14" s="121" t="n"/>
      <c r="M14" s="121" t="n"/>
      <c r="N14" s="121" t="n"/>
      <c r="O14" s="121" t="n"/>
      <c r="P14" s="121" t="n"/>
      <c r="Q14" s="121" t="n"/>
    </row>
    <row r="15" ht="15" customHeight="1">
      <c r="A15" s="18" t="inlineStr">
        <is>
          <t>C (x)</t>
        </is>
      </c>
      <c r="B15" s="19" t="n"/>
      <c r="C15" s="18" t="n"/>
      <c r="D15" s="18" t="n"/>
      <c r="E15" s="18" t="n"/>
      <c r="F15" s="18" t="n"/>
      <c r="G15" s="18" t="n"/>
      <c r="H15" s="18" t="n"/>
      <c r="I15" s="20" t="n"/>
      <c r="J15" s="121" t="n"/>
      <c r="K15" s="121" t="n"/>
      <c r="L15" s="121" t="n"/>
      <c r="M15" s="121" t="n"/>
      <c r="N15" s="121" t="n"/>
      <c r="O15" s="121" t="n"/>
      <c r="P15" s="121" t="n"/>
      <c r="Q15" s="121" t="n"/>
    </row>
    <row r="16" ht="15" customHeight="1">
      <c r="A16" s="115" t="inlineStr">
        <is>
          <t>Sub Total</t>
        </is>
      </c>
      <c r="B16" s="116">
        <f>SUM(B13:B15)</f>
        <v>0.0</v>
      </c>
      <c r="C16" s="116">
        <f>SUM(C13:C15)</f>
        <v>0.0</v>
      </c>
      <c r="D16" s="116">
        <f>SUM(D13:D15)</f>
        <v>0.0</v>
      </c>
      <c r="E16" s="116">
        <f>SUM(E13:E15)</f>
        <v>0.0</v>
      </c>
      <c r="F16" s="116">
        <f>SUM(F13:F15)</f>
        <v>0.0</v>
      </c>
      <c r="G16" s="116">
        <f>SUM(G13:G15)</f>
        <v>0.0</v>
      </c>
      <c r="H16" s="116">
        <f>SUM(H13:H15)</f>
        <v>0.0</v>
      </c>
      <c r="I16" s="116">
        <f>SUM(I13:I15)</f>
        <v>0.0</v>
      </c>
      <c r="J16" s="116">
        <f>SUM(J13:J15)</f>
        <v>0.0</v>
      </c>
      <c r="K16" s="116">
        <f>SUM(K13:K15)</f>
        <v>0.0</v>
      </c>
      <c r="L16" s="116">
        <f>SUM(L13:L15)</f>
        <v>0.0</v>
      </c>
      <c r="M16" s="116">
        <f>SUM(M13:M15)</f>
        <v>0.0</v>
      </c>
      <c r="N16" s="116">
        <f>SUM(N13:N15)</f>
        <v>0.0</v>
      </c>
      <c r="O16" s="116">
        <f>SUM(O13:O15)</f>
        <v>0.0</v>
      </c>
      <c r="P16" s="116">
        <f>SUM(P13:P15)</f>
        <v>0.0</v>
      </c>
      <c r="Q16" s="116">
        <f>SUM(Q13:Q15)</f>
        <v>0.0</v>
      </c>
    </row>
    <row r="17" ht="15" customHeight="1">
      <c r="A17" s="115" t="inlineStr">
        <is>
          <t>TOTAL MASSA</t>
        </is>
      </c>
      <c r="B17" s="120">
        <f>SUMPRODUCT(B13:B15,C13:C15) + SUMPRODUCT(F13:F15,G13:G15)</f>
        <v>0.0</v>
      </c>
      <c r="C17" s="176" t="n"/>
      <c r="D17" s="176" t="n"/>
      <c r="E17" s="176" t="n"/>
      <c r="F17" s="176" t="n"/>
      <c r="G17" s="176" t="n"/>
      <c r="H17" s="176" t="n"/>
      <c r="I17" s="176" t="n"/>
      <c r="J17" s="121">
        <f>SUMPRODUCT(J13:J15,K13:K15) + SUMPRODUCT(N13:N15,O13:O15)</f>
        <v>0.0</v>
      </c>
      <c r="K17" s="176" t="n"/>
      <c r="L17" s="176" t="n"/>
      <c r="M17" s="176" t="n"/>
      <c r="N17" s="176" t="n"/>
      <c r="O17" s="176" t="n"/>
      <c r="P17" s="176" t="n"/>
      <c r="Q17" s="177" t="n"/>
    </row>
    <row r="19" ht="15" customHeight="1">
      <c r="A19" s="15" t="inlineStr">
        <is>
          <t>Neraca Energi</t>
        </is>
      </c>
    </row>
    <row r="20" ht="15" customHeight="1">
      <c r="A20" s="121" t="inlineStr">
        <is>
          <t>Reference State:</t>
        </is>
      </c>
      <c r="B20" s="121" t="n"/>
      <c r="C20" s="176" t="n"/>
      <c r="D20" s="176" t="n"/>
      <c r="E20" s="176" t="n"/>
      <c r="F20" s="176" t="n"/>
      <c r="G20" s="176" t="n"/>
      <c r="H20" s="176" t="n"/>
      <c r="I20" s="177" t="n"/>
    </row>
    <row r="21" ht="15" customHeight="1">
      <c r="A21" s="115" t="inlineStr">
        <is>
          <t>Substance</t>
        </is>
      </c>
      <c r="B21" s="115" t="inlineStr">
        <is>
          <t>Inlet</t>
        </is>
      </c>
      <c r="C21" s="176" t="n"/>
      <c r="D21" s="176" t="n"/>
      <c r="E21" s="177" t="n"/>
      <c r="F21" s="115" t="inlineStr">
        <is>
          <t>Outlet</t>
        </is>
      </c>
      <c r="G21" s="176" t="n"/>
      <c r="H21" s="176" t="n"/>
      <c r="I21" s="177" t="n"/>
    </row>
    <row r="22" ht="15" customHeight="1">
      <c r="A22" s="178" t="n"/>
      <c r="B22" s="115" t="inlineStr">
        <is>
          <t>Aliran 1</t>
        </is>
      </c>
      <c r="C22" s="177" t="n"/>
      <c r="D22" s="115" t="inlineStr">
        <is>
          <t>Aliran 2</t>
        </is>
      </c>
      <c r="E22" s="177" t="n"/>
      <c r="F22" s="115" t="inlineStr">
        <is>
          <t>Aliran 3</t>
        </is>
      </c>
      <c r="G22" s="177" t="n"/>
      <c r="H22" s="115" t="inlineStr">
        <is>
          <t>Aliran 4</t>
        </is>
      </c>
      <c r="I22" s="177" t="n"/>
    </row>
    <row r="23" ht="15" customHeight="1">
      <c r="A23" s="181" t="n"/>
      <c r="B23" s="17" t="inlineStr">
        <is>
          <t>ṅᵢ (kmol/h)</t>
        </is>
      </c>
      <c r="C23" s="17" t="inlineStr">
        <is>
          <t>Ḣᵢ,ᵢₙ (kJ/kmol)</t>
        </is>
      </c>
      <c r="D23" s="17" t="inlineStr">
        <is>
          <t>ṅᵢ (kmol/h)</t>
        </is>
      </c>
      <c r="E23" s="17" t="inlineStr">
        <is>
          <t>Ḣᵢ,ᵢₙ (kJ/kmol)</t>
        </is>
      </c>
      <c r="F23" s="17" t="inlineStr">
        <is>
          <t>ṅᵢ (kmol/h)</t>
        </is>
      </c>
      <c r="G23" s="17" t="inlineStr">
        <is>
          <t>Ḣᵢ,ₒᵤₜ (kJ/kmol)</t>
        </is>
      </c>
      <c r="H23" s="17" t="inlineStr">
        <is>
          <t>ṅᵢ (kmol/h)</t>
        </is>
      </c>
      <c r="I23" s="17" t="inlineStr">
        <is>
          <t>Ḣᵢ,ₒᵤₜ (kJ/kmol)</t>
        </is>
      </c>
    </row>
    <row r="24" ht="15" customHeight="1">
      <c r="A24" s="121" t="inlineStr">
        <is>
          <t>A (x)</t>
        </is>
      </c>
      <c r="B24" s="121" t="n"/>
      <c r="C24" s="121" t="n"/>
      <c r="D24" s="121" t="n"/>
      <c r="E24" s="121" t="n"/>
      <c r="F24" s="121" t="n"/>
      <c r="G24" s="121" t="n"/>
      <c r="H24" s="121" t="n"/>
      <c r="I24" s="121" t="n"/>
    </row>
    <row r="25" ht="15" customHeight="1">
      <c r="A25" s="121" t="inlineStr">
        <is>
          <t>B (x)</t>
        </is>
      </c>
      <c r="B25" s="121" t="n"/>
      <c r="C25" s="121" t="n"/>
      <c r="D25" s="121" t="n"/>
      <c r="E25" s="121" t="n"/>
      <c r="F25" s="121" t="n"/>
      <c r="G25" s="121" t="n"/>
      <c r="H25" s="121" t="n"/>
      <c r="I25" s="121" t="n"/>
    </row>
    <row r="26" ht="15" customHeight="1">
      <c r="A26" s="121" t="inlineStr">
        <is>
          <t>C (x)</t>
        </is>
      </c>
      <c r="B26" s="121" t="n"/>
      <c r="C26" s="121" t="n"/>
      <c r="D26" s="121" t="n"/>
      <c r="E26" s="121" t="n"/>
      <c r="F26" s="121" t="n"/>
      <c r="G26" s="121" t="n"/>
      <c r="H26" s="121" t="n"/>
      <c r="I26" s="121" t="n"/>
    </row>
    <row r="27" ht="15" customHeight="1">
      <c r="A27" s="115" t="inlineStr">
        <is>
          <t>Sub Total</t>
        </is>
      </c>
      <c r="B27" s="121">
        <f>SUMPRODUCT(B24:B26,C24:C26)</f>
        <v>0.0</v>
      </c>
      <c r="C27" s="177" t="n"/>
      <c r="D27" s="121">
        <f>SUMPRODUCT(D24:D26,E24:E26)</f>
        <v>0.0</v>
      </c>
      <c r="E27" s="177" t="n"/>
      <c r="F27" s="121">
        <f>SUMPRODUCT(F24:F26,G24:G26)</f>
        <v>0.0</v>
      </c>
      <c r="G27" s="177" t="n"/>
      <c r="H27" s="121">
        <f>SUMPRODUCT(H24:H26,I24:I26)</f>
        <v>0.0</v>
      </c>
      <c r="I27" s="177" t="n"/>
    </row>
    <row r="28" ht="15" customHeight="1">
      <c r="A28" s="115" t="inlineStr">
        <is>
          <t>Heat of mixing/heat of reaction</t>
        </is>
      </c>
      <c r="B28" s="121" t="n"/>
      <c r="C28" s="176" t="n"/>
      <c r="D28" s="176" t="n"/>
      <c r="E28" s="176" t="n"/>
      <c r="F28" s="176" t="n"/>
      <c r="G28" s="176" t="n"/>
      <c r="H28" s="176" t="n"/>
      <c r="I28" s="177" t="n"/>
    </row>
    <row r="29" ht="15" customHeight="1">
      <c r="A29" s="115" t="inlineStr">
        <is>
          <t>Q or W</t>
        </is>
      </c>
      <c r="B29" s="121" t="n"/>
      <c r="C29" s="176" t="n"/>
      <c r="D29" s="176" t="n"/>
      <c r="E29" s="177" t="n"/>
      <c r="F29" s="121" t="n"/>
      <c r="G29" s="176" t="n"/>
      <c r="H29" s="176" t="n"/>
      <c r="I29" s="177" t="n"/>
    </row>
    <row r="30" ht="15" customHeight="1">
      <c r="A30" s="115" t="inlineStr">
        <is>
          <t xml:space="preserve">TOTAL </t>
        </is>
      </c>
      <c r="B30" s="121" t="n"/>
      <c r="C30" s="176" t="n"/>
      <c r="D30" s="176" t="n"/>
      <c r="E30" s="177" t="n"/>
      <c r="F30" s="121" t="n"/>
      <c r="G30" s="176" t="n"/>
      <c r="H30" s="176" t="n"/>
      <c r="I30" s="177" t="n"/>
    </row>
  </sheetData>
  <mergeCells count="26">
    <mergeCell ref="A21:A23"/>
    <mergeCell ref="B30:E30"/>
    <mergeCell ref="B22:C22"/>
    <mergeCell ref="D22:E22"/>
    <mergeCell ref="J10:Q10"/>
    <mergeCell ref="B27:C27"/>
    <mergeCell ref="A10:A12"/>
    <mergeCell ref="D27:E27"/>
    <mergeCell ref="F11:I11"/>
    <mergeCell ref="N11:Q11"/>
    <mergeCell ref="F29:I29"/>
    <mergeCell ref="B17:I17"/>
    <mergeCell ref="B21:E21"/>
    <mergeCell ref="B10:I10"/>
    <mergeCell ref="F30:I30"/>
    <mergeCell ref="B28:I28"/>
    <mergeCell ref="F21:I21"/>
    <mergeCell ref="F22:G22"/>
    <mergeCell ref="B11:E11"/>
    <mergeCell ref="H22:I22"/>
    <mergeCell ref="F27:G27"/>
    <mergeCell ref="H27:I27"/>
    <mergeCell ref="B20:I20"/>
    <mergeCell ref="J11:M11"/>
    <mergeCell ref="B29:E29"/>
    <mergeCell ref="J17:Q17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tabSelected="0" workbookViewId="0">
      <selection activeCell="A2" sqref="A2"/>
    </sheetView>
  </sheetViews>
  <sheetFormatPr baseColWidth="8" defaultRowHeight="15"/>
  <cols>
    <col width="44.85546875" customWidth="1" min="1" max="1"/>
    <col width="40.42578125" customWidth="1" min="2" max="2"/>
  </cols>
  <sheetData>
    <row r="1" ht="15.75" customHeight="1">
      <c r="A1" s="102" t="inlineStr">
        <is>
          <t>Spesifikasi klorin umpan wt%</t>
        </is>
      </c>
      <c r="B1" s="182" t="n"/>
    </row>
    <row r="2" ht="15.75" customHeight="1">
      <c r="A2" s="36" t="inlineStr">
        <is>
          <t>CₙHₘ</t>
        </is>
      </c>
      <c r="B2" s="183">
        <f>4/1000000</f>
        <v>4e-06</v>
      </c>
    </row>
    <row r="3" ht="15.75" customHeight="1">
      <c r="A3" s="36" t="inlineStr">
        <is>
          <t>Water</t>
        </is>
      </c>
      <c r="B3" s="183">
        <f>12/1000000</f>
        <v>1.2e-05</v>
      </c>
    </row>
    <row r="4" ht="15.75" customHeight="1">
      <c r="A4" s="36" t="inlineStr">
        <is>
          <t>CₓHᵧCl</t>
        </is>
      </c>
      <c r="B4" s="183">
        <f>8/1000000</f>
        <v>8e-06</v>
      </c>
    </row>
    <row r="5" ht="15.75" customHeight="1">
      <c r="A5" s="36" t="inlineStr">
        <is>
          <t>Bromine</t>
        </is>
      </c>
      <c r="B5" s="183">
        <f>90/1000000</f>
        <v>9e-05</v>
      </c>
    </row>
    <row r="6" ht="15.75" customHeight="1">
      <c r="A6" s="36" t="inlineStr">
        <is>
          <t>Nitrogen trichloride</t>
        </is>
      </c>
      <c r="B6" s="183">
        <f>5/1000000</f>
        <v>5e-06</v>
      </c>
    </row>
    <row r="7" ht="15.75" customHeight="1">
      <c r="A7" s="36" t="inlineStr">
        <is>
          <t>Hydrogen</t>
        </is>
      </c>
      <c r="B7" s="183">
        <f>30/1000000</f>
        <v>3e-05</v>
      </c>
    </row>
    <row r="8" ht="15.75" customHeight="1">
      <c r="A8" s="36" t="inlineStr">
        <is>
          <t>Oxygen</t>
        </is>
      </c>
      <c r="B8" s="183">
        <f>180/1000000</f>
        <v>0.00018</v>
      </c>
    </row>
    <row r="9" ht="15.75" customHeight="1">
      <c r="A9" s="36" t="inlineStr">
        <is>
          <t>Nitrogen</t>
        </is>
      </c>
      <c r="B9" s="183">
        <f>600/1000000</f>
        <v>0.0006</v>
      </c>
    </row>
    <row r="10" ht="15.75" customHeight="1">
      <c r="A10" s="36" t="inlineStr">
        <is>
          <t>Carbon dioxide</t>
        </is>
      </c>
      <c r="B10" s="183">
        <f>600/1000000</f>
        <v>0.0006</v>
      </c>
    </row>
    <row r="11" ht="15.75" customHeight="1">
      <c r="A11" s="36" t="inlineStr">
        <is>
          <t>Fraksi berat Cl₂ = 1 − Σ pengotor</t>
        </is>
      </c>
      <c r="B11" s="183">
        <f>1-SUM(B2:B10)</f>
        <v>0.998471</v>
      </c>
    </row>
  </sheetData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7"/>
  <sheetViews>
    <sheetView showGridLines="0" tabSelected="0" zoomScaleNormal="100" workbookViewId="0">
      <selection activeCell="J24" sqref="J24"/>
    </sheetView>
  </sheetViews>
  <sheetFormatPr baseColWidth="8" defaultColWidth="8.7109375" defaultRowHeight="15"/>
  <cols>
    <col width="14.5703125" customWidth="1" style="13" min="1" max="1"/>
    <col width="10.42578125" customWidth="1" style="13" min="2" max="2"/>
    <col width="13.28515625" customWidth="1" style="13" min="3" max="3"/>
    <col width="8.7109375" customWidth="1" style="13" min="4" max="14"/>
    <col width="9.140625" customWidth="1" style="13" min="15" max="15"/>
    <col width="8.7109375" customWidth="1" style="13" min="16" max="16"/>
    <col width="13.5703125" customWidth="1" style="13" min="17" max="17"/>
    <col width="8.7109375" customWidth="1" style="13" min="18" max="19"/>
    <col width="9.140625" customWidth="1" style="13" min="20" max="20"/>
    <col width="8.7109375" customWidth="1" style="13" min="21" max="22"/>
    <col width="13.7109375" customWidth="1" style="13" min="23" max="23"/>
    <col width="11.5703125" customWidth="1" style="21" min="24" max="24"/>
    <col width="8.7109375" customWidth="1" style="13" min="25" max="16384"/>
  </cols>
  <sheetData>
    <row r="1" ht="15" customHeight="1">
      <c r="A1" s="117" t="inlineStr">
        <is>
          <t>Basis</t>
        </is>
      </c>
      <c r="B1" s="119" t="n">
        <v>1</v>
      </c>
      <c r="C1" s="119" t="inlineStr">
        <is>
          <t>m^3</t>
        </is>
      </c>
    </row>
    <row r="2" ht="15" customHeight="1">
      <c r="A2" s="122" t="inlineStr">
        <is>
          <t>Component</t>
        </is>
      </c>
      <c r="B2" s="122" t="inlineStr">
        <is>
          <t>Unit</t>
        </is>
      </c>
      <c r="C2" s="122" t="inlineStr">
        <is>
          <t>Value (m^3)</t>
        </is>
      </c>
      <c r="D2" s="122" t="inlineStr">
        <is>
          <t>T</t>
        </is>
      </c>
      <c r="E2" s="122" t="inlineStr">
        <is>
          <t>P</t>
        </is>
      </c>
      <c r="F2" s="122" t="inlineStr">
        <is>
          <t>Mw</t>
        </is>
      </c>
      <c r="G2" s="39" t="inlineStr">
        <is>
          <t>ω</t>
        </is>
      </c>
      <c r="H2" s="122" t="inlineStr">
        <is>
          <t>Tc (K)</t>
        </is>
      </c>
      <c r="I2" s="122" t="inlineStr">
        <is>
          <t>Pc (bar)</t>
        </is>
      </c>
      <c r="J2" s="40" t="inlineStr">
        <is>
          <t>Tr</t>
        </is>
      </c>
      <c r="K2" s="122" t="inlineStr">
        <is>
          <t>Pr</t>
        </is>
      </c>
      <c r="L2" s="122" t="inlineStr">
        <is>
          <t>σ</t>
        </is>
      </c>
      <c r="M2" s="122" t="inlineStr">
        <is>
          <t>ε</t>
        </is>
      </c>
      <c r="N2" s="122" t="inlineStr">
        <is>
          <t>Ω</t>
        </is>
      </c>
      <c r="O2" s="122" t="inlineStr">
        <is>
          <t>Ψ</t>
        </is>
      </c>
      <c r="P2" s="122" t="inlineStr">
        <is>
          <t>Zc</t>
        </is>
      </c>
      <c r="Q2" s="122" t="inlineStr">
        <is>
          <t>αPR(Tr; ω)*</t>
        </is>
      </c>
      <c r="R2" s="122" t="inlineStr">
        <is>
          <t>β</t>
        </is>
      </c>
      <c r="S2" s="122" t="inlineStr">
        <is>
          <t>q​</t>
        </is>
      </c>
      <c r="T2" s="122" t="inlineStr">
        <is>
          <t>Z</t>
        </is>
      </c>
      <c r="U2" s="122" t="inlineStr">
        <is>
          <t>Zres</t>
        </is>
      </c>
      <c r="V2" s="122" t="inlineStr">
        <is>
          <t>ρ</t>
        </is>
      </c>
      <c r="W2" s="122" t="inlineStr">
        <is>
          <t>mass (kg)</t>
        </is>
      </c>
      <c r="X2" s="41" t="inlineStr">
        <is>
          <t>%wt</t>
        </is>
      </c>
    </row>
    <row r="3" ht="15" customHeight="1">
      <c r="A3" s="40" t="inlineStr">
        <is>
          <t>Ethylene Purity</t>
        </is>
      </c>
      <c r="B3" s="40" t="inlineStr">
        <is>
          <t>Volume%</t>
        </is>
      </c>
      <c r="C3" s="40">
        <f>1-SUM(C4:C6)</f>
        <v>0.999485</v>
      </c>
      <c r="D3" s="40" t="n">
        <v>303.15</v>
      </c>
      <c r="E3" s="40" t="n">
        <v>36.3</v>
      </c>
      <c r="F3" s="40" t="n">
        <v>28.054</v>
      </c>
      <c r="G3" s="40" t="n">
        <v>0.08699999999999999</v>
      </c>
      <c r="H3" s="40" t="n">
        <v>282.3</v>
      </c>
      <c r="I3" s="40" t="n">
        <v>50.4</v>
      </c>
      <c r="J3" s="40">
        <f>D3/H3</f>
        <v>1.073857598299681</v>
      </c>
      <c r="K3" s="40">
        <f>E3/I3</f>
        <v>0.7202380952380952</v>
      </c>
      <c r="L3" s="40">
        <f>1+SQRT(2)</f>
        <v>2.414213562373095</v>
      </c>
      <c r="M3" s="40">
        <f>1-SQRT(2)</f>
        <v>-0.41421356237309515</v>
      </c>
      <c r="N3" s="40" t="n">
        <v>0.07779999999999999</v>
      </c>
      <c r="O3" s="40" t="n">
        <v>0.45724</v>
      </c>
      <c r="P3" s="40" t="n">
        <v>0.3074</v>
      </c>
      <c r="Q3" s="40">
        <f>(1+(0.37464+1.54226*G3-0.26992*G3^2)*(1-SQRT(J3)))^2</f>
        <v>0.96357549162608</v>
      </c>
      <c r="R3" s="40">
        <f>N3*K3/J3</f>
        <v>0.05218059070238685</v>
      </c>
      <c r="S3" s="40">
        <f>O3*Q3/(N3*J3)</f>
        <v>5.273557308688507</v>
      </c>
      <c r="T3" s="40" t="n">
        <v>0.751912921448937</v>
      </c>
      <c r="U3" s="40">
        <f>T3-(R3+(T3+M3*R3)*(T3+L3*R3)*((1+R3-T3)/(S3*R3)))</f>
        <v>0.00015497478231418782</v>
      </c>
      <c r="V3" s="40">
        <f>E3*100*F3/(T3*8.314*D3)</f>
        <v>53.73611649581689</v>
      </c>
      <c r="W3" s="40">
        <f>V3*C3</f>
        <v>53.70844239582154</v>
      </c>
      <c r="X3" s="42">
        <f>W3/$W$7</f>
        <v>0.9997510491011944</v>
      </c>
    </row>
    <row r="4" ht="15" customHeight="1">
      <c r="A4" s="40" t="inlineStr">
        <is>
          <t>Methane</t>
        </is>
      </c>
      <c r="B4" s="40" t="inlineStr">
        <is>
          <t>Volume%</t>
        </is>
      </c>
      <c r="C4" s="40">
        <f>500/1000000*1</f>
        <v>0.0005</v>
      </c>
      <c r="D4" s="40" t="n">
        <v>303.15</v>
      </c>
      <c r="E4" s="40" t="n">
        <v>36.3</v>
      </c>
      <c r="F4" s="40" t="n">
        <v>16.043</v>
      </c>
      <c r="G4" s="40" t="n">
        <v>0.012</v>
      </c>
      <c r="H4" s="40" t="n">
        <v>190.6</v>
      </c>
      <c r="I4" s="40" t="n">
        <v>45.99</v>
      </c>
      <c r="J4" s="40">
        <f>D4/H4</f>
        <v>1.5905036726128017</v>
      </c>
      <c r="K4" s="40">
        <f>E4/I4</f>
        <v>0.7893020221787345</v>
      </c>
      <c r="L4" s="40">
        <f>1+SQRT(2)</f>
        <v>2.414213562373095</v>
      </c>
      <c r="M4" s="40">
        <f>1-SQRT(2)</f>
        <v>-0.41421356237309515</v>
      </c>
      <c r="N4" s="40" t="n">
        <v>0.07779999999999999</v>
      </c>
      <c r="O4" s="40" t="n">
        <v>0.45724</v>
      </c>
      <c r="P4" s="40" t="n">
        <v>0.3074</v>
      </c>
      <c r="Q4" s="40">
        <f>(1+(0.37464+1.54226*G4-0.26992*G4^2)*(1-SQRT(J4)))^2</f>
        <v>0.8052174642249151</v>
      </c>
      <c r="R4" s="40">
        <f>N4*K4/J4</f>
        <v>0.038608962923441716</v>
      </c>
      <c r="S4" s="40">
        <f>O4*Q4/(N4*J4)</f>
        <v>2.9753847207162565</v>
      </c>
      <c r="T4" s="40" t="n">
        <v>0.929029278721176</v>
      </c>
      <c r="U4" s="40">
        <f>T4-(R4+(T4+M4*R4)*(T4+L4*R4)*((1+R4-T4)/(S4*R4)))</f>
        <v>0.00011328207075200769</v>
      </c>
      <c r="V4" s="40">
        <f>E4*100*F4/(T4*8.314*D4)</f>
        <v>24.871112652601578</v>
      </c>
      <c r="W4" s="40">
        <f>V4*C4</f>
        <v>0.012435556326300789</v>
      </c>
      <c r="X4" s="42">
        <f>W4/$W$7</f>
        <v>0.00023148056299512868</v>
      </c>
    </row>
    <row r="5" ht="15" customHeight="1">
      <c r="A5" s="40" t="inlineStr">
        <is>
          <t>Ethane</t>
        </is>
      </c>
      <c r="B5" s="40" t="inlineStr">
        <is>
          <t>Volume%</t>
        </is>
      </c>
      <c r="C5" s="40">
        <f>10/1000000</f>
        <v>1e-05</v>
      </c>
      <c r="D5" s="40" t="n">
        <v>303.15</v>
      </c>
      <c r="E5" s="40" t="n">
        <v>36.3</v>
      </c>
      <c r="F5" s="40" t="n">
        <v>30.07</v>
      </c>
      <c r="G5" s="40" t="n">
        <v>0.1</v>
      </c>
      <c r="H5" s="40" t="n">
        <v>305.3</v>
      </c>
      <c r="I5" s="40" t="n">
        <v>48.72</v>
      </c>
      <c r="J5" s="40">
        <f>D5/H5</f>
        <v>0.9929577464788731</v>
      </c>
      <c r="K5" s="40">
        <f>E5/I5</f>
        <v>0.7450738916256158</v>
      </c>
      <c r="L5" s="40">
        <f>1+SQRT(2)</f>
        <v>2.414213562373095</v>
      </c>
      <c r="M5" s="40">
        <f>1-SQRT(2)</f>
        <v>-0.41421356237309515</v>
      </c>
      <c r="N5" s="40" t="n">
        <v>0.07779999999999999</v>
      </c>
      <c r="O5" s="40" t="n">
        <v>0.45724</v>
      </c>
      <c r="P5" s="40" t="n">
        <v>0.3074</v>
      </c>
      <c r="Q5" s="40">
        <f>(1+(0.37464+1.54226*G5-0.26992*G5^2)*(1-SQRT(J5)))^2</f>
        <v>1.0037153913005536</v>
      </c>
      <c r="R5" s="40">
        <f>N5*K5/J5</f>
        <v>0.058377860461866334</v>
      </c>
      <c r="S5" s="40">
        <f>O5*Q5/(N5*J5)</f>
        <v>5.940793198015795</v>
      </c>
      <c r="T5" s="40" t="n">
        <v>0.638182137823723</v>
      </c>
      <c r="U5" s="40">
        <f>T5-(R5+(T5+M5*R5)*(T5+L5*R5)*((1+R5-T5)/(S5*R5)))</f>
        <v>0.00019954088420903737</v>
      </c>
      <c r="V5" s="40">
        <f>E5*100*F5/(T5*8.314*D5)</f>
        <v>67.86218142546501</v>
      </c>
      <c r="W5" s="40">
        <f>V5*C5</f>
        <v>0.0006786218142546502</v>
      </c>
      <c r="X5" s="42">
        <f>W5/$W$7</f>
        <v>1.2632145720107967e-05</v>
      </c>
    </row>
    <row r="6" ht="15" customHeight="1">
      <c r="A6" s="40" t="inlineStr">
        <is>
          <t>Acetylene</t>
        </is>
      </c>
      <c r="B6" s="40" t="inlineStr">
        <is>
          <t>Volume%</t>
        </is>
      </c>
      <c r="C6" s="40">
        <f>5/1000000</f>
        <v>5e-06</v>
      </c>
      <c r="D6" s="40" t="n">
        <v>303.15</v>
      </c>
      <c r="E6" s="40" t="n">
        <v>36.3</v>
      </c>
      <c r="F6" s="40" t="n">
        <v>26.038</v>
      </c>
      <c r="G6" s="40" t="n">
        <v>0.187</v>
      </c>
      <c r="H6" s="40" t="n">
        <v>308.3</v>
      </c>
      <c r="I6" s="40" t="n">
        <v>61.39</v>
      </c>
      <c r="J6" s="40">
        <f>D6/H6</f>
        <v>0.983295491404476</v>
      </c>
      <c r="K6" s="40">
        <f>E6/I6</f>
        <v>0.5913015149047075</v>
      </c>
      <c r="L6" s="40">
        <f>1+SQRT(2)</f>
        <v>2.414213562373095</v>
      </c>
      <c r="M6" s="40">
        <f>1-SQRT(2)</f>
        <v>-0.41421356237309515</v>
      </c>
      <c r="N6" s="40" t="n">
        <v>0.07779999999999999</v>
      </c>
      <c r="O6" s="40" t="n">
        <v>0.45724</v>
      </c>
      <c r="P6" s="40" t="n">
        <v>0.3074</v>
      </c>
      <c r="Q6" s="40">
        <f>(1+(0.37464+1.54226*G6-0.26992*G6^2)*(1-SQRT(J6)))^2</f>
        <v>1.0109941633637936</v>
      </c>
      <c r="R6" s="40">
        <f>N6*K6/J6</f>
        <v>0.04678477452782596</v>
      </c>
      <c r="S6" s="40">
        <f>O6*Q6/(N6*J6)</f>
        <v>6.042674761549019</v>
      </c>
      <c r="T6" s="40" t="n">
        <v>0.721411469410568</v>
      </c>
      <c r="U6" s="40">
        <f>T6-(R6+(T6+M6*R6)*(T6+L6*R6)*((1+R6-T6)/(S6*R6)))</f>
        <v>0.0004731019358690247</v>
      </c>
      <c r="V6" s="40">
        <f>E6*100*F6/(T6*8.314*D6)</f>
        <v>51.983272035494785</v>
      </c>
      <c r="W6" s="40">
        <f>V6*C6</f>
        <v>0.00025991636017747396</v>
      </c>
      <c r="X6" s="42">
        <f>W6/$W$7</f>
        <v>4.8381900903201335e-06</v>
      </c>
    </row>
    <row r="7" ht="15" customHeight="1">
      <c r="A7" s="122" t="inlineStr">
        <is>
          <t>Total Mass</t>
        </is>
      </c>
      <c r="B7" s="184" t="n"/>
      <c r="C7" s="184" t="n"/>
      <c r="D7" s="184" t="n"/>
      <c r="E7" s="184" t="n"/>
      <c r="F7" s="184" t="n"/>
      <c r="G7" s="184" t="n"/>
      <c r="H7" s="184" t="n"/>
      <c r="I7" s="184" t="n"/>
      <c r="J7" s="184" t="n"/>
      <c r="K7" s="184" t="n"/>
      <c r="L7" s="184" t="n"/>
      <c r="M7" s="184" t="n"/>
      <c r="N7" s="184" t="n"/>
      <c r="O7" s="184" t="n"/>
      <c r="P7" s="184" t="n"/>
      <c r="Q7" s="184" t="n"/>
      <c r="R7" s="184" t="n"/>
      <c r="S7" s="184" t="n"/>
      <c r="T7" s="184" t="n"/>
      <c r="U7" s="184" t="n"/>
      <c r="V7" s="182" t="n"/>
      <c r="W7" s="40">
        <f>SUM(W3:W6)</f>
        <v>53.721816490322276</v>
      </c>
      <c r="X7" s="42">
        <f>SUM(X3:X6)</f>
        <v>1.0</v>
      </c>
    </row>
    <row r="8" ht="15.75" customHeight="1"/>
  </sheetData>
  <mergeCells count="1">
    <mergeCell ref="A7:V7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tabSelected="0" zoomScaleNormal="100" workbookViewId="0">
      <selection activeCell="A1" sqref="A1:D1"/>
    </sheetView>
  </sheetViews>
  <sheetFormatPr baseColWidth="8" defaultColWidth="8.7109375" defaultRowHeight="15"/>
  <cols>
    <col width="5" customWidth="1" min="1" max="1"/>
    <col width="24" customWidth="1" min="2" max="2"/>
    <col width="10" customWidth="1" min="3" max="3"/>
    <col width="15" customWidth="1" min="4" max="4"/>
  </cols>
  <sheetData>
    <row r="1" ht="15" customHeight="1">
      <c r="A1" s="123" t="inlineStr">
        <is>
          <t>Data Berat Molekul Komponen</t>
        </is>
      </c>
      <c r="B1" s="176" t="n"/>
      <c r="C1" s="176" t="n"/>
      <c r="D1" s="177" t="n"/>
    </row>
    <row r="2" ht="15" customHeight="1">
      <c r="A2" s="123" t="inlineStr">
        <is>
          <t>No</t>
        </is>
      </c>
      <c r="B2" s="123" t="inlineStr">
        <is>
          <t>Komponen</t>
        </is>
      </c>
      <c r="C2" s="123" t="inlineStr">
        <is>
          <t>Kode</t>
        </is>
      </c>
      <c r="D2" s="123" t="inlineStr">
        <is>
          <t>BM (kg/kmol)</t>
        </is>
      </c>
    </row>
    <row r="3" ht="15" customHeight="1">
      <c r="A3" s="1" t="n">
        <v>1</v>
      </c>
      <c r="B3" s="1" t="inlineStr">
        <is>
          <t>Ethylene Purity</t>
        </is>
      </c>
      <c r="C3" s="1" t="inlineStr">
        <is>
          <t>C2H4</t>
        </is>
      </c>
      <c r="D3" s="1" t="n">
        <v>28.054</v>
      </c>
    </row>
    <row r="4" ht="15" customHeight="1">
      <c r="A4" s="1" t="n">
        <v>2</v>
      </c>
      <c r="B4" s="1" t="inlineStr">
        <is>
          <t>Methane</t>
        </is>
      </c>
      <c r="C4" s="1" t="inlineStr">
        <is>
          <t>CH4</t>
        </is>
      </c>
      <c r="D4" s="1" t="n">
        <v>16.043</v>
      </c>
    </row>
    <row r="5" ht="15" customHeight="1">
      <c r="A5" s="1" t="n">
        <v>3</v>
      </c>
      <c r="B5" s="1" t="inlineStr">
        <is>
          <t>Ethane</t>
        </is>
      </c>
      <c r="C5" s="1" t="inlineStr">
        <is>
          <t>C2H6</t>
        </is>
      </c>
      <c r="D5" s="1" t="n">
        <v>30.07</v>
      </c>
    </row>
    <row r="6" ht="15" customHeight="1">
      <c r="A6" s="1" t="n">
        <v>4</v>
      </c>
      <c r="B6" s="1" t="inlineStr">
        <is>
          <t>Acetylene</t>
        </is>
      </c>
      <c r="C6" s="1" t="inlineStr">
        <is>
          <t>C2H2</t>
        </is>
      </c>
      <c r="D6" s="1" t="n">
        <v>26.038</v>
      </c>
    </row>
    <row r="7" ht="15" customHeight="1">
      <c r="A7" s="1" t="n">
        <v>5</v>
      </c>
      <c r="B7" s="1" t="inlineStr">
        <is>
          <t>Chlorine</t>
        </is>
      </c>
      <c r="C7" s="1" t="inlineStr">
        <is>
          <t>Cl2</t>
        </is>
      </c>
      <c r="D7" s="1" t="n">
        <v>70.905</v>
      </c>
    </row>
    <row r="8" ht="15" customHeight="1">
      <c r="A8" s="1" t="n">
        <v>6</v>
      </c>
      <c r="B8" s="1" t="inlineStr">
        <is>
          <t>CₙHₘ</t>
        </is>
      </c>
      <c r="C8" s="1" t="inlineStr">
        <is>
          <t>CnHm</t>
        </is>
      </c>
      <c r="D8" s="1" t="n">
        <v>16.043</v>
      </c>
    </row>
    <row r="9" ht="15" customHeight="1">
      <c r="A9" s="1" t="n">
        <v>7</v>
      </c>
      <c r="B9" s="1" t="inlineStr">
        <is>
          <t>Water</t>
        </is>
      </c>
      <c r="C9" s="1" t="inlineStr">
        <is>
          <t>H2O</t>
        </is>
      </c>
      <c r="D9" s="1" t="n">
        <v>18.015</v>
      </c>
    </row>
    <row r="10" ht="26.25" customHeight="1">
      <c r="A10" s="1" t="n">
        <v>8</v>
      </c>
      <c r="B10" s="1" t="inlineStr">
        <is>
          <t>CₓHᵧCl</t>
        </is>
      </c>
      <c r="C10" s="1" t="inlineStr">
        <is>
          <t>CxHyCl</t>
        </is>
      </c>
      <c r="D10" s="1" t="n">
        <v>50.488</v>
      </c>
    </row>
    <row r="11" ht="15" customHeight="1">
      <c r="A11" s="1" t="n">
        <v>9</v>
      </c>
      <c r="B11" s="1" t="inlineStr">
        <is>
          <t>Bromine</t>
        </is>
      </c>
      <c r="C11" s="1" t="inlineStr">
        <is>
          <t>Br2</t>
        </is>
      </c>
      <c r="D11" s="1" t="n">
        <v>159.808</v>
      </c>
    </row>
    <row r="12" ht="15" customHeight="1">
      <c r="A12" s="1" t="n">
        <v>10</v>
      </c>
      <c r="B12" s="1" t="inlineStr">
        <is>
          <t>Nitrogen trichloride</t>
        </is>
      </c>
      <c r="C12" s="1" t="inlineStr">
        <is>
          <t>NCl3</t>
        </is>
      </c>
      <c r="D12" s="1" t="n">
        <v>120.365</v>
      </c>
    </row>
    <row r="13" ht="15" customHeight="1">
      <c r="A13" s="1" t="n">
        <v>11</v>
      </c>
      <c r="B13" s="1" t="inlineStr">
        <is>
          <t>Hydrogen</t>
        </is>
      </c>
      <c r="C13" s="1" t="inlineStr">
        <is>
          <t>H2</t>
        </is>
      </c>
      <c r="D13" s="1" t="n">
        <v>2.016</v>
      </c>
    </row>
    <row r="14" ht="15" customHeight="1">
      <c r="A14" s="1" t="n">
        <v>12</v>
      </c>
      <c r="B14" s="1" t="inlineStr">
        <is>
          <t>Oxygen</t>
        </is>
      </c>
      <c r="C14" s="1" t="inlineStr">
        <is>
          <t>O2</t>
        </is>
      </c>
      <c r="D14" s="1" t="n">
        <v>31.999</v>
      </c>
    </row>
    <row r="15" ht="15" customHeight="1">
      <c r="A15" s="1" t="n">
        <v>13</v>
      </c>
      <c r="B15" s="1" t="inlineStr">
        <is>
          <t>Nitrogen</t>
        </is>
      </c>
      <c r="C15" s="1" t="inlineStr">
        <is>
          <t>N2</t>
        </is>
      </c>
      <c r="D15" s="1" t="n">
        <v>28.014</v>
      </c>
    </row>
    <row r="16" ht="15" customHeight="1">
      <c r="A16" s="1" t="n">
        <v>14</v>
      </c>
      <c r="B16" s="1" t="inlineStr">
        <is>
          <t>Carbon dioxide</t>
        </is>
      </c>
      <c r="C16" s="1" t="inlineStr">
        <is>
          <t>CO2</t>
        </is>
      </c>
      <c r="D16" s="1" t="n">
        <v>44.01</v>
      </c>
    </row>
    <row r="17" ht="15" customHeight="1">
      <c r="A17" s="1" t="n">
        <v>15</v>
      </c>
      <c r="B17" s="1" t="inlineStr">
        <is>
          <t>EDC</t>
        </is>
      </c>
      <c r="C17" s="1" t="inlineStr">
        <is>
          <t>EDC</t>
        </is>
      </c>
      <c r="D17" s="1" t="n">
        <v>98.959</v>
      </c>
    </row>
    <row r="18" ht="15" customHeight="1">
      <c r="A18" s="1" t="n">
        <v>16</v>
      </c>
      <c r="B18" s="1" t="inlineStr">
        <is>
          <t>TCE</t>
        </is>
      </c>
      <c r="C18" s="1" t="inlineStr">
        <is>
          <t>TCE</t>
        </is>
      </c>
      <c r="D18" s="1" t="n">
        <v>133.403</v>
      </c>
    </row>
    <row r="19" ht="15" customHeight="1">
      <c r="A19" s="1" t="n">
        <v>17</v>
      </c>
      <c r="B19" s="1" t="inlineStr">
        <is>
          <t>HCl</t>
        </is>
      </c>
      <c r="C19" s="1" t="inlineStr">
        <is>
          <t>HCl</t>
        </is>
      </c>
      <c r="D19" s="1" t="n">
        <v>36.461</v>
      </c>
    </row>
    <row r="20" ht="15" customHeight="1">
      <c r="A20" s="1" t="n">
        <v>18</v>
      </c>
      <c r="B20" s="1" t="inlineStr">
        <is>
          <t>FeCl₃</t>
        </is>
      </c>
      <c r="C20" s="1" t="inlineStr">
        <is>
          <t>FeCl3</t>
        </is>
      </c>
      <c r="D20" s="1" t="n">
        <v>162.204</v>
      </c>
    </row>
    <row r="21" ht="26.25" customHeight="1">
      <c r="A21" s="1" t="n">
        <v>19</v>
      </c>
      <c r="B21" s="1" t="inlineStr">
        <is>
          <t>Ethyl chloride</t>
        </is>
      </c>
      <c r="C21" s="1" t="inlineStr">
        <is>
          <t>C2H5Cl</t>
        </is>
      </c>
      <c r="D21" s="1" t="n">
        <v>64.515</v>
      </c>
    </row>
    <row r="22" ht="15" customHeight="1">
      <c r="A22" s="1" t="n">
        <v>20</v>
      </c>
      <c r="B22" s="1" t="inlineStr">
        <is>
          <t>VCM</t>
        </is>
      </c>
      <c r="C22" s="1" t="inlineStr">
        <is>
          <t>VCM</t>
        </is>
      </c>
      <c r="D22" s="1" t="n">
        <v>62.498</v>
      </c>
    </row>
    <row r="23" ht="26.25" customHeight="1">
      <c r="A23" s="1" t="n">
        <v>21</v>
      </c>
      <c r="B23" s="1" t="inlineStr">
        <is>
          <t>Fraksi berat (C₄H₈Cl₂)</t>
        </is>
      </c>
      <c r="C23" s="1" t="inlineStr">
        <is>
          <t>HVY</t>
        </is>
      </c>
      <c r="D23" s="1" t="n">
        <v>127.013</v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3"/>
  <sheetViews>
    <sheetView showGridLines="0" tabSelected="0" zoomScaleNormal="100" workbookViewId="0">
      <pane xSplit="3" ySplit="5" topLeftCell="U11" activePane="bottomRight" state="frozen"/>
      <selection pane="bottomRight" activeCell="V5" sqref="V5"/>
      <selection pane="bottomLeft" activeCell="A6" sqref="A6"/>
      <selection pane="topRight" activeCell="D1" sqref="D1"/>
    </sheetView>
  </sheetViews>
  <sheetFormatPr baseColWidth="8" defaultColWidth="8.7109375" defaultRowHeight="15"/>
  <cols>
    <col width="5" customWidth="1" min="1" max="1"/>
    <col width="8" customWidth="1" min="2" max="2"/>
    <col width="17" customWidth="1" min="3" max="3"/>
    <col width="12.42578125" customWidth="1" min="4" max="19"/>
    <col width="14" customWidth="1" min="20" max="24"/>
    <col width="90" customWidth="1" min="25" max="25"/>
  </cols>
  <sheetData>
    <row r="1" ht="15" customHeight="1">
      <c r="A1" s="123" t="inlineStr">
        <is>
          <t>Data Termodinamika Komponen (reference state neraca energi: komponen murni pada 25 °C, 1 bar dalam fasa reference)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7" t="n"/>
    </row>
    <row r="2">
      <c r="A2" s="125" t="inlineStr">
        <is>
          <t>Cp gas = A + BT + CT² + DT³ + ET⁴; Cp cair = A + BT + CT² + DT³; Cp padat = A + BT + CT² (J/(mol·K) = kJ/(kmol·K), T dalam K). ΔHvap = A(1 − T/Tc)ⁿ (kJ/mol). Sumber: Yaws, C.L. (1999) Chemical Properties Handbook, McGraw-Hill.</t>
        </is>
      </c>
    </row>
    <row r="4" ht="26.85" customHeight="1">
      <c r="E4" s="123" t="inlineStr">
        <is>
          <t>Cp gas ideal (Tabel 2-1 / 2-2)</t>
        </is>
      </c>
      <c r="F4" s="176" t="n"/>
      <c r="G4" s="176" t="n"/>
      <c r="H4" s="176" t="n"/>
      <c r="I4" s="177" t="n"/>
      <c r="J4" s="123" t="inlineStr">
        <is>
          <t>Cp cair (Tabel 3-1 / 3-2)</t>
        </is>
      </c>
      <c r="K4" s="176" t="n"/>
      <c r="L4" s="176" t="n"/>
      <c r="M4" s="177" t="n"/>
      <c r="N4" s="123" t="inlineStr">
        <is>
          <t>Cp padat (Tabel 4-2)</t>
        </is>
      </c>
      <c r="O4" s="176" t="n"/>
      <c r="P4" s="177" t="n"/>
      <c r="Q4" s="123" t="inlineStr">
        <is>
          <t>ΔHvap (Tabel 5-1 / 5-2)</t>
        </is>
      </c>
      <c r="R4" s="176" t="n"/>
      <c r="S4" s="177" t="n"/>
      <c r="T4" s="123" t="inlineStr">
        <is>
          <t>Pembentukan (Tabel 12-1 / 12-2)</t>
        </is>
      </c>
      <c r="U4" s="177" t="n"/>
      <c r="V4" s="123" t="inlineStr">
        <is>
          <t>Entalpi</t>
        </is>
      </c>
      <c r="W4" s="176" t="n"/>
      <c r="X4" s="177" t="n"/>
      <c r="Y4" s="162" t="inlineStr">
        <is>
          <t>Titik didih</t>
        </is>
      </c>
    </row>
    <row r="5" ht="30.75" customHeight="1">
      <c r="A5" s="123" t="inlineStr">
        <is>
          <t>No</t>
        </is>
      </c>
      <c r="B5" s="123" t="inlineStr">
        <is>
          <t>Kode</t>
        </is>
      </c>
      <c r="C5" s="123" t="inlineStr">
        <is>
          <t>Komponen</t>
        </is>
      </c>
      <c r="D5" s="123" t="inlineStr">
        <is>
          <t>BM</t>
        </is>
      </c>
      <c r="E5" s="123" t="inlineStr">
        <is>
          <t>A</t>
        </is>
      </c>
      <c r="F5" s="123" t="inlineStr">
        <is>
          <t>B</t>
        </is>
      </c>
      <c r="G5" s="123" t="inlineStr">
        <is>
          <t>C</t>
        </is>
      </c>
      <c r="H5" s="123" t="inlineStr">
        <is>
          <t>D</t>
        </is>
      </c>
      <c r="I5" s="123" t="inlineStr">
        <is>
          <t>E</t>
        </is>
      </c>
      <c r="J5" s="123" t="inlineStr">
        <is>
          <t>A</t>
        </is>
      </c>
      <c r="K5" s="123" t="inlineStr">
        <is>
          <t>B</t>
        </is>
      </c>
      <c r="L5" s="123" t="inlineStr">
        <is>
          <t>C</t>
        </is>
      </c>
      <c r="M5" s="123" t="inlineStr">
        <is>
          <t>D</t>
        </is>
      </c>
      <c r="N5" s="123" t="inlineStr">
        <is>
          <t>A</t>
        </is>
      </c>
      <c r="O5" s="123" t="inlineStr">
        <is>
          <t>B</t>
        </is>
      </c>
      <c r="P5" s="123" t="inlineStr">
        <is>
          <t>C</t>
        </is>
      </c>
      <c r="Q5" s="123" t="inlineStr">
        <is>
          <t>A (kJ/mol)</t>
        </is>
      </c>
      <c r="R5" s="123" t="inlineStr">
        <is>
          <t>Tc (K)</t>
        </is>
      </c>
      <c r="S5" s="123" t="inlineStr">
        <is>
          <t>n</t>
        </is>
      </c>
      <c r="T5" s="123" t="inlineStr">
        <is>
          <t>ΔHf° 298 (kJ/mol)</t>
        </is>
      </c>
      <c r="U5" s="123" t="inlineStr">
        <is>
          <t>Fase ΔHf°</t>
        </is>
      </c>
      <c r="V5" s="123" t="inlineStr">
        <is>
          <t>ΔHvap 298 K (kJ/kmol)</t>
        </is>
      </c>
      <c r="W5" s="88" t="inlineStr">
        <is>
          <t>Ĥ° gas 298 K (kJ/kmol)</t>
        </is>
      </c>
      <c r="X5" s="102" t="inlineStr">
        <is>
          <t>Ĥ° cair 298 K (kJ/kmol)</t>
        </is>
      </c>
      <c r="Y5" s="162" t="inlineStr">
        <is>
          <t>Tb normal (K)</t>
        </is>
      </c>
    </row>
    <row r="6">
      <c r="A6" s="1" t="n">
        <v>1</v>
      </c>
      <c r="B6" s="1" t="inlineStr">
        <is>
          <t>C2H4</t>
        </is>
      </c>
      <c r="C6" s="1" t="inlineStr">
        <is>
          <t>C₂H₄</t>
        </is>
      </c>
      <c r="D6" s="22">
        <f>'Data Komponen'!$D$3</f>
        <v>28.054</v>
      </c>
      <c r="E6" s="22" t="n">
        <v>32.083</v>
      </c>
      <c r="F6" s="22" t="n">
        <v>-0.014831</v>
      </c>
      <c r="G6" s="23" t="n">
        <v>0.00024774</v>
      </c>
      <c r="H6" s="23" t="n">
        <v>-2.3766e-07</v>
      </c>
      <c r="I6" s="23" t="n">
        <v>6.8274e-11</v>
      </c>
      <c r="J6" s="22" t="inlineStr">
        <is>
          <t>-</t>
        </is>
      </c>
      <c r="K6" s="22" t="inlineStr">
        <is>
          <t>-</t>
        </is>
      </c>
      <c r="L6" s="22" t="inlineStr">
        <is>
          <t>-</t>
        </is>
      </c>
      <c r="M6" s="22" t="inlineStr">
        <is>
          <t>-</t>
        </is>
      </c>
      <c r="N6" s="22" t="inlineStr">
        <is>
          <t>-</t>
        </is>
      </c>
      <c r="O6" s="22" t="inlineStr">
        <is>
          <t>-</t>
        </is>
      </c>
      <c r="P6" s="22" t="inlineStr">
        <is>
          <t>-</t>
        </is>
      </c>
      <c r="Q6" s="22" t="n">
        <v>19.986</v>
      </c>
      <c r="R6" s="22" t="n">
        <v>282.36</v>
      </c>
      <c r="S6" s="22" t="n">
        <v>0.431</v>
      </c>
      <c r="T6" s="24" t="n">
        <v>52.3</v>
      </c>
      <c r="U6" s="1" t="inlineStr">
        <is>
          <t>gas</t>
        </is>
      </c>
      <c r="V6" s="25">
        <f>Q6*1000*MAX(0,1-298.15/R6)^S6</f>
        <v>0.0</v>
      </c>
      <c r="W6" s="89">
        <f>T6*1000</f>
        <v>52300.0</v>
      </c>
      <c r="X6" s="91" t="inlineStr">
        <is>
          <t>-</t>
        </is>
      </c>
      <c r="Y6" s="185" t="n">
        <v>169.41</v>
      </c>
    </row>
    <row r="7">
      <c r="A7" s="1" t="n">
        <v>2</v>
      </c>
      <c r="B7" s="1" t="inlineStr">
        <is>
          <t>CH4</t>
        </is>
      </c>
      <c r="C7" s="1" t="inlineStr">
        <is>
          <t>CH₄</t>
        </is>
      </c>
      <c r="D7" s="22">
        <f>'Data Komponen'!$D$4</f>
        <v>16.043</v>
      </c>
      <c r="E7" s="22" t="n">
        <v>34.942</v>
      </c>
      <c r="F7" s="22" t="n">
        <v>-0.039957</v>
      </c>
      <c r="G7" s="23" t="n">
        <v>0.00019184</v>
      </c>
      <c r="H7" s="23" t="n">
        <v>-1.5303e-07</v>
      </c>
      <c r="I7" s="23" t="n">
        <v>3.9321e-11</v>
      </c>
      <c r="J7" s="22" t="inlineStr">
        <is>
          <t>-</t>
        </is>
      </c>
      <c r="K7" s="22" t="inlineStr">
        <is>
          <t>-</t>
        </is>
      </c>
      <c r="L7" s="22" t="inlineStr">
        <is>
          <t>-</t>
        </is>
      </c>
      <c r="M7" s="22" t="inlineStr">
        <is>
          <t>-</t>
        </is>
      </c>
      <c r="N7" s="22" t="inlineStr">
        <is>
          <t>-</t>
        </is>
      </c>
      <c r="O7" s="22" t="inlineStr">
        <is>
          <t>-</t>
        </is>
      </c>
      <c r="P7" s="22" t="inlineStr">
        <is>
          <t>-</t>
        </is>
      </c>
      <c r="Q7" s="22" t="n">
        <v>10.312</v>
      </c>
      <c r="R7" s="22" t="n">
        <v>190.58</v>
      </c>
      <c r="S7" s="22" t="n">
        <v>0.265</v>
      </c>
      <c r="T7" s="24" t="n">
        <v>-74.84999999999999</v>
      </c>
      <c r="U7" s="1" t="inlineStr">
        <is>
          <t>gas</t>
        </is>
      </c>
      <c r="V7" s="25">
        <f>Q7*1000*MAX(0,1-298.15/R7)^S7</f>
        <v>0.0</v>
      </c>
      <c r="W7" s="89">
        <f>T7*1000</f>
        <v>-74850.0</v>
      </c>
      <c r="X7" s="91" t="inlineStr">
        <is>
          <t>-</t>
        </is>
      </c>
      <c r="Y7" s="185" t="n">
        <v>111.66</v>
      </c>
    </row>
    <row r="8">
      <c r="A8" s="1" t="n">
        <v>3</v>
      </c>
      <c r="B8" s="1" t="inlineStr">
        <is>
          <t>C2H6</t>
        </is>
      </c>
      <c r="C8" s="1" t="inlineStr">
        <is>
          <t>C₂H₆</t>
        </is>
      </c>
      <c r="D8" s="22">
        <f>'Data Komponen'!$D$5</f>
        <v>30.07</v>
      </c>
      <c r="E8" s="22" t="n">
        <v>28.146</v>
      </c>
      <c r="F8" s="22" t="n">
        <v>0.043447</v>
      </c>
      <c r="G8" s="23" t="n">
        <v>0.00018946</v>
      </c>
      <c r="H8" s="23" t="n">
        <v>-1.9082e-07</v>
      </c>
      <c r="I8" s="23" t="n">
        <v>5.3349e-11</v>
      </c>
      <c r="J8" s="22" t="inlineStr">
        <is>
          <t>-</t>
        </is>
      </c>
      <c r="K8" s="22" t="inlineStr">
        <is>
          <t>-</t>
        </is>
      </c>
      <c r="L8" s="22" t="inlineStr">
        <is>
          <t>-</t>
        </is>
      </c>
      <c r="M8" s="22" t="inlineStr">
        <is>
          <t>-</t>
        </is>
      </c>
      <c r="N8" s="22" t="inlineStr">
        <is>
          <t>-</t>
        </is>
      </c>
      <c r="O8" s="22" t="inlineStr">
        <is>
          <t>-</t>
        </is>
      </c>
      <c r="P8" s="22" t="inlineStr">
        <is>
          <t>-</t>
        </is>
      </c>
      <c r="Q8" s="22" t="inlineStr">
        <is>
          <t>-</t>
        </is>
      </c>
      <c r="R8" s="22" t="inlineStr">
        <is>
          <t>-</t>
        </is>
      </c>
      <c r="S8" s="22" t="inlineStr">
        <is>
          <t>-</t>
        </is>
      </c>
      <c r="T8" s="24" t="n">
        <v>-84.68000000000001</v>
      </c>
      <c r="U8" s="1" t="inlineStr">
        <is>
          <t>gas</t>
        </is>
      </c>
      <c r="V8" s="1" t="inlineStr">
        <is>
          <t>-</t>
        </is>
      </c>
      <c r="W8" s="89">
        <f>T8*1000</f>
        <v>-84680.0</v>
      </c>
      <c r="X8" s="91" t="inlineStr">
        <is>
          <t>-</t>
        </is>
      </c>
      <c r="Y8" s="185" t="n">
        <v>184.55</v>
      </c>
    </row>
    <row r="9">
      <c r="A9" s="1" t="n">
        <v>4</v>
      </c>
      <c r="B9" s="1" t="inlineStr">
        <is>
          <t>C2H2</t>
        </is>
      </c>
      <c r="C9" s="1" t="inlineStr">
        <is>
          <t>C₂H₂</t>
        </is>
      </c>
      <c r="D9" s="22">
        <f>'Data Komponen'!$D$6</f>
        <v>26.038</v>
      </c>
      <c r="E9" s="22" t="n">
        <v>19.36</v>
      </c>
      <c r="F9" s="22" t="n">
        <v>0.11519</v>
      </c>
      <c r="G9" s="23" t="n">
        <v>-0.00012374</v>
      </c>
      <c r="H9" s="23" t="n">
        <v>7.237000000000001e-08</v>
      </c>
      <c r="I9" s="23" t="n">
        <v>-1.659e-11</v>
      </c>
      <c r="J9" s="22" t="inlineStr">
        <is>
          <t>-</t>
        </is>
      </c>
      <c r="K9" s="22" t="inlineStr">
        <is>
          <t>-</t>
        </is>
      </c>
      <c r="L9" s="22" t="inlineStr">
        <is>
          <t>-</t>
        </is>
      </c>
      <c r="M9" s="22" t="inlineStr">
        <is>
          <t>-</t>
        </is>
      </c>
      <c r="N9" s="22" t="inlineStr">
        <is>
          <t>-</t>
        </is>
      </c>
      <c r="O9" s="22" t="inlineStr">
        <is>
          <t>-</t>
        </is>
      </c>
      <c r="P9" s="22" t="inlineStr">
        <is>
          <t>-</t>
        </is>
      </c>
      <c r="Q9" s="22" t="inlineStr">
        <is>
          <t>-</t>
        </is>
      </c>
      <c r="R9" s="22" t="inlineStr">
        <is>
          <t>-</t>
        </is>
      </c>
      <c r="S9" s="22" t="inlineStr">
        <is>
          <t>-</t>
        </is>
      </c>
      <c r="T9" s="24" t="n">
        <v>226.73</v>
      </c>
      <c r="U9" s="1" t="inlineStr">
        <is>
          <t>gas</t>
        </is>
      </c>
      <c r="V9" s="1" t="inlineStr">
        <is>
          <t>-</t>
        </is>
      </c>
      <c r="W9" s="89">
        <f>T9*1000</f>
        <v>226730.0</v>
      </c>
      <c r="X9" s="91" t="inlineStr">
        <is>
          <t>-</t>
        </is>
      </c>
      <c r="Y9" s="185" t="n">
        <v>189.15</v>
      </c>
    </row>
    <row r="10">
      <c r="A10" s="1" t="n">
        <v>5</v>
      </c>
      <c r="B10" s="1" t="inlineStr">
        <is>
          <t>Cl2</t>
        </is>
      </c>
      <c r="C10" s="1" t="inlineStr">
        <is>
          <t>Cl₂</t>
        </is>
      </c>
      <c r="D10" s="22">
        <f>'Data Komponen'!$D$7</f>
        <v>70.905</v>
      </c>
      <c r="E10" s="22" t="n">
        <v>27.213</v>
      </c>
      <c r="F10" s="22" t="n">
        <v>0.030426</v>
      </c>
      <c r="G10" s="23" t="n">
        <v>-3.3353e-05</v>
      </c>
      <c r="H10" s="23" t="n">
        <v>1.5961e-08</v>
      </c>
      <c r="I10" s="23" t="n">
        <v>-2.7021e-12</v>
      </c>
      <c r="J10" s="22" t="n">
        <v>127.601</v>
      </c>
      <c r="K10" s="22" t="n">
        <v>-0.60215</v>
      </c>
      <c r="L10" s="23" t="n">
        <v>0.0015776</v>
      </c>
      <c r="M10" s="23" t="n">
        <v>-5.3099e-07</v>
      </c>
      <c r="N10" s="22" t="inlineStr">
        <is>
          <t>-</t>
        </is>
      </c>
      <c r="O10" s="22" t="inlineStr">
        <is>
          <t>-</t>
        </is>
      </c>
      <c r="P10" s="22" t="inlineStr">
        <is>
          <t>-</t>
        </is>
      </c>
      <c r="Q10" s="22" t="n">
        <v>28.56</v>
      </c>
      <c r="R10" s="22" t="n">
        <v>417.15</v>
      </c>
      <c r="S10" s="22" t="n">
        <v>0.401</v>
      </c>
      <c r="T10" s="24" t="n">
        <v>0</v>
      </c>
      <c r="U10" s="1" t="inlineStr">
        <is>
          <t>gas</t>
        </is>
      </c>
      <c r="V10" s="25">
        <f>Q10*1000*MAX(0,1-298.15/R10)^S10</f>
        <v>17270.9148583032</v>
      </c>
      <c r="W10" s="89">
        <f>T10*1000</f>
        <v>0.0</v>
      </c>
      <c r="X10" s="91">
        <f>T10*1000-V10</f>
        <v>-17270.9148583032</v>
      </c>
      <c r="Y10" s="185" t="n">
        <v>239.12</v>
      </c>
    </row>
    <row r="11">
      <c r="A11" s="1" t="n">
        <v>6</v>
      </c>
      <c r="B11" s="1" t="inlineStr">
        <is>
          <t>CnHm</t>
        </is>
      </c>
      <c r="C11" s="1" t="inlineStr">
        <is>
          <t>CₙHₘ</t>
        </is>
      </c>
      <c r="D11" s="22">
        <f>'Data Komponen'!$D$8</f>
        <v>16.043</v>
      </c>
      <c r="E11" s="22" t="n">
        <v>34.942</v>
      </c>
      <c r="F11" s="22" t="n">
        <v>-0.039957</v>
      </c>
      <c r="G11" s="23" t="n">
        <v>0.00019184</v>
      </c>
      <c r="H11" s="23" t="n">
        <v>-1.5303e-07</v>
      </c>
      <c r="I11" s="23" t="n">
        <v>3.9321e-11</v>
      </c>
      <c r="J11" s="22" t="inlineStr">
        <is>
          <t>-</t>
        </is>
      </c>
      <c r="K11" s="22" t="inlineStr">
        <is>
          <t>-</t>
        </is>
      </c>
      <c r="L11" s="22" t="inlineStr">
        <is>
          <t>-</t>
        </is>
      </c>
      <c r="M11" s="22" t="inlineStr">
        <is>
          <t>-</t>
        </is>
      </c>
      <c r="N11" s="22" t="inlineStr">
        <is>
          <t>-</t>
        </is>
      </c>
      <c r="O11" s="22" t="inlineStr">
        <is>
          <t>-</t>
        </is>
      </c>
      <c r="P11" s="22" t="inlineStr">
        <is>
          <t>-</t>
        </is>
      </c>
      <c r="Q11" s="22" t="n">
        <v>10.312</v>
      </c>
      <c r="R11" s="22" t="n">
        <v>190.58</v>
      </c>
      <c r="S11" s="22" t="n">
        <v>0.265</v>
      </c>
      <c r="T11" s="24" t="n">
        <v>-74.84999999999999</v>
      </c>
      <c r="U11" s="1" t="inlineStr">
        <is>
          <t>gas</t>
        </is>
      </c>
      <c r="V11" s="25">
        <f>Q11*1000*MAX(0,1-298.15/R11)^S11</f>
        <v>0.0</v>
      </c>
      <c r="W11" s="89">
        <f>T11*1000</f>
        <v>-74850.0</v>
      </c>
      <c r="X11" s="91" t="inlineStr">
        <is>
          <t>-</t>
        </is>
      </c>
      <c r="Y11" s="185" t="n">
        <v>111.66</v>
      </c>
    </row>
    <row r="12">
      <c r="A12" s="1" t="n">
        <v>7</v>
      </c>
      <c r="B12" s="1" t="inlineStr">
        <is>
          <t>H2O</t>
        </is>
      </c>
      <c r="C12" s="1" t="inlineStr">
        <is>
          <t>H₂O</t>
        </is>
      </c>
      <c r="D12" s="22">
        <f>'Data Komponen'!$D$9</f>
        <v>18.015</v>
      </c>
      <c r="E12" s="22" t="n">
        <v>33.933</v>
      </c>
      <c r="F12" s="23" t="n">
        <v>-0.0084186</v>
      </c>
      <c r="G12" s="23" t="n">
        <v>2.9906e-05</v>
      </c>
      <c r="H12" s="23" t="n">
        <v>-1.7825e-08</v>
      </c>
      <c r="I12" s="23" t="n">
        <v>3.6934e-12</v>
      </c>
      <c r="J12" s="22" t="n">
        <v>92.053</v>
      </c>
      <c r="K12" s="22" t="n">
        <v>-0.039953</v>
      </c>
      <c r="L12" s="23" t="n">
        <v>-0.00021103</v>
      </c>
      <c r="M12" s="23" t="n">
        <v>5.3469e-07</v>
      </c>
      <c r="N12" s="22" t="inlineStr">
        <is>
          <t>-</t>
        </is>
      </c>
      <c r="O12" s="22" t="inlineStr">
        <is>
          <t>-</t>
        </is>
      </c>
      <c r="P12" s="22" t="inlineStr">
        <is>
          <t>-</t>
        </is>
      </c>
      <c r="Q12" s="22" t="n">
        <v>52.053</v>
      </c>
      <c r="R12" s="22" t="n">
        <v>647.13</v>
      </c>
      <c r="S12" s="22" t="n">
        <v>0.321</v>
      </c>
      <c r="T12" s="24" t="n">
        <v>-241.8</v>
      </c>
      <c r="U12" s="1" t="inlineStr">
        <is>
          <t>gas</t>
        </is>
      </c>
      <c r="V12" s="25">
        <f>Q12*1000*MAX(0,1-298.15/R12)^S12</f>
        <v>42692.9785367323</v>
      </c>
      <c r="W12" s="89">
        <f>T12*1000</f>
        <v>-241800.0</v>
      </c>
      <c r="X12" s="91">
        <f>T12*1000-V12</f>
        <v>-284492.9785367323</v>
      </c>
      <c r="Y12" s="185" t="n">
        <v>373.15</v>
      </c>
    </row>
    <row r="13">
      <c r="A13" s="1" t="n">
        <v>8</v>
      </c>
      <c r="B13" s="1" t="inlineStr">
        <is>
          <t>CxHyCl</t>
        </is>
      </c>
      <c r="C13" s="1" t="inlineStr">
        <is>
          <t>CₓHᵧCl</t>
        </is>
      </c>
      <c r="D13" s="22">
        <f>'Data Komponen'!$D$10</f>
        <v>50.488</v>
      </c>
      <c r="E13" s="22" t="n">
        <v>27.385</v>
      </c>
      <c r="F13" s="22" t="n">
        <v>0.026036</v>
      </c>
      <c r="G13" s="23" t="n">
        <v>0.0001032</v>
      </c>
      <c r="H13" s="23" t="n">
        <v>-1.0887e-07</v>
      </c>
      <c r="I13" s="23" t="n">
        <v>3.1642e-11</v>
      </c>
      <c r="J13" s="22" t="inlineStr">
        <is>
          <t>-</t>
        </is>
      </c>
      <c r="K13" s="22" t="inlineStr">
        <is>
          <t>-</t>
        </is>
      </c>
      <c r="L13" s="22" t="inlineStr">
        <is>
          <t>-</t>
        </is>
      </c>
      <c r="M13" s="22" t="inlineStr">
        <is>
          <t>-</t>
        </is>
      </c>
      <c r="N13" s="22" t="inlineStr">
        <is>
          <t>-</t>
        </is>
      </c>
      <c r="O13" s="22" t="inlineStr">
        <is>
          <t>-</t>
        </is>
      </c>
      <c r="P13" s="22" t="inlineStr">
        <is>
          <t>-</t>
        </is>
      </c>
      <c r="Q13" s="22" t="n">
        <v>32.534</v>
      </c>
      <c r="R13" s="22" t="n">
        <v>416.25</v>
      </c>
      <c r="S13" s="22" t="n">
        <v>0.452</v>
      </c>
      <c r="T13" s="24" t="n">
        <v>-86.31999999999999</v>
      </c>
      <c r="U13" s="1" t="inlineStr">
        <is>
          <t>gas</t>
        </is>
      </c>
      <c r="V13" s="25">
        <f>Q13*1000*MAX(0,1-298.15/R13)^S13</f>
        <v>18409.682417757118</v>
      </c>
      <c r="W13" s="89">
        <f>T13*1000</f>
        <v>-86320.0</v>
      </c>
      <c r="X13" s="91" t="inlineStr">
        <is>
          <t>-</t>
        </is>
      </c>
      <c r="Y13" s="185" t="n">
        <v>249.06</v>
      </c>
    </row>
    <row r="14">
      <c r="A14" s="1" t="n">
        <v>9</v>
      </c>
      <c r="B14" s="1" t="inlineStr">
        <is>
          <t>Br2</t>
        </is>
      </c>
      <c r="C14" s="1" t="inlineStr">
        <is>
          <t>Br₂</t>
        </is>
      </c>
      <c r="D14" s="22">
        <f>'Data Komponen'!$D$11</f>
        <v>159.808</v>
      </c>
      <c r="E14" s="22" t="n">
        <v>27.169</v>
      </c>
      <c r="F14" s="22" t="n">
        <v>0.049172</v>
      </c>
      <c r="G14" s="23" t="n">
        <v>-8.5027e-05</v>
      </c>
      <c r="H14" s="23" t="n">
        <v>6.2796e-08</v>
      </c>
      <c r="I14" s="23" t="n">
        <v>-1.6556e-11</v>
      </c>
      <c r="J14" s="22" t="n">
        <v>165.688</v>
      </c>
      <c r="K14" s="22" t="n">
        <v>-0.65579</v>
      </c>
      <c r="L14" s="23" t="n">
        <v>0.0013794</v>
      </c>
      <c r="M14" s="23" t="n">
        <v>-6.0832e-07</v>
      </c>
      <c r="N14" s="22" t="inlineStr">
        <is>
          <t>-</t>
        </is>
      </c>
      <c r="O14" s="22" t="inlineStr">
        <is>
          <t>-</t>
        </is>
      </c>
      <c r="P14" s="22" t="inlineStr">
        <is>
          <t>-</t>
        </is>
      </c>
      <c r="Q14" s="22" t="n">
        <v>41.279</v>
      </c>
      <c r="R14" s="22" t="n">
        <v>584.15</v>
      </c>
      <c r="S14" s="22" t="n">
        <v>0.38</v>
      </c>
      <c r="T14" s="24" t="n">
        <v>30.9</v>
      </c>
      <c r="U14" s="1" t="inlineStr">
        <is>
          <t>gas</t>
        </is>
      </c>
      <c r="V14" s="25">
        <f>Q14*1000*MAX(0,1-298.15/R14)^S14</f>
        <v>31467.989427893815</v>
      </c>
      <c r="W14" s="89">
        <f>T14*1000</f>
        <v>30900.0</v>
      </c>
      <c r="X14" s="91">
        <f>T14*1000-V14</f>
        <v>-567.9894278938154</v>
      </c>
      <c r="Y14" s="185" t="n">
        <v>331.9</v>
      </c>
    </row>
    <row r="15">
      <c r="A15" s="1" t="n">
        <v>10</v>
      </c>
      <c r="B15" s="1" t="inlineStr">
        <is>
          <t>NCl3</t>
        </is>
      </c>
      <c r="C15" s="1" t="inlineStr">
        <is>
          <t>NCl₃</t>
        </is>
      </c>
      <c r="D15" s="22">
        <f>'Data Komponen'!$D$12</f>
        <v>120.365</v>
      </c>
      <c r="E15" s="22" t="inlineStr">
        <is>
          <t>-</t>
        </is>
      </c>
      <c r="F15" s="22" t="inlineStr">
        <is>
          <t>-</t>
        </is>
      </c>
      <c r="G15" s="22" t="inlineStr">
        <is>
          <t>-</t>
        </is>
      </c>
      <c r="H15" s="22" t="inlineStr">
        <is>
          <t>-</t>
        </is>
      </c>
      <c r="I15" s="22" t="inlineStr">
        <is>
          <t>-</t>
        </is>
      </c>
      <c r="J15" s="22" t="n">
        <v>192.643</v>
      </c>
      <c r="K15" s="22" t="n">
        <v>-0.61039</v>
      </c>
      <c r="L15" s="23" t="n">
        <v>0.0010601</v>
      </c>
      <c r="M15" s="23" t="n">
        <v>-6.3674e-08</v>
      </c>
      <c r="N15" s="22" t="inlineStr">
        <is>
          <t>-</t>
        </is>
      </c>
      <c r="O15" s="22" t="inlineStr">
        <is>
          <t>-</t>
        </is>
      </c>
      <c r="P15" s="22" t="inlineStr">
        <is>
          <t>-</t>
        </is>
      </c>
      <c r="Q15" s="22" t="n">
        <v>43.544</v>
      </c>
      <c r="R15" s="22" t="n">
        <v>564</v>
      </c>
      <c r="S15" s="22" t="n">
        <v>0.38</v>
      </c>
      <c r="T15" s="24" t="n">
        <v>230</v>
      </c>
      <c r="U15" s="1" t="inlineStr">
        <is>
          <t>cair</t>
        </is>
      </c>
      <c r="V15" s="25">
        <f>Q15*1000*MAX(0,1-298.15/R15)^S15</f>
        <v>32719.31435988557</v>
      </c>
      <c r="W15" s="89">
        <f>T15*1000+V15</f>
        <v>262719.3143598856</v>
      </c>
      <c r="X15" s="91">
        <f>T15*1000</f>
        <v>230000.0</v>
      </c>
      <c r="Y15" s="185" t="n">
        <v>344.15</v>
      </c>
    </row>
    <row r="16">
      <c r="A16" s="1" t="n">
        <v>11</v>
      </c>
      <c r="B16" s="1" t="inlineStr">
        <is>
          <t>H2</t>
        </is>
      </c>
      <c r="C16" s="1" t="inlineStr">
        <is>
          <t>H₂</t>
        </is>
      </c>
      <c r="D16" s="22">
        <f>'Data Komponen'!$D$13</f>
        <v>2.016</v>
      </c>
      <c r="E16" s="22" t="n">
        <v>25.399</v>
      </c>
      <c r="F16" s="22" t="n">
        <v>0.020178</v>
      </c>
      <c r="G16" s="23" t="n">
        <v>-3.8549e-05</v>
      </c>
      <c r="H16" s="23" t="n">
        <v>3.188e-08</v>
      </c>
      <c r="I16" s="23" t="n">
        <v>-8.758500000000001e-12</v>
      </c>
      <c r="J16" s="22" t="inlineStr">
        <is>
          <t>-</t>
        </is>
      </c>
      <c r="K16" s="22" t="inlineStr">
        <is>
          <t>-</t>
        </is>
      </c>
      <c r="L16" s="22" t="inlineStr">
        <is>
          <t>-</t>
        </is>
      </c>
      <c r="M16" s="22" t="inlineStr">
        <is>
          <t>-</t>
        </is>
      </c>
      <c r="N16" s="22" t="inlineStr">
        <is>
          <t>-</t>
        </is>
      </c>
      <c r="O16" s="22" t="inlineStr">
        <is>
          <t>-</t>
        </is>
      </c>
      <c r="P16" s="22" t="inlineStr">
        <is>
          <t>-</t>
        </is>
      </c>
      <c r="Q16" s="22" t="inlineStr">
        <is>
          <t>-</t>
        </is>
      </c>
      <c r="R16" s="22" t="inlineStr">
        <is>
          <t>-</t>
        </is>
      </c>
      <c r="S16" s="22" t="inlineStr">
        <is>
          <t>-</t>
        </is>
      </c>
      <c r="T16" s="24" t="n">
        <v>0</v>
      </c>
      <c r="U16" s="1" t="inlineStr">
        <is>
          <t>gas</t>
        </is>
      </c>
      <c r="V16" s="1" t="inlineStr">
        <is>
          <t>-</t>
        </is>
      </c>
      <c r="W16" s="89">
        <f>T16*1000</f>
        <v>0.0</v>
      </c>
      <c r="X16" s="91" t="inlineStr">
        <is>
          <t>-</t>
        </is>
      </c>
      <c r="Y16" s="185" t="n">
        <v>20.39</v>
      </c>
    </row>
    <row r="17">
      <c r="A17" s="1" t="n">
        <v>12</v>
      </c>
      <c r="B17" s="1" t="inlineStr">
        <is>
          <t>O2</t>
        </is>
      </c>
      <c r="C17" s="1" t="inlineStr">
        <is>
          <t>O₂</t>
        </is>
      </c>
      <c r="D17" s="22">
        <f>'Data Komponen'!$D$14</f>
        <v>31.999</v>
      </c>
      <c r="E17" s="22" t="n">
        <v>29.526</v>
      </c>
      <c r="F17" s="23" t="n">
        <v>-0.008899900000000001</v>
      </c>
      <c r="G17" s="23" t="n">
        <v>3.8083e-05</v>
      </c>
      <c r="H17" s="23" t="n">
        <v>-3.2629e-08</v>
      </c>
      <c r="I17" s="23" t="n">
        <v>8.860700000000001e-12</v>
      </c>
      <c r="J17" s="22" t="inlineStr">
        <is>
          <t>-</t>
        </is>
      </c>
      <c r="K17" s="22" t="inlineStr">
        <is>
          <t>-</t>
        </is>
      </c>
      <c r="L17" s="22" t="inlineStr">
        <is>
          <t>-</t>
        </is>
      </c>
      <c r="M17" s="22" t="inlineStr">
        <is>
          <t>-</t>
        </is>
      </c>
      <c r="N17" s="22" t="inlineStr">
        <is>
          <t>-</t>
        </is>
      </c>
      <c r="O17" s="22" t="inlineStr">
        <is>
          <t>-</t>
        </is>
      </c>
      <c r="P17" s="22" t="inlineStr">
        <is>
          <t>-</t>
        </is>
      </c>
      <c r="Q17" s="22" t="inlineStr">
        <is>
          <t>-</t>
        </is>
      </c>
      <c r="R17" s="22" t="inlineStr">
        <is>
          <t>-</t>
        </is>
      </c>
      <c r="S17" s="22" t="inlineStr">
        <is>
          <t>-</t>
        </is>
      </c>
      <c r="T17" s="24" t="n">
        <v>0</v>
      </c>
      <c r="U17" s="1" t="inlineStr">
        <is>
          <t>gas</t>
        </is>
      </c>
      <c r="V17" s="1" t="inlineStr">
        <is>
          <t>-</t>
        </is>
      </c>
      <c r="W17" s="89">
        <f>T17*1000</f>
        <v>0.0</v>
      </c>
      <c r="X17" s="91" t="inlineStr">
        <is>
          <t>-</t>
        </is>
      </c>
      <c r="Y17" s="185" t="n">
        <v>90.17</v>
      </c>
    </row>
    <row r="18">
      <c r="A18" s="1" t="n">
        <v>13</v>
      </c>
      <c r="B18" s="1" t="inlineStr">
        <is>
          <t>N2</t>
        </is>
      </c>
      <c r="C18" s="1" t="inlineStr">
        <is>
          <t>N₂</t>
        </is>
      </c>
      <c r="D18" s="22">
        <f>'Data Komponen'!$D$15</f>
        <v>28.014</v>
      </c>
      <c r="E18" s="22" t="n">
        <v>29.342</v>
      </c>
      <c r="F18" s="23" t="n">
        <v>-0.0035395</v>
      </c>
      <c r="G18" s="23" t="n">
        <v>1.0076e-05</v>
      </c>
      <c r="H18" s="23" t="n">
        <v>-4.3116e-09</v>
      </c>
      <c r="I18" s="23" t="n">
        <v>2.5935e-13</v>
      </c>
      <c r="J18" s="22" t="inlineStr">
        <is>
          <t>-</t>
        </is>
      </c>
      <c r="K18" s="22" t="inlineStr">
        <is>
          <t>-</t>
        </is>
      </c>
      <c r="L18" s="22" t="inlineStr">
        <is>
          <t>-</t>
        </is>
      </c>
      <c r="M18" s="22" t="inlineStr">
        <is>
          <t>-</t>
        </is>
      </c>
      <c r="N18" s="22" t="inlineStr">
        <is>
          <t>-</t>
        </is>
      </c>
      <c r="O18" s="22" t="inlineStr">
        <is>
          <t>-</t>
        </is>
      </c>
      <c r="P18" s="22" t="inlineStr">
        <is>
          <t>-</t>
        </is>
      </c>
      <c r="Q18" s="22" t="inlineStr">
        <is>
          <t>-</t>
        </is>
      </c>
      <c r="R18" s="22" t="inlineStr">
        <is>
          <t>-</t>
        </is>
      </c>
      <c r="S18" s="22" t="inlineStr">
        <is>
          <t>-</t>
        </is>
      </c>
      <c r="T18" s="24" t="n">
        <v>0</v>
      </c>
      <c r="U18" s="1" t="inlineStr">
        <is>
          <t>gas</t>
        </is>
      </c>
      <c r="V18" s="1" t="inlineStr">
        <is>
          <t>-</t>
        </is>
      </c>
      <c r="W18" s="89">
        <f>T18*1000</f>
        <v>0.0</v>
      </c>
      <c r="X18" s="91" t="inlineStr">
        <is>
          <t>-</t>
        </is>
      </c>
      <c r="Y18" s="185" t="n">
        <v>77.34999999999999</v>
      </c>
    </row>
    <row r="19">
      <c r="A19" s="1" t="n">
        <v>14</v>
      </c>
      <c r="B19" s="1" t="inlineStr">
        <is>
          <t>CO2</t>
        </is>
      </c>
      <c r="C19" s="1" t="inlineStr">
        <is>
          <t>CO₂</t>
        </is>
      </c>
      <c r="D19" s="22">
        <f>'Data Komponen'!$D$16</f>
        <v>44.01</v>
      </c>
      <c r="E19" s="22" t="n">
        <v>27.437</v>
      </c>
      <c r="F19" s="22" t="n">
        <v>0.042315</v>
      </c>
      <c r="G19" s="23" t="n">
        <v>-1.9555e-05</v>
      </c>
      <c r="H19" s="23" t="n">
        <v>3.9968e-09</v>
      </c>
      <c r="I19" s="23" t="n">
        <v>-2.9872e-13</v>
      </c>
      <c r="J19" s="22" t="inlineStr">
        <is>
          <t>-</t>
        </is>
      </c>
      <c r="K19" s="22" t="inlineStr">
        <is>
          <t>-</t>
        </is>
      </c>
      <c r="L19" s="22" t="inlineStr">
        <is>
          <t>-</t>
        </is>
      </c>
      <c r="M19" s="22" t="inlineStr">
        <is>
          <t>-</t>
        </is>
      </c>
      <c r="N19" s="22" t="inlineStr">
        <is>
          <t>-</t>
        </is>
      </c>
      <c r="O19" s="22" t="inlineStr">
        <is>
          <t>-</t>
        </is>
      </c>
      <c r="P19" s="22" t="inlineStr">
        <is>
          <t>-</t>
        </is>
      </c>
      <c r="Q19" s="22" t="inlineStr">
        <is>
          <t>-</t>
        </is>
      </c>
      <c r="R19" s="22" t="inlineStr">
        <is>
          <t>-</t>
        </is>
      </c>
      <c r="S19" s="22" t="inlineStr">
        <is>
          <t>-</t>
        </is>
      </c>
      <c r="T19" s="24" t="n">
        <v>-393.5</v>
      </c>
      <c r="U19" s="1" t="inlineStr">
        <is>
          <t>gas</t>
        </is>
      </c>
      <c r="V19" s="1" t="inlineStr">
        <is>
          <t>-</t>
        </is>
      </c>
      <c r="W19" s="89">
        <f>T19*1000</f>
        <v>-393500.0</v>
      </c>
      <c r="X19" s="91" t="inlineStr">
        <is>
          <t>-</t>
        </is>
      </c>
      <c r="Y19" s="185" t="n">
        <v>194.67</v>
      </c>
    </row>
    <row r="20">
      <c r="A20" s="1" t="n">
        <v>15</v>
      </c>
      <c r="B20" s="1" t="inlineStr">
        <is>
          <t>EDC</t>
        </is>
      </c>
      <c r="C20" s="1" t="inlineStr">
        <is>
          <t>EDC</t>
        </is>
      </c>
      <c r="D20" s="22">
        <f>'Data Komponen'!$D$17</f>
        <v>98.959</v>
      </c>
      <c r="E20" s="22" t="n">
        <v>37.275</v>
      </c>
      <c r="F20" s="22" t="n">
        <v>0.14362</v>
      </c>
      <c r="G20" s="23" t="n">
        <v>1.0378e-05</v>
      </c>
      <c r="H20" s="23" t="n">
        <v>-7.8305e-08</v>
      </c>
      <c r="I20" s="23" t="n">
        <v>2.8872e-11</v>
      </c>
      <c r="J20" s="22" t="n">
        <v>26.31</v>
      </c>
      <c r="K20" s="22" t="n">
        <v>0.77555</v>
      </c>
      <c r="L20" s="23" t="n">
        <v>-0.0022271</v>
      </c>
      <c r="M20" s="23" t="n">
        <v>2.6109e-06</v>
      </c>
      <c r="N20" s="22" t="inlineStr">
        <is>
          <t>-</t>
        </is>
      </c>
      <c r="O20" s="22" t="inlineStr">
        <is>
          <t>-</t>
        </is>
      </c>
      <c r="P20" s="22" t="inlineStr">
        <is>
          <t>-</t>
        </is>
      </c>
      <c r="Q20" s="22" t="n">
        <v>45.426</v>
      </c>
      <c r="R20" s="22" t="n">
        <v>561</v>
      </c>
      <c r="S20" s="22" t="n">
        <v>0.342</v>
      </c>
      <c r="T20" s="24" t="n">
        <v>-129.7</v>
      </c>
      <c r="U20" s="1" t="inlineStr">
        <is>
          <t>gas</t>
        </is>
      </c>
      <c r="V20" s="25">
        <f>Q20*1000*MAX(0,1-298.15/R20)^S20</f>
        <v>35050.9124161137</v>
      </c>
      <c r="W20" s="89">
        <f>T20*1000</f>
        <v>-129699.99999999999</v>
      </c>
      <c r="X20" s="91">
        <f>T20*1000-V20</f>
        <v>-164750.9124161137</v>
      </c>
      <c r="Y20" s="185" t="n">
        <v>356.59</v>
      </c>
    </row>
    <row r="21">
      <c r="A21" s="1" t="n">
        <v>16</v>
      </c>
      <c r="B21" s="1" t="inlineStr">
        <is>
          <t>TCE</t>
        </is>
      </c>
      <c r="C21" s="1" t="inlineStr">
        <is>
          <t>TCE</t>
        </is>
      </c>
      <c r="D21" s="22">
        <f>'Data Komponen'!$D$18</f>
        <v>133.403</v>
      </c>
      <c r="E21" s="22" t="n">
        <v>28.881</v>
      </c>
      <c r="F21" s="22" t="n">
        <v>0.24893</v>
      </c>
      <c r="G21" s="23" t="n">
        <v>-0.00017639</v>
      </c>
      <c r="H21" s="23" t="n">
        <v>5.2632e-08</v>
      </c>
      <c r="I21" s="23" t="n">
        <v>-3.5668e-12</v>
      </c>
      <c r="J21" s="22" t="n">
        <v>34.934</v>
      </c>
      <c r="K21" s="22" t="n">
        <v>0.85054</v>
      </c>
      <c r="L21" s="23" t="n">
        <v>-0.0023306</v>
      </c>
      <c r="M21" s="23" t="n">
        <v>2.6455e-06</v>
      </c>
      <c r="N21" s="22" t="inlineStr">
        <is>
          <t>-</t>
        </is>
      </c>
      <c r="O21" s="22" t="inlineStr">
        <is>
          <t>-</t>
        </is>
      </c>
      <c r="P21" s="22" t="inlineStr">
        <is>
          <t>-</t>
        </is>
      </c>
      <c r="Q21" s="22" t="n">
        <v>46.865</v>
      </c>
      <c r="R21" s="22" t="n">
        <v>602</v>
      </c>
      <c r="S21" s="22" t="n">
        <v>0.294</v>
      </c>
      <c r="T21" s="24" t="n">
        <v>-138.49</v>
      </c>
      <c r="U21" s="1" t="inlineStr">
        <is>
          <t>gas</t>
        </is>
      </c>
      <c r="V21" s="25">
        <f>Q21*1000*MAX(0,1-298.15/R21)^S21</f>
        <v>38330.90469481247</v>
      </c>
      <c r="W21" s="89">
        <f>T21*1000</f>
        <v>-138490.0</v>
      </c>
      <c r="X21" s="91">
        <f>T21*1000-V21</f>
        <v>-176820.90469481246</v>
      </c>
      <c r="Y21" s="185" t="n">
        <v>386.95</v>
      </c>
    </row>
    <row r="22">
      <c r="A22" s="1" t="n">
        <v>17</v>
      </c>
      <c r="B22" s="1" t="inlineStr">
        <is>
          <t>HCl</t>
        </is>
      </c>
      <c r="C22" s="1" t="inlineStr">
        <is>
          <t>HCl</t>
        </is>
      </c>
      <c r="D22" s="22">
        <f>'Data Komponen'!$D$19</f>
        <v>36.461</v>
      </c>
      <c r="E22" s="22" t="n">
        <v>29.244</v>
      </c>
      <c r="F22" s="23" t="n">
        <v>-0.0012615</v>
      </c>
      <c r="G22" s="23" t="n">
        <v>1.121e-06</v>
      </c>
      <c r="H22" s="23" t="n">
        <v>4.9676e-09</v>
      </c>
      <c r="I22" s="23" t="n">
        <v>-2.4963e-12</v>
      </c>
      <c r="J22" s="22" t="n">
        <v>73.99299999999999</v>
      </c>
      <c r="K22" s="22" t="n">
        <v>-0.12946</v>
      </c>
      <c r="L22" s="23" t="n">
        <v>-7.898000000000001e-05</v>
      </c>
      <c r="M22" s="23" t="n">
        <v>2.6409e-06</v>
      </c>
      <c r="N22" s="22" t="inlineStr">
        <is>
          <t>-</t>
        </is>
      </c>
      <c r="O22" s="22" t="inlineStr">
        <is>
          <t>-</t>
        </is>
      </c>
      <c r="P22" s="22" t="inlineStr">
        <is>
          <t>-</t>
        </is>
      </c>
      <c r="Q22" s="22" t="n">
        <v>30.54</v>
      </c>
      <c r="R22" s="22" t="n">
        <v>324.65</v>
      </c>
      <c r="S22" s="22" t="n">
        <v>0.647</v>
      </c>
      <c r="T22" s="24" t="n">
        <v>-92.3</v>
      </c>
      <c r="U22" s="1" t="inlineStr">
        <is>
          <t>gas</t>
        </is>
      </c>
      <c r="V22" s="25">
        <f>Q22*1000*MAX(0,1-298.15/R22)^S22</f>
        <v>6037.030148482469</v>
      </c>
      <c r="W22" s="89">
        <f>T22*1000</f>
        <v>-92300.0</v>
      </c>
      <c r="X22" s="91">
        <f>T22*1000-V22</f>
        <v>-98337.03014848247</v>
      </c>
      <c r="Y22" s="185" t="n">
        <v>188.15</v>
      </c>
    </row>
    <row r="23">
      <c r="A23" s="1" t="n">
        <v>18</v>
      </c>
      <c r="B23" s="1" t="inlineStr">
        <is>
          <t>FeCl3</t>
        </is>
      </c>
      <c r="C23" s="1" t="inlineStr">
        <is>
          <t>FeCl₃</t>
        </is>
      </c>
      <c r="D23" s="22">
        <f>'Data Komponen'!$D$20</f>
        <v>162.204</v>
      </c>
      <c r="E23" s="22" t="inlineStr">
        <is>
          <t>-</t>
        </is>
      </c>
      <c r="F23" s="22" t="inlineStr">
        <is>
          <t>-</t>
        </is>
      </c>
      <c r="G23" s="22" t="inlineStr">
        <is>
          <t>-</t>
        </is>
      </c>
      <c r="H23" s="22" t="inlineStr">
        <is>
          <t>-</t>
        </is>
      </c>
      <c r="I23" s="22" t="inlineStr">
        <is>
          <t>-</t>
        </is>
      </c>
      <c r="J23" s="22" t="inlineStr">
        <is>
          <t>-</t>
        </is>
      </c>
      <c r="K23" s="22" t="inlineStr">
        <is>
          <t>-</t>
        </is>
      </c>
      <c r="L23" s="22" t="inlineStr">
        <is>
          <t>-</t>
        </is>
      </c>
      <c r="M23" s="22" t="inlineStr">
        <is>
          <t>-</t>
        </is>
      </c>
      <c r="N23" s="22" t="n">
        <v>35.813</v>
      </c>
      <c r="O23" s="22" t="n">
        <v>0.26813</v>
      </c>
      <c r="P23" s="23" t="n">
        <v>-0.00020735</v>
      </c>
      <c r="Q23" s="22" t="inlineStr">
        <is>
          <t>-</t>
        </is>
      </c>
      <c r="R23" s="22" t="inlineStr">
        <is>
          <t>-</t>
        </is>
      </c>
      <c r="S23" s="22" t="inlineStr">
        <is>
          <t>-</t>
        </is>
      </c>
      <c r="T23" s="24" t="n">
        <v>-399.5</v>
      </c>
      <c r="U23" s="1" t="inlineStr">
        <is>
          <t>padat</t>
        </is>
      </c>
      <c r="V23" s="1" t="inlineStr">
        <is>
          <t>-</t>
        </is>
      </c>
      <c r="W23" s="90" t="inlineStr">
        <is>
          <t>-</t>
        </is>
      </c>
      <c r="X23" s="106" t="inlineStr">
        <is>
          <t>-</t>
        </is>
      </c>
      <c r="Y23" s="185" t="inlineStr">
        <is>
          <t>-</t>
        </is>
      </c>
    </row>
    <row r="24">
      <c r="A24" s="1" t="n">
        <v>19</v>
      </c>
      <c r="B24" s="1" t="inlineStr">
        <is>
          <t>C2H5Cl</t>
        </is>
      </c>
      <c r="C24" s="1" t="inlineStr">
        <is>
          <t>C₂H₅Cl</t>
        </is>
      </c>
      <c r="D24" s="22">
        <f>'Data Komponen'!$D$21</f>
        <v>64.515</v>
      </c>
      <c r="E24" s="22" t="n">
        <v>35.946</v>
      </c>
      <c r="F24" s="22" t="n">
        <v>0.052294</v>
      </c>
      <c r="G24" s="23" t="n">
        <v>0.00020321</v>
      </c>
      <c r="H24" s="23" t="n">
        <v>-2.2795e-07</v>
      </c>
      <c r="I24" s="23" t="n">
        <v>6.9123e-11</v>
      </c>
      <c r="J24" s="22" t="n">
        <v>60.18</v>
      </c>
      <c r="K24" s="22" t="n">
        <v>0.34553</v>
      </c>
      <c r="L24" s="23" t="n">
        <v>-0.0012983</v>
      </c>
      <c r="M24" s="23" t="n">
        <v>2.1963e-06</v>
      </c>
      <c r="N24" s="22" t="inlineStr">
        <is>
          <t>-</t>
        </is>
      </c>
      <c r="O24" s="22" t="inlineStr">
        <is>
          <t>-</t>
        </is>
      </c>
      <c r="P24" s="22" t="inlineStr">
        <is>
          <t>-</t>
        </is>
      </c>
      <c r="Q24" s="22" t="n">
        <v>35.233</v>
      </c>
      <c r="R24" s="22" t="n">
        <v>460.35</v>
      </c>
      <c r="S24" s="22" t="n">
        <v>0.365</v>
      </c>
      <c r="T24" s="24" t="n">
        <v>-111.71</v>
      </c>
      <c r="U24" s="1" t="inlineStr">
        <is>
          <t>gas</t>
        </is>
      </c>
      <c r="V24" s="25">
        <f>Q24*1000*MAX(0,1-298.15/R24)^S24</f>
        <v>24076.370075056806</v>
      </c>
      <c r="W24" s="89">
        <f>T24*1000</f>
        <v>-111710.0</v>
      </c>
      <c r="X24" s="91">
        <f>T24*1000-V24</f>
        <v>-135786.3700750568</v>
      </c>
      <c r="Y24" s="185" t="n">
        <v>285.42</v>
      </c>
    </row>
    <row r="25">
      <c r="A25" s="1" t="n">
        <v>20</v>
      </c>
      <c r="B25" s="1" t="inlineStr">
        <is>
          <t>VCM</t>
        </is>
      </c>
      <c r="C25" s="1" t="inlineStr">
        <is>
          <t>VCM</t>
        </is>
      </c>
      <c r="D25" s="22">
        <f>'Data Komponen'!$D$22</f>
        <v>62.498</v>
      </c>
      <c r="E25" s="22" t="n">
        <v>17.193</v>
      </c>
      <c r="F25" s="22" t="n">
        <v>0.14564</v>
      </c>
      <c r="G25" s="23" t="n">
        <v>-6.4281e-05</v>
      </c>
      <c r="H25" s="23" t="n">
        <v>-3.2385e-09</v>
      </c>
      <c r="I25" s="23" t="n">
        <v>6.7882e-12</v>
      </c>
      <c r="J25" s="22" t="n">
        <v>45.366</v>
      </c>
      <c r="K25" s="22" t="n">
        <v>0.28792</v>
      </c>
      <c r="L25" s="23" t="n">
        <v>-0.0011535</v>
      </c>
      <c r="M25" s="23" t="n">
        <v>2.1636e-06</v>
      </c>
      <c r="N25" s="22" t="inlineStr">
        <is>
          <t>-</t>
        </is>
      </c>
      <c r="O25" s="22" t="inlineStr">
        <is>
          <t>-</t>
        </is>
      </c>
      <c r="P25" s="22" t="inlineStr">
        <is>
          <t>-</t>
        </is>
      </c>
      <c r="Q25" s="22" t="n">
        <v>35.586</v>
      </c>
      <c r="R25" s="22" t="n">
        <v>432</v>
      </c>
      <c r="S25" s="22" t="n">
        <v>0.483</v>
      </c>
      <c r="T25" s="24" t="n">
        <v>28.45</v>
      </c>
      <c r="U25" s="1" t="inlineStr">
        <is>
          <t>gas</t>
        </is>
      </c>
      <c r="V25" s="25">
        <f>Q25*1000*MAX(0,1-298.15/R25)^S25</f>
        <v>20206.784045411434</v>
      </c>
      <c r="W25" s="89">
        <f>T25*1000</f>
        <v>28450.0</v>
      </c>
      <c r="X25" s="91">
        <f>T25*1000-V25</f>
        <v>8243.215954588566</v>
      </c>
      <c r="Y25" s="185" t="n">
        <v>259.25</v>
      </c>
    </row>
    <row r="26">
      <c r="A26" s="1" t="n">
        <v>21</v>
      </c>
      <c r="B26" s="1" t="inlineStr">
        <is>
          <t>HVY</t>
        </is>
      </c>
      <c r="C26" s="1" t="inlineStr">
        <is>
          <t>C₄H₈Cl₂ (berat)</t>
        </is>
      </c>
      <c r="D26" s="22">
        <f>'Data Komponen'!$D$23</f>
        <v>127.013</v>
      </c>
      <c r="E26" s="22" t="n">
        <v>0.074</v>
      </c>
      <c r="F26" s="22" t="n">
        <v>0.51333</v>
      </c>
      <c r="G26" s="23" t="n">
        <v>-0.00043439</v>
      </c>
      <c r="H26" s="23" t="n">
        <v>2.0527e-07</v>
      </c>
      <c r="I26" s="23" t="n">
        <v>-4.1398e-11</v>
      </c>
      <c r="J26" s="22" t="n">
        <v>64.944</v>
      </c>
      <c r="K26" s="22" t="n">
        <v>0.83651</v>
      </c>
      <c r="L26" s="23" t="n">
        <v>-0.0021802</v>
      </c>
      <c r="M26" s="23" t="n">
        <v>2.4034e-06</v>
      </c>
      <c r="N26" s="22" t="inlineStr">
        <is>
          <t>-</t>
        </is>
      </c>
      <c r="O26" s="22" t="inlineStr">
        <is>
          <t>-</t>
        </is>
      </c>
      <c r="P26" s="22" t="inlineStr">
        <is>
          <t>-</t>
        </is>
      </c>
      <c r="Q26" s="22" t="n">
        <v>57.353</v>
      </c>
      <c r="R26" s="22" t="n">
        <v>641</v>
      </c>
      <c r="S26" s="22" t="n">
        <v>0.376</v>
      </c>
      <c r="T26" s="24" t="n">
        <v>-179</v>
      </c>
      <c r="U26" s="1" t="inlineStr">
        <is>
          <t>gas</t>
        </is>
      </c>
      <c r="V26" s="25">
        <f>Q26*1000*MAX(0,1-298.15/R26)^S26</f>
        <v>45329.056806282984</v>
      </c>
      <c r="W26" s="89">
        <f>T26*1000</f>
        <v>-179000.0</v>
      </c>
      <c r="X26" s="91">
        <f>T26*1000-V26</f>
        <v>-224329.05680628298</v>
      </c>
      <c r="Y26" s="185" t="n">
        <v>428.15</v>
      </c>
    </row>
    <row r="27">
      <c r="Y27" t="inlineStr">
        <is>
          <t>Yaws (1999) Tabel 5-1/5-2; CRC Handbook untuk C₂H₂, CO₂ (sublimasi)</t>
        </is>
      </c>
    </row>
    <row r="28" ht="64.90000000000001" customHeight="1">
      <c r="A28" s="26" t="inlineStr">
        <is>
          <t>Data tambahan</t>
        </is>
      </c>
    </row>
    <row r="29">
      <c r="C29" s="127" t="inlineStr">
        <is>
          <t>ΔHf° HCl(aq), pengenceran tak hingga (kJ/mol) = ΔHf° H⁺(aq) + ΔHf° Cl⁻(aq)</t>
        </is>
      </c>
      <c r="D29" s="186" t="n">
        <v>-167.08</v>
      </c>
      <c r="E29" s="125" t="n"/>
    </row>
    <row r="30">
      <c r="C30" s="127" t="inlineStr">
        <is>
          <t>Tc etilena (K)</t>
        </is>
      </c>
      <c r="D30" s="186" t="n">
        <v>282.36</v>
      </c>
      <c r="E30" s="125" t="n"/>
    </row>
    <row r="31">
      <c r="C31" s="127" t="inlineStr">
        <is>
          <t>Pc etilena (bar)</t>
        </is>
      </c>
      <c r="D31" s="186" t="n">
        <v>50.32</v>
      </c>
      <c r="E31" s="125" t="n"/>
    </row>
    <row r="32">
      <c r="C32" s="127" t="inlineStr">
        <is>
          <t>Faktor asentrik etilena ω</t>
        </is>
      </c>
      <c r="D32" s="186" t="n">
        <v>0.08500000000000001</v>
      </c>
      <c r="E32" s="125" t="n"/>
    </row>
    <row r="33">
      <c r="C33" s="127" t="inlineStr">
        <is>
          <t>Densitas cair EDC: A (g/mL)</t>
        </is>
      </c>
      <c r="D33" s="186" t="n">
        <v>0.46501</v>
      </c>
      <c r="E33" s="125" t="n"/>
    </row>
    <row r="34">
      <c r="C34" s="127" t="inlineStr">
        <is>
          <t>Densitas cair EDC: B</t>
        </is>
      </c>
      <c r="D34" s="186" t="n">
        <v>0.28742</v>
      </c>
      <c r="E34" s="125" t="n"/>
    </row>
    <row r="35">
      <c r="C35" s="127" t="inlineStr">
        <is>
          <t>Densitas cair EDC: n</t>
        </is>
      </c>
      <c r="D35" s="186" t="n">
        <v>0.31041</v>
      </c>
      <c r="E35" s="125" t="n"/>
    </row>
    <row r="36">
      <c r="C36" s="127" t="inlineStr">
        <is>
          <t>Densitas cair EDC: Tc (K)</t>
        </is>
      </c>
      <c r="D36" s="186" t="n">
        <v>561</v>
      </c>
      <c r="E36" s="125" t="n"/>
    </row>
    <row r="37">
      <c r="C37" s="127" t="inlineStr">
        <is>
          <t>Titik didih normal Cl₂ (K)</t>
        </is>
      </c>
      <c r="D37" s="186" t="n">
        <v>239.12</v>
      </c>
      <c r="E37" s="125" t="n"/>
    </row>
    <row r="38">
      <c r="C38" s="127" t="inlineStr">
        <is>
          <t>Titik didih normal HCl (K)</t>
        </is>
      </c>
      <c r="D38" s="186" t="n">
        <v>188.15</v>
      </c>
      <c r="E38" s="125" t="n"/>
    </row>
    <row r="39">
      <c r="C39" s="127" t="inlineStr">
        <is>
          <t>Titik didih normal EDC (K)</t>
        </is>
      </c>
      <c r="D39" s="186" t="n">
        <v>356.59</v>
      </c>
      <c r="E39" s="125" t="n"/>
    </row>
    <row r="40">
      <c r="C40" s="127" t="inlineStr">
        <is>
          <t>Konstanta gas R (kJ/(kmol·K))</t>
        </is>
      </c>
      <c r="D40" s="186" t="n">
        <v>8.314</v>
      </c>
      <c r="E40" s="125" t="n"/>
    </row>
    <row r="42">
      <c r="A42" s="187" t="inlineStr">
        <is>
          <t>Cara menghitung Ĥᵢ (kJ/kmol) relatif terhadap reference state komponen pada 25 °C, 1 bar:</t>
        </is>
      </c>
    </row>
    <row r="43">
      <c r="A43" s="187" t="inlineStr">
        <is>
          <t>Fasa sama dengan reference state: Ĥ = ∫Cp dT dari 298,15 K sampai T (Cp gas, cair, atau padat).</t>
        </is>
      </c>
    </row>
    <row r="44">
      <c r="A44" s="187" t="inlineStr">
        <is>
          <t>Gas dengan reference cair (Cl₂, H₂O, Br₂, EDC, TCE, C₄H₈Cl₂): Ĥ = ΔHvap(298,15 K) + ∫Cp,gas dT. Cair dengan reference gas (HCl, C₂H₅Cl, VCM, NCl₃): Ĥ = −ΔHvap(298,15 K) + ∫Cp,cair dT.</t>
        </is>
      </c>
    </row>
    <row r="45">
      <c r="A45" s="187" t="inlineStr">
        <is>
          <t>Padat (FeCl₃): Ĥ = ∫Cp,padat dT. Panas pelarutan FeCl₃ diabaikan karena lajunya &lt; 0.03 kmol/h.</t>
        </is>
      </c>
    </row>
    <row r="46">
      <c r="A46" s="187" t="inlineStr">
        <is>
          <t>HCl terlarut dalam air asam: Ĥ = ∫Cp,gas dT (pendekatan); panas pelarutan HCl dimasukkan sebagai heat of mixing dari sheet Termodinamika.</t>
        </is>
      </c>
    </row>
    <row r="47">
      <c r="A47" s="187" t="inlineStr">
        <is>
          <t>NCl₃ fasa gas: Ĥ = −ΔHvap(298,15 K) + ∫Cp,cair dT + ΔHvap(T), karena Yaws tidak memberi Cp gas NCl₃. O₂, N₂, CO₂ di atas suhu kritis atau tanpa data cair sehingga reference state-nya fasa gas.</t>
        </is>
      </c>
    </row>
    <row r="48">
      <c r="A48" s="125" t="inlineStr">
        <is>
          <t>Gas permanen yang terlarut dalam cairan (N₂, O₂, CO₂, H₂, CH₄, CₙHₘ, CₓHᵧCl di Cl₂ cair) dihitung sebagai gas; panas pelarutannya diabaikan.</t>
        </is>
      </c>
    </row>
    <row r="49">
      <c r="A49" s="125" t="inlineStr">
        <is>
          <t>CₙHₘ memakai data metana dan CₓHᵧCl memakai data metil klorida, sama dengan representasi di sheet Data Komponen. Fraksi berat memakai data 1,4-diklorobutana (C₄H₈Cl₂).</t>
        </is>
      </c>
    </row>
    <row r="50">
      <c r="A50" s="125" t="inlineStr">
        <is>
          <t>Batas berlaku persamaan Cp di Yaws: VCM cair 120 s.d. 389 K (aliran 49 pada 425 K memakai ekstrapolasi, VCM hanya 0.5 %-berat); HCl cair 165 s.d. 308 K (HCl cair di aliran 45 dan 47 &lt; 0.001 kmol/h).</t>
        </is>
      </c>
    </row>
    <row r="51">
      <c r="A51" s="188" t="inlineStr">
        <is>
          <t>Panas reaksi pada 25 °C diambil dari sheet Termodinamika (dikoreksi ke fasa reference state); Q = ΣṅĤ keluar + Σξ·ΔH°r − ΣṅĤ masuk − W.</t>
        </is>
      </c>
    </row>
    <row r="52">
      <c r="A52" s="188" t="inlineStr">
        <is>
          <t>Fasa aliran: setiap aliran dianggap 100 % gas atau 100 % cair dari flash Raoult pada T dan P aliran (tekanan uap Clausius–Clapeyron dari Tb kolom Y dan ΔHvap Watson pada Tb; V/F ≥ 0,5 → gas). Komponen di atas Tc atau tanpa data Cp cair dihitung sebagai gas, FeCl₃ padat, HCl di air asam aq.</t>
        </is>
      </c>
    </row>
    <row r="53">
      <c r="A53" s="188" t="inlineStr">
        <is>
          <t>Pengecualian: keluaran valve (aliran 2, 43, 46, 51) mengikuti fasa dan suhu umpan valve; aliran 36 dan 42 adalah kondensat kondensor total sehingga cair (berada dalam ±5 K dari titik jenuh hasil estimasi).</t>
        </is>
      </c>
    </row>
  </sheetData>
  <mergeCells count="19">
    <mergeCell ref="E38:P38"/>
    <mergeCell ref="Q4:S4"/>
    <mergeCell ref="E31:P31"/>
    <mergeCell ref="E40:P40"/>
    <mergeCell ref="E30:P30"/>
    <mergeCell ref="E34:P34"/>
    <mergeCell ref="T4:U4"/>
    <mergeCell ref="E4:I4"/>
    <mergeCell ref="E29:P29"/>
    <mergeCell ref="E36:P36"/>
    <mergeCell ref="E32:P32"/>
    <mergeCell ref="A1:Y1"/>
    <mergeCell ref="E37:P37"/>
    <mergeCell ref="N4:P4"/>
    <mergeCell ref="E33:P33"/>
    <mergeCell ref="J4:M4"/>
    <mergeCell ref="E39:P39"/>
    <mergeCell ref="V4:X4"/>
    <mergeCell ref="E35:P35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24"/>
  <sheetViews>
    <sheetView tabSelected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46" customWidth="1" min="3" max="3"/>
    <col width="18" customWidth="1" min="4" max="4"/>
    <col width="14" customWidth="1" min="5" max="5"/>
    <col width="14" customWidth="1" min="6" max="6"/>
    <col width="30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>
      <c r="A1" s="169" t="inlineStr">
        <is>
          <t>Tinjauan Termodinamika Reaksi Pembuatan VCM (Proses Balanced)</t>
        </is>
      </c>
    </row>
    <row r="3">
      <c r="A3" s="169" t="inlineStr">
        <is>
          <t>Konstanta dan Kondisi Operasi</t>
        </is>
      </c>
    </row>
    <row r="4">
      <c r="A4" s="162" t="inlineStr">
        <is>
          <t>Parameter</t>
        </is>
      </c>
      <c r="B4" s="162" t="inlineStr">
        <is>
          <t>Nilai</t>
        </is>
      </c>
      <c r="C4" s="162" t="inlineStr">
        <is>
          <t>Satuan</t>
        </is>
      </c>
      <c r="D4" s="162" t="inlineStr">
        <is>
          <t>Keterangan</t>
        </is>
      </c>
    </row>
    <row r="5">
      <c r="A5" s="163" t="inlineStr">
        <is>
          <t>Konstanta gas ideal (R)</t>
        </is>
      </c>
      <c r="B5" s="189" t="n">
        <v>8.314462618</v>
      </c>
      <c r="C5" s="172" t="inlineStr">
        <is>
          <t>J/mol·K</t>
        </is>
      </c>
      <c r="D5" s="172" t="inlineStr">
        <is>
          <t>Nilai eksak SI 2019</t>
        </is>
      </c>
    </row>
    <row r="6">
      <c r="A6" s="163" t="inlineStr">
        <is>
          <t>Suhu referensi (T₀)</t>
        </is>
      </c>
      <c r="B6" s="185" t="n">
        <v>298.15</v>
      </c>
      <c r="C6" s="172" t="inlineStr">
        <is>
          <t>K</t>
        </is>
      </c>
      <c r="D6" s="172" t="inlineStr">
        <is>
          <t>Keadaan standar 25 °C; 1 bar</t>
        </is>
      </c>
    </row>
    <row r="7">
      <c r="A7" s="163" t="inlineStr">
        <is>
          <t>Suhu reaktor klorinasi langsung R-01</t>
        </is>
      </c>
      <c r="B7" s="185">
        <f>'NME-1 Klorinasi Langsung'!$J$222</f>
        <v>338.15</v>
      </c>
      <c r="C7" s="172" t="inlineStr">
        <is>
          <t>K</t>
        </is>
      </c>
      <c r="D7" s="171" t="inlineStr">
        <is>
          <t>Sama dengan T aliran 14 (NME-1): 65 °C, zona 2 R-01 (US 4,072,728)</t>
        </is>
      </c>
    </row>
    <row r="8">
      <c r="A8" s="163" t="inlineStr">
        <is>
          <t>Suhu reaktor oksiklorinasi R-02</t>
        </is>
      </c>
      <c r="B8" s="185">
        <f>'NME-2 Oksiklorinasi'!$H$126</f>
        <v>498.15</v>
      </c>
      <c r="C8" s="172" t="inlineStr">
        <is>
          <t>K</t>
        </is>
      </c>
      <c r="D8" s="171" t="inlineStr">
        <is>
          <t>Sama dengan T aliran 18 (NME-2): 225 °C (US 4,740,642)</t>
        </is>
      </c>
    </row>
    <row r="9">
      <c r="A9" s="163" t="inlineStr">
        <is>
          <t>Suhu keluar furnace pirolisis F-101</t>
        </is>
      </c>
      <c r="B9" s="185">
        <f>'NME-6 Pirolisis'!$D$97</f>
        <v>789.15</v>
      </c>
      <c r="C9" s="172" t="inlineStr">
        <is>
          <t>K</t>
        </is>
      </c>
      <c r="D9" s="171" t="inlineStr">
        <is>
          <t>Sama dengan T aliran 39 (NME-6): 516 °C (US 4,590,318)</t>
        </is>
      </c>
    </row>
    <row r="10">
      <c r="A10" s="163" t="inlineStr">
        <is>
          <t>Tekanan keluar furnace pirolisis F-101</t>
        </is>
      </c>
      <c r="B10" s="190">
        <f>B11/1.01325</f>
        <v>12.830002467308168</v>
      </c>
      <c r="C10" s="172" t="inlineStr">
        <is>
          <t>atm</t>
        </is>
      </c>
      <c r="D10" s="171" t="inlineStr">
        <is>
          <t>1 atm = 1,01325 bar</t>
        </is>
      </c>
    </row>
    <row r="11">
      <c r="A11" s="163" t="inlineStr">
        <is>
          <t>Tekanan keluar furnace pirolisis F-101</t>
        </is>
      </c>
      <c r="B11" s="190">
        <f>'NME-6 Pirolisis'!$D$99</f>
        <v>13.0</v>
      </c>
      <c r="C11" s="172" t="inlineStr">
        <is>
          <t>bar</t>
        </is>
      </c>
      <c r="D11" s="172" t="inlineStr">
        <is>
          <t>Sama dengan P aliran 39 (NME-6)</t>
        </is>
      </c>
    </row>
    <row r="13">
      <c r="A13" s="169" t="inlineStr">
        <is>
          <t>Data Termokimia Komponen pada 298,15 K dan Koefisien Kapasitas Panas</t>
        </is>
      </c>
    </row>
    <row r="14">
      <c r="A14" s="162" t="inlineStr">
        <is>
          <t>No</t>
        </is>
      </c>
      <c r="B14" s="162" t="inlineStr">
        <is>
          <t>Komponen</t>
        </is>
      </c>
      <c r="C14" s="162" t="inlineStr">
        <is>
          <t>Rumus</t>
        </is>
      </c>
      <c r="D14" s="162" t="inlineStr">
        <is>
          <t>Fase</t>
        </is>
      </c>
      <c r="E14" s="162" t="inlineStr">
        <is>
          <t>ΔH°f (kJ/mol)</t>
        </is>
      </c>
      <c r="F14" s="162" t="inlineStr">
        <is>
          <t>S° (J/mol·K)</t>
        </is>
      </c>
      <c r="G14" s="162" t="inlineStr">
        <is>
          <t>a₀</t>
        </is>
      </c>
      <c r="H14" s="162" t="inlineStr">
        <is>
          <t>a₁</t>
        </is>
      </c>
      <c r="I14" s="162" t="inlineStr">
        <is>
          <t>a₂</t>
        </is>
      </c>
      <c r="J14" s="162" t="inlineStr">
        <is>
          <t>a₃</t>
        </is>
      </c>
      <c r="K14" s="162" t="inlineStr">
        <is>
          <t>a₄</t>
        </is>
      </c>
      <c r="L14" s="162" t="inlineStr">
        <is>
          <t>T min (K)</t>
        </is>
      </c>
      <c r="M14" s="162" t="inlineStr">
        <is>
          <t>T maks (K)</t>
        </is>
      </c>
      <c r="N14" s="162" t="inlineStr">
        <is>
          <t>Sumber ΔH°f</t>
        </is>
      </c>
      <c r="O14" s="162" t="inlineStr">
        <is>
          <t>Sumber S°</t>
        </is>
      </c>
      <c r="P14" s="162" t="inlineStr">
        <is>
          <t>Sumber Cp</t>
        </is>
      </c>
    </row>
    <row r="15">
      <c r="A15" s="163" t="n">
        <v>1</v>
      </c>
      <c r="B15" s="172" t="inlineStr">
        <is>
          <t>Etilena</t>
        </is>
      </c>
      <c r="C15" s="172" t="inlineStr">
        <is>
          <t>C₂H₄</t>
        </is>
      </c>
      <c r="D15" s="172" t="inlineStr">
        <is>
          <t>g</t>
        </is>
      </c>
      <c r="E15" s="190" t="n">
        <v>52.56</v>
      </c>
      <c r="F15" s="185" t="n">
        <v>219.3</v>
      </c>
      <c r="G15" s="191" t="n">
        <v>4.221</v>
      </c>
      <c r="H15" s="191" t="n">
        <v>-0.008782</v>
      </c>
      <c r="I15" s="191" t="n">
        <v>5.795e-05</v>
      </c>
      <c r="J15" s="191" t="n">
        <v>-6.729e-08</v>
      </c>
      <c r="K15" s="191" t="n">
        <v>2.511e-11</v>
      </c>
      <c r="L15" s="192" t="n">
        <v>50</v>
      </c>
      <c r="M15" s="192" t="n">
        <v>1000</v>
      </c>
      <c r="N15" s="172" t="inlineStr">
        <is>
          <t>ATcT v1.112 (Ruscic dkk., 2005)</t>
        </is>
      </c>
      <c r="O15" s="172" t="inlineStr">
        <is>
          <t>CRC Handbook (Haynes dkk., 2014)</t>
        </is>
      </c>
      <c r="P15" s="172" t="inlineStr">
        <is>
          <t>Poling dkk. (2001), Lampiran A</t>
        </is>
      </c>
    </row>
    <row r="16">
      <c r="A16" s="163" t="n">
        <v>2</v>
      </c>
      <c r="B16" s="172" t="inlineStr">
        <is>
          <t>Klorin</t>
        </is>
      </c>
      <c r="C16" s="172" t="inlineStr">
        <is>
          <t>Cl₂</t>
        </is>
      </c>
      <c r="D16" s="172" t="inlineStr">
        <is>
          <t>g</t>
        </is>
      </c>
      <c r="E16" s="190" t="n">
        <v>0</v>
      </c>
      <c r="F16" s="185" t="n">
        <v>223.1</v>
      </c>
      <c r="G16" s="191" t="n">
        <v>3.056</v>
      </c>
      <c r="H16" s="191" t="n">
        <v>0.0053708</v>
      </c>
      <c r="I16" s="191" t="n">
        <v>-8.097999999999999e-06</v>
      </c>
      <c r="J16" s="191" t="n">
        <v>5.693e-09</v>
      </c>
      <c r="K16" s="191" t="n">
        <v>-1.5256e-12</v>
      </c>
      <c r="L16" s="192" t="n">
        <v>50</v>
      </c>
      <c r="M16" s="192" t="n">
        <v>1000</v>
      </c>
      <c r="N16" s="172" t="inlineStr">
        <is>
          <t>Unsur (definisi)</t>
        </is>
      </c>
      <c r="O16" s="172" t="inlineStr">
        <is>
          <t>CRC Handbook (Haynes dkk., 2014)</t>
        </is>
      </c>
      <c r="P16" s="172" t="inlineStr">
        <is>
          <t>Poling dkk. (2001), Lampiran A</t>
        </is>
      </c>
    </row>
    <row r="17">
      <c r="A17" s="163" t="n">
        <v>3</v>
      </c>
      <c r="B17" s="172" t="inlineStr">
        <is>
          <t>Oksigen</t>
        </is>
      </c>
      <c r="C17" s="172" t="inlineStr">
        <is>
          <t>O₂</t>
        </is>
      </c>
      <c r="D17" s="172" t="inlineStr">
        <is>
          <t>g</t>
        </is>
      </c>
      <c r="E17" s="190" t="n">
        <v>0</v>
      </c>
      <c r="F17" s="185" t="n">
        <v>205.2</v>
      </c>
      <c r="G17" s="191" t="n">
        <v>3.63</v>
      </c>
      <c r="H17" s="191" t="n">
        <v>-0.001794</v>
      </c>
      <c r="I17" s="191" t="n">
        <v>6.58e-06</v>
      </c>
      <c r="J17" s="191" t="n">
        <v>-6e-09</v>
      </c>
      <c r="K17" s="191" t="n">
        <v>1.79e-12</v>
      </c>
      <c r="L17" s="192" t="n">
        <v>50</v>
      </c>
      <c r="M17" s="192" t="n">
        <v>1000</v>
      </c>
      <c r="N17" s="172" t="inlineStr">
        <is>
          <t>Unsur (definisi)</t>
        </is>
      </c>
      <c r="O17" s="172" t="inlineStr">
        <is>
          <t>CRC Handbook (Haynes dkk., 2014)</t>
        </is>
      </c>
      <c r="P17" s="172" t="inlineStr">
        <is>
          <t>Poling dkk. (2001), Lampiran A</t>
        </is>
      </c>
    </row>
    <row r="18">
      <c r="A18" s="163" t="n">
        <v>4</v>
      </c>
      <c r="B18" s="172" t="inlineStr">
        <is>
          <t>Hidrogen klorida</t>
        </is>
      </c>
      <c r="C18" s="172" t="inlineStr">
        <is>
          <t>HCl</t>
        </is>
      </c>
      <c r="D18" s="172" t="inlineStr">
        <is>
          <t>g</t>
        </is>
      </c>
      <c r="E18" s="190" t="n">
        <v>-92.173</v>
      </c>
      <c r="F18" s="185" t="n">
        <v>186.9</v>
      </c>
      <c r="G18" s="191" t="n">
        <v>3.827</v>
      </c>
      <c r="H18" s="191" t="n">
        <v>-0.002936</v>
      </c>
      <c r="I18" s="191" t="n">
        <v>8.790000000000001e-06</v>
      </c>
      <c r="J18" s="191" t="n">
        <v>-1.031e-08</v>
      </c>
      <c r="K18" s="191" t="n">
        <v>4.39e-12</v>
      </c>
      <c r="L18" s="192" t="n">
        <v>50</v>
      </c>
      <c r="M18" s="192" t="n">
        <v>1000</v>
      </c>
      <c r="N18" s="172" t="inlineStr">
        <is>
          <t>ATcT v1.112 (Ruscic dkk., 2005)</t>
        </is>
      </c>
      <c r="O18" s="172" t="inlineStr">
        <is>
          <t>CRC Handbook (Haynes dkk., 2014)</t>
        </is>
      </c>
      <c r="P18" s="172" t="inlineStr">
        <is>
          <t>Poling dkk. (2001), Lampiran A</t>
        </is>
      </c>
    </row>
    <row r="19">
      <c r="A19" s="163" t="n">
        <v>5</v>
      </c>
      <c r="B19" s="172" t="inlineStr">
        <is>
          <t>Air</t>
        </is>
      </c>
      <c r="C19" s="172" t="inlineStr">
        <is>
          <t>H₂O</t>
        </is>
      </c>
      <c r="D19" s="172" t="inlineStr">
        <is>
          <t>g</t>
        </is>
      </c>
      <c r="E19" s="190" t="n">
        <v>-241.822</v>
      </c>
      <c r="F19" s="185" t="n">
        <v>188.8</v>
      </c>
      <c r="G19" s="191" t="n">
        <v>4.395</v>
      </c>
      <c r="H19" s="191" t="n">
        <v>-0.004186</v>
      </c>
      <c r="I19" s="191" t="n">
        <v>1.405e-05</v>
      </c>
      <c r="J19" s="191" t="n">
        <v>-1.564e-08</v>
      </c>
      <c r="K19" s="191" t="n">
        <v>6.32e-12</v>
      </c>
      <c r="L19" s="192" t="n">
        <v>50</v>
      </c>
      <c r="M19" s="192" t="n">
        <v>1000</v>
      </c>
      <c r="N19" s="172" t="inlineStr">
        <is>
          <t>ATcT v1.112 (Ruscic dkk., 2005)</t>
        </is>
      </c>
      <c r="O19" s="172" t="inlineStr">
        <is>
          <t>CRC Handbook (Haynes dkk., 2014)</t>
        </is>
      </c>
      <c r="P19" s="172" t="inlineStr">
        <is>
          <t>Poling dkk. (2001), Lampiran A</t>
        </is>
      </c>
    </row>
    <row r="20">
      <c r="A20" s="163" t="n">
        <v>6</v>
      </c>
      <c r="B20" s="172" t="inlineStr">
        <is>
          <t>Karbon dioksida</t>
        </is>
      </c>
      <c r="C20" s="172" t="inlineStr">
        <is>
          <t>CO₂</t>
        </is>
      </c>
      <c r="D20" s="172" t="inlineStr">
        <is>
          <t>g</t>
        </is>
      </c>
      <c r="E20" s="190" t="n">
        <v>-393.474</v>
      </c>
      <c r="F20" s="185" t="n">
        <v>213.8</v>
      </c>
      <c r="G20" s="191" t="n">
        <v>3.259</v>
      </c>
      <c r="H20" s="191" t="n">
        <v>0.001356</v>
      </c>
      <c r="I20" s="191" t="n">
        <v>1.502e-05</v>
      </c>
      <c r="J20" s="191" t="n">
        <v>-2.374e-08</v>
      </c>
      <c r="K20" s="191" t="n">
        <v>1.056e-11</v>
      </c>
      <c r="L20" s="192" t="n">
        <v>50</v>
      </c>
      <c r="M20" s="192" t="n">
        <v>1000</v>
      </c>
      <c r="N20" s="172" t="inlineStr">
        <is>
          <t>ATcT v1.112 (Ruscic dkk., 2005)</t>
        </is>
      </c>
      <c r="O20" s="172" t="inlineStr">
        <is>
          <t>CRC Handbook (Haynes dkk., 2014)</t>
        </is>
      </c>
      <c r="P20" s="172" t="inlineStr">
        <is>
          <t>Poling dkk. (2001), Lampiran A</t>
        </is>
      </c>
    </row>
    <row r="21">
      <c r="A21" s="163" t="n">
        <v>7</v>
      </c>
      <c r="B21" s="172" t="inlineStr">
        <is>
          <t>Karbon monoksida</t>
        </is>
      </c>
      <c r="C21" s="172" t="inlineStr">
        <is>
          <t>CO</t>
        </is>
      </c>
      <c r="D21" s="172" t="inlineStr">
        <is>
          <t>g</t>
        </is>
      </c>
      <c r="E21" s="190" t="n">
        <v>-110.525</v>
      </c>
      <c r="F21" s="185" t="n">
        <v>197.7</v>
      </c>
      <c r="G21" s="191" t="n">
        <v>3.912</v>
      </c>
      <c r="H21" s="191" t="n">
        <v>-0.003913</v>
      </c>
      <c r="I21" s="191" t="n">
        <v>1.182e-05</v>
      </c>
      <c r="J21" s="191" t="n">
        <v>-1.3e-08</v>
      </c>
      <c r="K21" s="191" t="n">
        <v>5.15e-12</v>
      </c>
      <c r="L21" s="192" t="n">
        <v>50</v>
      </c>
      <c r="M21" s="192" t="n">
        <v>1000</v>
      </c>
      <c r="N21" s="172" t="inlineStr">
        <is>
          <t>ATcT v1.112 (Ruscic dkk., 2005)</t>
        </is>
      </c>
      <c r="O21" s="172" t="inlineStr">
        <is>
          <t>CRC Handbook (Haynes dkk., 2014)</t>
        </is>
      </c>
      <c r="P21" s="172" t="inlineStr">
        <is>
          <t>Poling dkk. (2001), Lampiran A</t>
        </is>
      </c>
    </row>
    <row r="22">
      <c r="A22" s="163" t="n">
        <v>8</v>
      </c>
      <c r="B22" s="172" t="inlineStr">
        <is>
          <t>1,2-Dikloroetana</t>
        </is>
      </c>
      <c r="C22" s="172" t="inlineStr">
        <is>
          <t>C₂H₄Cl₂</t>
        </is>
      </c>
      <c r="D22" s="172" t="inlineStr">
        <is>
          <t>g</t>
        </is>
      </c>
      <c r="E22" s="190" t="n">
        <v>-130.09</v>
      </c>
      <c r="F22" s="185" t="n">
        <v>308.4</v>
      </c>
      <c r="G22" s="191" t="n">
        <v>2.99</v>
      </c>
      <c r="H22" s="191" t="n">
        <v>0.023197</v>
      </c>
      <c r="I22" s="191" t="n">
        <v>-4.04e-06</v>
      </c>
      <c r="J22" s="191" t="n">
        <v>-1.133e-08</v>
      </c>
      <c r="K22" s="191" t="n">
        <v>6.17e-12</v>
      </c>
      <c r="L22" s="192" t="n">
        <v>298</v>
      </c>
      <c r="M22" s="192" t="n">
        <v>1000</v>
      </c>
      <c r="N22" s="172" t="inlineStr">
        <is>
          <t>ATcT v1.112 (Ruscic dkk., 2005)</t>
        </is>
      </c>
      <c r="O22" s="172" t="inlineStr">
        <is>
          <t>CRC Handbook (Haynes dkk., 2014)</t>
        </is>
      </c>
      <c r="P22" s="172" t="inlineStr">
        <is>
          <t>Poling dkk. (2001), Lampiran A</t>
        </is>
      </c>
    </row>
    <row r="23">
      <c r="A23" s="163" t="n">
        <v>9</v>
      </c>
      <c r="B23" s="172" t="inlineStr">
        <is>
          <t>1,2-Dikloroetana</t>
        </is>
      </c>
      <c r="C23" s="172" t="inlineStr">
        <is>
          <t>C₂H₄Cl₂</t>
        </is>
      </c>
      <c r="D23" s="172" t="inlineStr">
        <is>
          <t>l</t>
        </is>
      </c>
      <c r="E23" s="190" t="n">
        <v>-167.488</v>
      </c>
      <c r="F23" s="185" t="n">
        <v>208.53</v>
      </c>
      <c r="G23" s="191" t="n">
        <v>21.5491978534024</v>
      </c>
      <c r="H23" s="191" t="n">
        <v>-0.0534899271826878</v>
      </c>
      <c r="I23" s="191" t="n">
        <v>0.000111864114703751</v>
      </c>
      <c r="J23" s="191" t="n">
        <v>0</v>
      </c>
      <c r="K23" s="191" t="n">
        <v>0</v>
      </c>
      <c r="L23" s="192" t="n">
        <v>237.49</v>
      </c>
      <c r="M23" s="192" t="n">
        <v>356.59</v>
      </c>
      <c r="N23" s="172" t="inlineStr">
        <is>
          <t>NIST WebBook (Linstrom &amp; Mallard, 2024)</t>
        </is>
      </c>
      <c r="O23" s="172" t="inlineStr">
        <is>
          <t>NIST WebBook (Linstrom &amp; Mallard, 2024)</t>
        </is>
      </c>
      <c r="P23" s="172" t="inlineStr">
        <is>
          <t>Perry &amp; Green (2008), Tabel 2-153</t>
        </is>
      </c>
    </row>
    <row r="24">
      <c r="A24" s="163" t="n">
        <v>10</v>
      </c>
      <c r="B24" s="172" t="inlineStr">
        <is>
          <t>Vinil klorida</t>
        </is>
      </c>
      <c r="C24" s="172" t="inlineStr">
        <is>
          <t>C₂H₃Cl</t>
        </is>
      </c>
      <c r="D24" s="172" t="inlineStr">
        <is>
          <t>g</t>
        </is>
      </c>
      <c r="E24" s="190" t="n">
        <v>22.1</v>
      </c>
      <c r="F24" s="185" t="n">
        <v>264</v>
      </c>
      <c r="G24" s="191" t="n">
        <v>0.00020157019429492</v>
      </c>
      <c r="H24" s="191" t="n">
        <v>0.02900368130125</v>
      </c>
      <c r="I24" s="191" t="n">
        <v>-2.99265803276577e-05</v>
      </c>
      <c r="J24" s="191" t="n">
        <v>1.75479478857052e-08</v>
      </c>
      <c r="K24" s="191" t="n">
        <v>-4.38254196495076e-12</v>
      </c>
      <c r="L24" s="192" t="n">
        <v>298.15</v>
      </c>
      <c r="M24" s="192" t="n">
        <v>1000</v>
      </c>
      <c r="N24" s="172" t="inlineStr">
        <is>
          <t>ATcT v1.112 (Ruscic dkk., 2005)</t>
        </is>
      </c>
      <c r="O24" s="172" t="inlineStr">
        <is>
          <t>CRC Handbook (Haynes dkk., 2014)</t>
        </is>
      </c>
      <c r="P24" s="171" t="inlineStr">
        <is>
          <t>Regresi data TRC (Frenkel dkk., 1994); galat maks. 0.45%</t>
        </is>
      </c>
    </row>
    <row r="25">
      <c r="A25" s="163" t="n">
        <v>11</v>
      </c>
      <c r="B25" s="172" t="inlineStr">
        <is>
          <t>1,1,2-Trikloroetana</t>
        </is>
      </c>
      <c r="C25" s="172" t="inlineStr">
        <is>
          <t>C₂H₃Cl₃</t>
        </is>
      </c>
      <c r="D25" s="172" t="inlineStr">
        <is>
          <t>g</t>
        </is>
      </c>
      <c r="E25" s="190" t="n">
        <v>-148.063</v>
      </c>
      <c r="F25" s="185" t="n">
        <v>337.2</v>
      </c>
      <c r="G25" s="191" t="n">
        <v>0.000325539375838137</v>
      </c>
      <c r="H25" s="191" t="n">
        <v>0.0468414455461392</v>
      </c>
      <c r="I25" s="191" t="n">
        <v>-5.03955857125479e-05</v>
      </c>
      <c r="J25" s="191" t="n">
        <v>2.84398399878571e-08</v>
      </c>
      <c r="K25" s="191" t="n">
        <v>-6.69574833186002e-12</v>
      </c>
      <c r="L25" s="192" t="n">
        <v>298.15</v>
      </c>
      <c r="M25" s="192" t="n">
        <v>1000</v>
      </c>
      <c r="N25" s="172" t="inlineStr">
        <is>
          <t>NIST WebBook (Linstrom &amp; Mallard, 2024)</t>
        </is>
      </c>
      <c r="O25" s="172" t="inlineStr">
        <is>
          <t>CRC Handbook (Haynes dkk., 2014)</t>
        </is>
      </c>
      <c r="P25" s="171" t="inlineStr">
        <is>
          <t>Regresi data TRC (Frenkel dkk., 1994); galat maks. 0.29%</t>
        </is>
      </c>
    </row>
    <row r="26">
      <c r="A26" s="163" t="n">
        <v>12</v>
      </c>
      <c r="B26" s="172" t="inlineStr">
        <is>
          <t>1,1,2-Trikloroetana</t>
        </is>
      </c>
      <c r="C26" s="172" t="inlineStr">
        <is>
          <t>C₂H₃Cl₃</t>
        </is>
      </c>
      <c r="D26" s="172" t="inlineStr">
        <is>
          <t>l</t>
        </is>
      </c>
      <c r="E26" s="190" t="n">
        <v>-188.158</v>
      </c>
      <c r="F26" s="185" t="n">
        <v>232.6</v>
      </c>
      <c r="G26" s="191" t="n">
        <v>12.4301478938948</v>
      </c>
      <c r="H26" s="191" t="n">
        <v>0.0191593861586594</v>
      </c>
      <c r="I26" s="191" t="n">
        <v>0</v>
      </c>
      <c r="J26" s="191" t="n">
        <v>0</v>
      </c>
      <c r="K26" s="191" t="n">
        <v>0</v>
      </c>
      <c r="L26" s="192" t="n">
        <v>236.5</v>
      </c>
      <c r="M26" s="192" t="n">
        <v>300</v>
      </c>
      <c r="N26" s="172" t="inlineStr">
        <is>
          <t>NIST WebBook (Linstrom &amp; Mallard, 2024)</t>
        </is>
      </c>
      <c r="O26" s="172" t="inlineStr">
        <is>
          <t>CRC Handbook (Haynes dkk., 2014)</t>
        </is>
      </c>
      <c r="P26" s="171" t="inlineStr">
        <is>
          <t>Perry &amp; Green (2008), Tabel 2-153; di atas 300 K diekstrapolasi</t>
        </is>
      </c>
    </row>
    <row r="27">
      <c r="A27" s="163" t="n">
        <v>13</v>
      </c>
      <c r="B27" s="172" t="inlineStr">
        <is>
          <t>Etil klorida</t>
        </is>
      </c>
      <c r="C27" s="172" t="inlineStr">
        <is>
          <t>C₂H₅Cl</t>
        </is>
      </c>
      <c r="D27" s="172" t="inlineStr">
        <is>
          <t>g</t>
        </is>
      </c>
      <c r="E27" s="190" t="n">
        <v>-111.24</v>
      </c>
      <c r="F27" s="185" t="n">
        <v>276</v>
      </c>
      <c r="G27" s="191" t="n">
        <v>3.029</v>
      </c>
      <c r="H27" s="191" t="n">
        <v>0.009885</v>
      </c>
      <c r="I27" s="191" t="n">
        <v>2.967e-05</v>
      </c>
      <c r="J27" s="191" t="n">
        <v>-4.55e-08</v>
      </c>
      <c r="K27" s="191" t="n">
        <v>1.871e-11</v>
      </c>
      <c r="L27" s="192" t="n">
        <v>200</v>
      </c>
      <c r="M27" s="192" t="n">
        <v>1000</v>
      </c>
      <c r="N27" s="172" t="inlineStr">
        <is>
          <t>ATcT v1.112 (Ruscic dkk., 2005)</t>
        </is>
      </c>
      <c r="O27" s="172" t="inlineStr">
        <is>
          <t>CRC Handbook (Haynes dkk., 2014)</t>
        </is>
      </c>
      <c r="P27" s="172" t="inlineStr">
        <is>
          <t>Poling dkk. (2001), Lampiran A</t>
        </is>
      </c>
    </row>
    <row r="28">
      <c r="A28" s="163" t="n">
        <v>14</v>
      </c>
      <c r="B28" s="172" t="inlineStr">
        <is>
          <t>Asetilena</t>
        </is>
      </c>
      <c r="C28" s="172" t="inlineStr">
        <is>
          <t>C₂H₂</t>
        </is>
      </c>
      <c r="D28" s="172" t="inlineStr">
        <is>
          <t>g</t>
        </is>
      </c>
      <c r="E28" s="190" t="n">
        <v>228.32</v>
      </c>
      <c r="F28" s="185" t="n">
        <v>200.9</v>
      </c>
      <c r="G28" s="191" t="n">
        <v>2.41</v>
      </c>
      <c r="H28" s="191" t="n">
        <v>0.010926</v>
      </c>
      <c r="I28" s="191" t="n">
        <v>-2.55e-06</v>
      </c>
      <c r="J28" s="191" t="n">
        <v>-7.9e-09</v>
      </c>
      <c r="K28" s="191" t="n">
        <v>5.24e-12</v>
      </c>
      <c r="L28" s="192" t="n">
        <v>50</v>
      </c>
      <c r="M28" s="192" t="n">
        <v>1000</v>
      </c>
      <c r="N28" s="172" t="inlineStr">
        <is>
          <t>ATcT v1.112 (Ruscic dkk., 2005)</t>
        </is>
      </c>
      <c r="O28" s="172" t="inlineStr">
        <is>
          <t>CRC Handbook (Haynes dkk., 2014)</t>
        </is>
      </c>
      <c r="P28" s="172" t="inlineStr">
        <is>
          <t>Poling dkk. (2001), Lampiran A</t>
        </is>
      </c>
    </row>
    <row r="29">
      <c r="A29" s="163" t="n">
        <v>15</v>
      </c>
      <c r="B29" s="172" t="inlineStr">
        <is>
          <t>Hidrogen</t>
        </is>
      </c>
      <c r="C29" s="172" t="inlineStr">
        <is>
          <t>H₂</t>
        </is>
      </c>
      <c r="D29" s="172" t="inlineStr">
        <is>
          <t>g</t>
        </is>
      </c>
      <c r="E29" s="190" t="n">
        <v>0</v>
      </c>
      <c r="F29" s="185" t="n">
        <v>130.7</v>
      </c>
      <c r="G29" s="191" t="n">
        <v>2.883</v>
      </c>
      <c r="H29" s="191" t="n">
        <v>0.003681</v>
      </c>
      <c r="I29" s="191" t="n">
        <v>-7.720000000000001e-06</v>
      </c>
      <c r="J29" s="191" t="n">
        <v>6.92e-09</v>
      </c>
      <c r="K29" s="191" t="n">
        <v>-2.13e-12</v>
      </c>
      <c r="L29" s="192" t="n">
        <v>50</v>
      </c>
      <c r="M29" s="192" t="n">
        <v>1000</v>
      </c>
      <c r="N29" s="172" t="inlineStr">
        <is>
          <t>Unsur (definisi)</t>
        </is>
      </c>
      <c r="O29" s="172" t="inlineStr">
        <is>
          <t>CRC Handbook (Haynes dkk., 2014)</t>
        </is>
      </c>
      <c r="P29" s="172" t="inlineStr">
        <is>
          <t>Poling dkk. (2001), Lampiran A</t>
        </is>
      </c>
    </row>
    <row r="30">
      <c r="A30" s="163" t="n">
        <v>16</v>
      </c>
      <c r="B30" s="172" t="inlineStr">
        <is>
          <t>Karbon (grafit)</t>
        </is>
      </c>
      <c r="C30" s="172" t="inlineStr">
        <is>
          <t>C</t>
        </is>
      </c>
      <c r="D30" s="172" t="inlineStr">
        <is>
          <t>s</t>
        </is>
      </c>
      <c r="E30" s="190" t="n">
        <v>0</v>
      </c>
      <c r="F30" s="185" t="n">
        <v>5.7</v>
      </c>
      <c r="G30" s="191" t="n">
        <v>1.02231501788201</v>
      </c>
      <c r="H30" s="191" t="n">
        <v>0</v>
      </c>
      <c r="I30" s="191" t="n">
        <v>0</v>
      </c>
      <c r="J30" s="191" t="n">
        <v>0</v>
      </c>
      <c r="K30" s="191" t="n">
        <v>0</v>
      </c>
      <c r="L30" s="192" t="n">
        <v>298.15</v>
      </c>
      <c r="M30" s="192" t="n">
        <v>1000</v>
      </c>
      <c r="N30" s="172" t="inlineStr">
        <is>
          <t>Unsur (definisi)</t>
        </is>
      </c>
      <c r="O30" s="172" t="inlineStr">
        <is>
          <t>CRC Handbook (Haynes dkk., 2014)</t>
        </is>
      </c>
      <c r="P30" s="171" t="inlineStr">
        <is>
          <t>CRC Handbook (Haynes dkk., 2014); C_p tetap 8,5 J/mol·K</t>
        </is>
      </c>
    </row>
    <row r="31">
      <c r="A31" s="187" t="inlineStr">
        <is>
          <t>Catatan: Cp/R = a₀ + a₁T + a₂T² + a₃T³ + a₄T⁴ (T dalam K). Koefisien Perry (J/kmol·K) dikonversi ke bentuk Cp/R dengan membagi 1000·R. Semua nilai ΔH°f dan S° pada 298,15 K dan 1 bar.</t>
        </is>
      </c>
    </row>
    <row r="33">
      <c r="A33" s="169" t="inlineStr">
        <is>
          <t>Koefisien Stoikiometri Reaksi (ν; bernilai negatif untuk reaktan) dan Sifat Komponen yang Dipakai</t>
        </is>
      </c>
    </row>
    <row r="34">
      <c r="A34" s="162" t="inlineStr">
        <is>
          <t>Kode</t>
        </is>
      </c>
      <c r="B34" s="162" t="inlineStr">
        <is>
          <t>Reaktor</t>
        </is>
      </c>
      <c r="C34" s="162" t="inlineStr">
        <is>
          <t>Persamaan reaksi</t>
        </is>
      </c>
      <c r="D34" s="162" t="inlineStr">
        <is>
          <t>T reaksi (K)</t>
        </is>
      </c>
      <c r="E34" s="162" t="inlineStr">
        <is>
          <t>C₂H₄ (g)</t>
        </is>
      </c>
      <c r="F34" s="162" t="inlineStr">
        <is>
          <t>Cl₂ (g)</t>
        </is>
      </c>
      <c r="G34" s="162" t="inlineStr">
        <is>
          <t>O₂ (g)</t>
        </is>
      </c>
      <c r="H34" s="162" t="inlineStr">
        <is>
          <t>HCl (g)</t>
        </is>
      </c>
      <c r="I34" s="162" t="inlineStr">
        <is>
          <t>H₂O (g)</t>
        </is>
      </c>
      <c r="J34" s="162" t="inlineStr">
        <is>
          <t>CO₂ (g)</t>
        </is>
      </c>
      <c r="K34" s="162" t="inlineStr">
        <is>
          <t>CO (g)</t>
        </is>
      </c>
      <c r="L34" s="162" t="inlineStr">
        <is>
          <t>C₂H₄Cl₂ (g)</t>
        </is>
      </c>
      <c r="M34" s="162" t="inlineStr">
        <is>
          <t>C₂H₄Cl₂ (l)</t>
        </is>
      </c>
      <c r="N34" s="162" t="inlineStr">
        <is>
          <t>C₂H₃Cl (g)</t>
        </is>
      </c>
      <c r="O34" s="162" t="inlineStr">
        <is>
          <t>C₂H₃Cl₃ (g)</t>
        </is>
      </c>
      <c r="P34" s="162" t="inlineStr">
        <is>
          <t>C₂H₃Cl₃ (l)</t>
        </is>
      </c>
      <c r="Q34" s="162" t="inlineStr">
        <is>
          <t>C₂H₅Cl (g)</t>
        </is>
      </c>
      <c r="R34" s="162" t="inlineStr">
        <is>
          <t>C₂H₂ (g)</t>
        </is>
      </c>
      <c r="S34" s="162" t="inlineStr">
        <is>
          <t>H₂ (g)</t>
        </is>
      </c>
      <c r="T34" s="162" t="inlineStr">
        <is>
          <t>C (s)</t>
        </is>
      </c>
    </row>
    <row r="35">
      <c r="A35" s="163" t="inlineStr">
        <is>
          <t>ΔH°f (kJ/mol)</t>
        </is>
      </c>
      <c r="B35" s="166" t="n"/>
      <c r="C35" s="166" t="n"/>
      <c r="D35" s="166" t="n"/>
      <c r="E35" s="190">
        <f>E15</f>
        <v>52.56</v>
      </c>
      <c r="F35" s="190">
        <f>E16</f>
        <v>0.0</v>
      </c>
      <c r="G35" s="190">
        <f>E17</f>
        <v>0.0</v>
      </c>
      <c r="H35" s="190">
        <f>E18</f>
        <v>-92.173</v>
      </c>
      <c r="I35" s="190">
        <f>E19</f>
        <v>-241.822</v>
      </c>
      <c r="J35" s="190">
        <f>E20</f>
        <v>-393.474</v>
      </c>
      <c r="K35" s="190">
        <f>E21</f>
        <v>-110.525</v>
      </c>
      <c r="L35" s="190">
        <f>E22</f>
        <v>-130.09</v>
      </c>
      <c r="M35" s="190">
        <f>E23</f>
        <v>-167.488</v>
      </c>
      <c r="N35" s="190">
        <f>E24</f>
        <v>22.1</v>
      </c>
      <c r="O35" s="190">
        <f>E25</f>
        <v>-148.063</v>
      </c>
      <c r="P35" s="190">
        <f>E26</f>
        <v>-188.158</v>
      </c>
      <c r="Q35" s="190">
        <f>E27</f>
        <v>-111.24</v>
      </c>
      <c r="R35" s="190">
        <f>E28</f>
        <v>228.32</v>
      </c>
      <c r="S35" s="190">
        <f>E29</f>
        <v>0.0</v>
      </c>
      <c r="T35" s="190">
        <f>E30</f>
        <v>0.0</v>
      </c>
    </row>
    <row r="36">
      <c r="A36" s="163" t="inlineStr">
        <is>
          <t>S° (J/mol·K)</t>
        </is>
      </c>
      <c r="B36" s="166" t="n"/>
      <c r="C36" s="166" t="n"/>
      <c r="D36" s="166" t="n"/>
      <c r="E36" s="185">
        <f>F15</f>
        <v>219.3</v>
      </c>
      <c r="F36" s="185">
        <f>F16</f>
        <v>223.1</v>
      </c>
      <c r="G36" s="185">
        <f>F17</f>
        <v>205.2</v>
      </c>
      <c r="H36" s="185">
        <f>F18</f>
        <v>186.9</v>
      </c>
      <c r="I36" s="185">
        <f>F19</f>
        <v>188.8</v>
      </c>
      <c r="J36" s="185">
        <f>F20</f>
        <v>213.8</v>
      </c>
      <c r="K36" s="185">
        <f>F21</f>
        <v>197.7</v>
      </c>
      <c r="L36" s="185">
        <f>F22</f>
        <v>308.4</v>
      </c>
      <c r="M36" s="185">
        <f>F23</f>
        <v>208.53</v>
      </c>
      <c r="N36" s="185">
        <f>F24</f>
        <v>264.0</v>
      </c>
      <c r="O36" s="185">
        <f>F25</f>
        <v>337.2</v>
      </c>
      <c r="P36" s="185">
        <f>F26</f>
        <v>232.6</v>
      </c>
      <c r="Q36" s="185">
        <f>F27</f>
        <v>276.0</v>
      </c>
      <c r="R36" s="185">
        <f>F28</f>
        <v>200.9</v>
      </c>
      <c r="S36" s="185">
        <f>F29</f>
        <v>130.7</v>
      </c>
      <c r="T36" s="185">
        <f>F30</f>
        <v>5.7</v>
      </c>
    </row>
    <row r="37">
      <c r="A37" s="163" t="inlineStr">
        <is>
          <t>a₀</t>
        </is>
      </c>
      <c r="B37" s="166" t="n"/>
      <c r="C37" s="166" t="n"/>
      <c r="D37" s="166" t="n"/>
      <c r="E37" s="193">
        <f>G15</f>
        <v>4.221</v>
      </c>
      <c r="F37" s="193">
        <f>G16</f>
        <v>3.056</v>
      </c>
      <c r="G37" s="193">
        <f>G17</f>
        <v>3.63</v>
      </c>
      <c r="H37" s="193">
        <f>G18</f>
        <v>3.827</v>
      </c>
      <c r="I37" s="193">
        <f>G19</f>
        <v>4.395</v>
      </c>
      <c r="J37" s="193">
        <f>G20</f>
        <v>3.259</v>
      </c>
      <c r="K37" s="193">
        <f>G21</f>
        <v>3.912</v>
      </c>
      <c r="L37" s="193">
        <f>G22</f>
        <v>2.99</v>
      </c>
      <c r="M37" s="193">
        <f>G23</f>
        <v>21.5491978534024</v>
      </c>
      <c r="N37" s="193">
        <f>G24</f>
        <v>0.00020157019429492</v>
      </c>
      <c r="O37" s="193">
        <f>G25</f>
        <v>0.000325539375838137</v>
      </c>
      <c r="P37" s="193">
        <f>G26</f>
        <v>12.4301478938948</v>
      </c>
      <c r="Q37" s="193">
        <f>G27</f>
        <v>3.029</v>
      </c>
      <c r="R37" s="193">
        <f>G28</f>
        <v>2.41</v>
      </c>
      <c r="S37" s="193">
        <f>G29</f>
        <v>2.883</v>
      </c>
      <c r="T37" s="193">
        <f>G30</f>
        <v>1.02231501788201</v>
      </c>
    </row>
    <row r="38">
      <c r="A38" s="163" t="inlineStr">
        <is>
          <t>a₁</t>
        </is>
      </c>
      <c r="B38" s="166" t="n"/>
      <c r="C38" s="166" t="n"/>
      <c r="D38" s="166" t="n"/>
      <c r="E38" s="193">
        <f>H15</f>
        <v>-0.008782</v>
      </c>
      <c r="F38" s="193">
        <f>H16</f>
        <v>0.0053708</v>
      </c>
      <c r="G38" s="193">
        <f>H17</f>
        <v>-0.001794</v>
      </c>
      <c r="H38" s="193">
        <f>H18</f>
        <v>-0.002936</v>
      </c>
      <c r="I38" s="193">
        <f>H19</f>
        <v>-0.004186</v>
      </c>
      <c r="J38" s="193">
        <f>H20</f>
        <v>0.001356</v>
      </c>
      <c r="K38" s="193">
        <f>H21</f>
        <v>-0.003913</v>
      </c>
      <c r="L38" s="193">
        <f>H22</f>
        <v>0.023197</v>
      </c>
      <c r="M38" s="193">
        <f>H23</f>
        <v>-0.0534899271826878</v>
      </c>
      <c r="N38" s="193">
        <f>H24</f>
        <v>0.02900368130125</v>
      </c>
      <c r="O38" s="193">
        <f>H25</f>
        <v>0.0468414455461392</v>
      </c>
      <c r="P38" s="193">
        <f>H26</f>
        <v>0.0191593861586594</v>
      </c>
      <c r="Q38" s="193">
        <f>H27</f>
        <v>0.009885</v>
      </c>
      <c r="R38" s="193">
        <f>H28</f>
        <v>0.010926</v>
      </c>
      <c r="S38" s="193">
        <f>H29</f>
        <v>0.003681</v>
      </c>
      <c r="T38" s="193">
        <f>H30</f>
        <v>0.0</v>
      </c>
    </row>
    <row r="39">
      <c r="A39" s="163" t="inlineStr">
        <is>
          <t>a₂</t>
        </is>
      </c>
      <c r="B39" s="166" t="n"/>
      <c r="C39" s="166" t="n"/>
      <c r="D39" s="166" t="n"/>
      <c r="E39" s="193">
        <f>I15</f>
        <v>5.795e-05</v>
      </c>
      <c r="F39" s="193">
        <f>I16</f>
        <v>-8.098e-06</v>
      </c>
      <c r="G39" s="193">
        <f>I17</f>
        <v>6.58e-06</v>
      </c>
      <c r="H39" s="193">
        <f>I18</f>
        <v>8.79e-06</v>
      </c>
      <c r="I39" s="193">
        <f>I19</f>
        <v>1.405e-05</v>
      </c>
      <c r="J39" s="193">
        <f>I20</f>
        <v>1.502e-05</v>
      </c>
      <c r="K39" s="193">
        <f>I21</f>
        <v>1.182e-05</v>
      </c>
      <c r="L39" s="193">
        <f>I22</f>
        <v>-4.04e-06</v>
      </c>
      <c r="M39" s="193">
        <f>I23</f>
        <v>0.000111864114703751</v>
      </c>
      <c r="N39" s="193">
        <f>I24</f>
        <v>-2.99265803276577e-05</v>
      </c>
      <c r="O39" s="193">
        <f>I25</f>
        <v>-5.03955857125479e-05</v>
      </c>
      <c r="P39" s="193">
        <f>I26</f>
        <v>0.0</v>
      </c>
      <c r="Q39" s="193">
        <f>I27</f>
        <v>2.967e-05</v>
      </c>
      <c r="R39" s="193">
        <f>I28</f>
        <v>-2.55e-06</v>
      </c>
      <c r="S39" s="193">
        <f>I29</f>
        <v>-7.72e-06</v>
      </c>
      <c r="T39" s="193">
        <f>I30</f>
        <v>0.0</v>
      </c>
    </row>
    <row r="40">
      <c r="A40" s="163" t="inlineStr">
        <is>
          <t>a₃</t>
        </is>
      </c>
      <c r="B40" s="166" t="n"/>
      <c r="C40" s="166" t="n"/>
      <c r="D40" s="166" t="n"/>
      <c r="E40" s="193">
        <f>J15</f>
        <v>-6.729e-08</v>
      </c>
      <c r="F40" s="193">
        <f>J16</f>
        <v>5.693e-09</v>
      </c>
      <c r="G40" s="193">
        <f>J17</f>
        <v>-6e-09</v>
      </c>
      <c r="H40" s="193">
        <f>J18</f>
        <v>-1.031e-08</v>
      </c>
      <c r="I40" s="193">
        <f>J19</f>
        <v>-1.564e-08</v>
      </c>
      <c r="J40" s="193">
        <f>J20</f>
        <v>-2.374e-08</v>
      </c>
      <c r="K40" s="193">
        <f>J21</f>
        <v>-1.3e-08</v>
      </c>
      <c r="L40" s="193">
        <f>J22</f>
        <v>-1.133e-08</v>
      </c>
      <c r="M40" s="193">
        <f>J23</f>
        <v>0.0</v>
      </c>
      <c r="N40" s="193">
        <f>J24</f>
        <v>1.75479478857052e-08</v>
      </c>
      <c r="O40" s="193">
        <f>J25</f>
        <v>2.84398399878571e-08</v>
      </c>
      <c r="P40" s="193">
        <f>J26</f>
        <v>0.0</v>
      </c>
      <c r="Q40" s="193">
        <f>J27</f>
        <v>-4.55e-08</v>
      </c>
      <c r="R40" s="193">
        <f>J28</f>
        <v>-7.9e-09</v>
      </c>
      <c r="S40" s="193">
        <f>J29</f>
        <v>6.92e-09</v>
      </c>
      <c r="T40" s="193">
        <f>J30</f>
        <v>0.0</v>
      </c>
    </row>
    <row r="41">
      <c r="A41" s="163" t="inlineStr">
        <is>
          <t>a₄</t>
        </is>
      </c>
      <c r="B41" s="166" t="n"/>
      <c r="C41" s="166" t="n"/>
      <c r="D41" s="166" t="n"/>
      <c r="E41" s="193">
        <f>K15</f>
        <v>2.511e-11</v>
      </c>
      <c r="F41" s="193">
        <f>K16</f>
        <v>-1.5256e-12</v>
      </c>
      <c r="G41" s="193">
        <f>K17</f>
        <v>1.79e-12</v>
      </c>
      <c r="H41" s="193">
        <f>K18</f>
        <v>4.39e-12</v>
      </c>
      <c r="I41" s="193">
        <f>K19</f>
        <v>6.32e-12</v>
      </c>
      <c r="J41" s="193">
        <f>K20</f>
        <v>1.056e-11</v>
      </c>
      <c r="K41" s="193">
        <f>K21</f>
        <v>5.15e-12</v>
      </c>
      <c r="L41" s="193">
        <f>K22</f>
        <v>6.17e-12</v>
      </c>
      <c r="M41" s="193">
        <f>K23</f>
        <v>0.0</v>
      </c>
      <c r="N41" s="193">
        <f>K24</f>
        <v>-4.38254196495076e-12</v>
      </c>
      <c r="O41" s="193">
        <f>K25</f>
        <v>-6.69574833186002e-12</v>
      </c>
      <c r="P41" s="193">
        <f>K26</f>
        <v>0.0</v>
      </c>
      <c r="Q41" s="193">
        <f>K27</f>
        <v>1.871e-11</v>
      </c>
      <c r="R41" s="193">
        <f>K28</f>
        <v>5.24e-12</v>
      </c>
      <c r="S41" s="193">
        <f>K29</f>
        <v>-2.13e-12</v>
      </c>
      <c r="T41" s="193">
        <f>K30</f>
        <v>0.0</v>
      </c>
    </row>
    <row r="42">
      <c r="A42" s="163" t="inlineStr">
        <is>
          <t>R1</t>
        </is>
      </c>
      <c r="B42" s="172" t="inlineStr">
        <is>
          <t>R-01</t>
        </is>
      </c>
      <c r="C42" s="172" t="inlineStr">
        <is>
          <t>C₂H₄(g) + Cl₂(g) → C₂H₄Cl₂(l)</t>
        </is>
      </c>
      <c r="D42" s="185">
        <f>$B$7</f>
        <v>338.15</v>
      </c>
      <c r="E42" s="194" t="n">
        <v>-1</v>
      </c>
      <c r="F42" s="194" t="n">
        <v>-1</v>
      </c>
      <c r="G42" s="194" t="n">
        <v>0</v>
      </c>
      <c r="H42" s="194" t="n">
        <v>0</v>
      </c>
      <c r="I42" s="194" t="n">
        <v>0</v>
      </c>
      <c r="J42" s="194" t="n">
        <v>0</v>
      </c>
      <c r="K42" s="194" t="n">
        <v>0</v>
      </c>
      <c r="L42" s="194" t="n">
        <v>0</v>
      </c>
      <c r="M42" s="194" t="n">
        <v>1</v>
      </c>
      <c r="N42" s="194" t="n">
        <v>0</v>
      </c>
      <c r="O42" s="194" t="n">
        <v>0</v>
      </c>
      <c r="P42" s="194" t="n">
        <v>0</v>
      </c>
      <c r="Q42" s="194" t="n">
        <v>0</v>
      </c>
      <c r="R42" s="194" t="n">
        <v>0</v>
      </c>
      <c r="S42" s="194" t="n">
        <v>0</v>
      </c>
      <c r="T42" s="194" t="n">
        <v>0</v>
      </c>
    </row>
    <row r="43">
      <c r="A43" s="163" t="inlineStr">
        <is>
          <t>S1</t>
        </is>
      </c>
      <c r="B43" s="172" t="inlineStr">
        <is>
          <t>R-01</t>
        </is>
      </c>
      <c r="C43" s="171" t="inlineStr">
        <is>
          <t>C₂H₄Cl₂(l) + Cl₂(g) → C₂H₃Cl₃(l) + HCl(g)</t>
        </is>
      </c>
      <c r="D43" s="185">
        <f>$B$7</f>
        <v>338.15</v>
      </c>
      <c r="E43" s="194" t="n">
        <v>0</v>
      </c>
      <c r="F43" s="194" t="n">
        <v>-1</v>
      </c>
      <c r="G43" s="194" t="n">
        <v>0</v>
      </c>
      <c r="H43" s="194" t="n">
        <v>1</v>
      </c>
      <c r="I43" s="194" t="n">
        <v>0</v>
      </c>
      <c r="J43" s="194" t="n">
        <v>0</v>
      </c>
      <c r="K43" s="194" t="n">
        <v>0</v>
      </c>
      <c r="L43" s="194" t="n">
        <v>0</v>
      </c>
      <c r="M43" s="194" t="n">
        <v>-1</v>
      </c>
      <c r="N43" s="194" t="n">
        <v>0</v>
      </c>
      <c r="O43" s="194" t="n">
        <v>0</v>
      </c>
      <c r="P43" s="194" t="n">
        <v>1</v>
      </c>
      <c r="Q43" s="194" t="n">
        <v>0</v>
      </c>
      <c r="R43" s="194" t="n">
        <v>0</v>
      </c>
      <c r="S43" s="194" t="n">
        <v>0</v>
      </c>
      <c r="T43" s="194" t="n">
        <v>0</v>
      </c>
    </row>
    <row r="44">
      <c r="A44" s="163" t="inlineStr">
        <is>
          <t>R2</t>
        </is>
      </c>
      <c r="B44" s="172" t="inlineStr">
        <is>
          <t>F-101</t>
        </is>
      </c>
      <c r="C44" s="172" t="inlineStr">
        <is>
          <t>C₂H₄Cl₂(g) → C₂H₃Cl(g) + HCl(g)</t>
        </is>
      </c>
      <c r="D44" s="185">
        <f>$B$9</f>
        <v>789.15</v>
      </c>
      <c r="E44" s="194" t="n">
        <v>0</v>
      </c>
      <c r="F44" s="194" t="n">
        <v>0</v>
      </c>
      <c r="G44" s="194" t="n">
        <v>0</v>
      </c>
      <c r="H44" s="194" t="n">
        <v>1</v>
      </c>
      <c r="I44" s="194" t="n">
        <v>0</v>
      </c>
      <c r="J44" s="194" t="n">
        <v>0</v>
      </c>
      <c r="K44" s="194" t="n">
        <v>0</v>
      </c>
      <c r="L44" s="194" t="n">
        <v>-1</v>
      </c>
      <c r="M44" s="194" t="n">
        <v>0</v>
      </c>
      <c r="N44" s="194" t="n">
        <v>1</v>
      </c>
      <c r="O44" s="194" t="n">
        <v>0</v>
      </c>
      <c r="P44" s="194" t="n">
        <v>0</v>
      </c>
      <c r="Q44" s="194" t="n">
        <v>0</v>
      </c>
      <c r="R44" s="194" t="n">
        <v>0</v>
      </c>
      <c r="S44" s="194" t="n">
        <v>0</v>
      </c>
      <c r="T44" s="194" t="n">
        <v>0</v>
      </c>
    </row>
    <row r="45">
      <c r="A45" s="163" t="inlineStr">
        <is>
          <t>S2</t>
        </is>
      </c>
      <c r="B45" s="172" t="inlineStr">
        <is>
          <t>F-101</t>
        </is>
      </c>
      <c r="C45" s="172" t="inlineStr">
        <is>
          <t>C₂H₃Cl(g) → C₂H₂(g) + HCl(g)</t>
        </is>
      </c>
      <c r="D45" s="185">
        <f>$B$9</f>
        <v>789.15</v>
      </c>
      <c r="E45" s="194" t="n">
        <v>0</v>
      </c>
      <c r="F45" s="194" t="n">
        <v>0</v>
      </c>
      <c r="G45" s="194" t="n">
        <v>0</v>
      </c>
      <c r="H45" s="194" t="n">
        <v>1</v>
      </c>
      <c r="I45" s="194" t="n">
        <v>0</v>
      </c>
      <c r="J45" s="194" t="n">
        <v>0</v>
      </c>
      <c r="K45" s="194" t="n">
        <v>0</v>
      </c>
      <c r="L45" s="194" t="n">
        <v>0</v>
      </c>
      <c r="M45" s="194" t="n">
        <v>0</v>
      </c>
      <c r="N45" s="194" t="n">
        <v>-1</v>
      </c>
      <c r="O45" s="194" t="n">
        <v>0</v>
      </c>
      <c r="P45" s="194" t="n">
        <v>0</v>
      </c>
      <c r="Q45" s="194" t="n">
        <v>0</v>
      </c>
      <c r="R45" s="194" t="n">
        <v>1</v>
      </c>
      <c r="S45" s="194" t="n">
        <v>0</v>
      </c>
      <c r="T45" s="194" t="n">
        <v>0</v>
      </c>
    </row>
    <row r="46">
      <c r="A46" s="163" t="inlineStr">
        <is>
          <t>S3</t>
        </is>
      </c>
      <c r="B46" s="172" t="inlineStr">
        <is>
          <t>F-101</t>
        </is>
      </c>
      <c r="C46" s="172" t="inlineStr">
        <is>
          <t>C₂H₂(g) → 2C(s) + H₂(g)</t>
        </is>
      </c>
      <c r="D46" s="185">
        <f>$B$9</f>
        <v>789.15</v>
      </c>
      <c r="E46" s="194" t="n">
        <v>0</v>
      </c>
      <c r="F46" s="194" t="n">
        <v>0</v>
      </c>
      <c r="G46" s="194" t="n">
        <v>0</v>
      </c>
      <c r="H46" s="194" t="n">
        <v>0</v>
      </c>
      <c r="I46" s="194" t="n">
        <v>0</v>
      </c>
      <c r="J46" s="194" t="n">
        <v>0</v>
      </c>
      <c r="K46" s="194" t="n">
        <v>0</v>
      </c>
      <c r="L46" s="194" t="n">
        <v>0</v>
      </c>
      <c r="M46" s="194" t="n">
        <v>0</v>
      </c>
      <c r="N46" s="194" t="n">
        <v>0</v>
      </c>
      <c r="O46" s="194" t="n">
        <v>0</v>
      </c>
      <c r="P46" s="194" t="n">
        <v>0</v>
      </c>
      <c r="Q46" s="194" t="n">
        <v>0</v>
      </c>
      <c r="R46" s="194" t="n">
        <v>-1</v>
      </c>
      <c r="S46" s="194" t="n">
        <v>1</v>
      </c>
      <c r="T46" s="194" t="n">
        <v>2</v>
      </c>
    </row>
    <row r="47">
      <c r="A47" s="163" t="inlineStr">
        <is>
          <t>R3</t>
        </is>
      </c>
      <c r="B47" s="172" t="inlineStr">
        <is>
          <t>R-02</t>
        </is>
      </c>
      <c r="C47" s="172" t="inlineStr">
        <is>
          <t>C₂H₄ + 2HCl + ½O₂ → C₂H₄Cl₂ + H₂O</t>
        </is>
      </c>
      <c r="D47" s="185">
        <f>$B$8</f>
        <v>498.15</v>
      </c>
      <c r="E47" s="194" t="n">
        <v>-1</v>
      </c>
      <c r="F47" s="194" t="n">
        <v>0</v>
      </c>
      <c r="G47" s="194" t="n">
        <v>-0.5</v>
      </c>
      <c r="H47" s="194" t="n">
        <v>-2</v>
      </c>
      <c r="I47" s="194" t="n">
        <v>1</v>
      </c>
      <c r="J47" s="194" t="n">
        <v>0</v>
      </c>
      <c r="K47" s="194" t="n">
        <v>0</v>
      </c>
      <c r="L47" s="194" t="n">
        <v>1</v>
      </c>
      <c r="M47" s="194" t="n">
        <v>0</v>
      </c>
      <c r="N47" s="194" t="n">
        <v>0</v>
      </c>
      <c r="O47" s="194" t="n">
        <v>0</v>
      </c>
      <c r="P47" s="194" t="n">
        <v>0</v>
      </c>
      <c r="Q47" s="194" t="n">
        <v>0</v>
      </c>
      <c r="R47" s="194" t="n">
        <v>0</v>
      </c>
      <c r="S47" s="194" t="n">
        <v>0</v>
      </c>
      <c r="T47" s="194" t="n">
        <v>0</v>
      </c>
    </row>
    <row r="48">
      <c r="A48" s="163" t="inlineStr">
        <is>
          <t>S4</t>
        </is>
      </c>
      <c r="B48" s="172" t="inlineStr">
        <is>
          <t>R-02</t>
        </is>
      </c>
      <c r="C48" s="172" t="inlineStr">
        <is>
          <t>C₂H₄ + 3O₂ → 2CO₂ + 2H₂O</t>
        </is>
      </c>
      <c r="D48" s="185">
        <f>$B$8</f>
        <v>498.15</v>
      </c>
      <c r="E48" s="194" t="n">
        <v>-1</v>
      </c>
      <c r="F48" s="194" t="n">
        <v>0</v>
      </c>
      <c r="G48" s="194" t="n">
        <v>-3</v>
      </c>
      <c r="H48" s="194" t="n">
        <v>0</v>
      </c>
      <c r="I48" s="194" t="n">
        <v>2</v>
      </c>
      <c r="J48" s="194" t="n">
        <v>2</v>
      </c>
      <c r="K48" s="194" t="n">
        <v>0</v>
      </c>
      <c r="L48" s="194" t="n">
        <v>0</v>
      </c>
      <c r="M48" s="194" t="n">
        <v>0</v>
      </c>
      <c r="N48" s="194" t="n">
        <v>0</v>
      </c>
      <c r="O48" s="194" t="n">
        <v>0</v>
      </c>
      <c r="P48" s="194" t="n">
        <v>0</v>
      </c>
      <c r="Q48" s="194" t="n">
        <v>0</v>
      </c>
      <c r="R48" s="194" t="n">
        <v>0</v>
      </c>
      <c r="S48" s="194" t="n">
        <v>0</v>
      </c>
      <c r="T48" s="194" t="n">
        <v>0</v>
      </c>
    </row>
    <row r="49">
      <c r="A49" s="163" t="inlineStr">
        <is>
          <t>S5</t>
        </is>
      </c>
      <c r="B49" s="172" t="inlineStr">
        <is>
          <t>R-02</t>
        </is>
      </c>
      <c r="C49" s="172" t="inlineStr">
        <is>
          <t>C₂H₄ + 2O₂ → 2CO + 2H₂O</t>
        </is>
      </c>
      <c r="D49" s="185">
        <f>$B$8</f>
        <v>498.15</v>
      </c>
      <c r="E49" s="194" t="n">
        <v>-1</v>
      </c>
      <c r="F49" s="194" t="n">
        <v>0</v>
      </c>
      <c r="G49" s="194" t="n">
        <v>-2</v>
      </c>
      <c r="H49" s="194" t="n">
        <v>0</v>
      </c>
      <c r="I49" s="194" t="n">
        <v>2</v>
      </c>
      <c r="J49" s="194" t="n">
        <v>0</v>
      </c>
      <c r="K49" s="194" t="n">
        <v>2</v>
      </c>
      <c r="L49" s="194" t="n">
        <v>0</v>
      </c>
      <c r="M49" s="194" t="n">
        <v>0</v>
      </c>
      <c r="N49" s="194" t="n">
        <v>0</v>
      </c>
      <c r="O49" s="194" t="n">
        <v>0</v>
      </c>
      <c r="P49" s="194" t="n">
        <v>0</v>
      </c>
      <c r="Q49" s="194" t="n">
        <v>0</v>
      </c>
      <c r="R49" s="194" t="n">
        <v>0</v>
      </c>
      <c r="S49" s="194" t="n">
        <v>0</v>
      </c>
      <c r="T49" s="194" t="n">
        <v>0</v>
      </c>
    </row>
    <row r="50">
      <c r="A50" s="163" t="inlineStr">
        <is>
          <t>S6</t>
        </is>
      </c>
      <c r="B50" s="172" t="inlineStr">
        <is>
          <t>R-02</t>
        </is>
      </c>
      <c r="C50" s="172" t="inlineStr">
        <is>
          <t>C₂H₄ + HCl → C₂H₅Cl</t>
        </is>
      </c>
      <c r="D50" s="185">
        <f>$B$8</f>
        <v>498.15</v>
      </c>
      <c r="E50" s="194" t="n">
        <v>-1</v>
      </c>
      <c r="F50" s="194" t="n">
        <v>0</v>
      </c>
      <c r="G50" s="194" t="n">
        <v>0</v>
      </c>
      <c r="H50" s="194" t="n">
        <v>-1</v>
      </c>
      <c r="I50" s="194" t="n">
        <v>0</v>
      </c>
      <c r="J50" s="194" t="n">
        <v>0</v>
      </c>
      <c r="K50" s="194" t="n">
        <v>0</v>
      </c>
      <c r="L50" s="194" t="n">
        <v>0</v>
      </c>
      <c r="M50" s="194" t="n">
        <v>0</v>
      </c>
      <c r="N50" s="194" t="n">
        <v>0</v>
      </c>
      <c r="O50" s="194" t="n">
        <v>0</v>
      </c>
      <c r="P50" s="194" t="n">
        <v>0</v>
      </c>
      <c r="Q50" s="194" t="n">
        <v>1</v>
      </c>
      <c r="R50" s="194" t="n">
        <v>0</v>
      </c>
      <c r="S50" s="194" t="n">
        <v>0</v>
      </c>
      <c r="T50" s="194" t="n">
        <v>0</v>
      </c>
    </row>
    <row r="51">
      <c r="A51" s="163" t="inlineStr">
        <is>
          <t>S7</t>
        </is>
      </c>
      <c r="B51" s="172" t="inlineStr">
        <is>
          <t>R-02</t>
        </is>
      </c>
      <c r="C51" s="172" t="inlineStr">
        <is>
          <t>C₂H₄ + 3HCl + O₂ → C₂H₃Cl₃ + 2H₂O</t>
        </is>
      </c>
      <c r="D51" s="185">
        <f>$B$8</f>
        <v>498.15</v>
      </c>
      <c r="E51" s="194" t="n">
        <v>-1</v>
      </c>
      <c r="F51" s="194" t="n">
        <v>0</v>
      </c>
      <c r="G51" s="194" t="n">
        <v>-1</v>
      </c>
      <c r="H51" s="194" t="n">
        <v>-3</v>
      </c>
      <c r="I51" s="194" t="n">
        <v>2</v>
      </c>
      <c r="J51" s="194" t="n">
        <v>0</v>
      </c>
      <c r="K51" s="194" t="n">
        <v>0</v>
      </c>
      <c r="L51" s="194" t="n">
        <v>0</v>
      </c>
      <c r="M51" s="194" t="n">
        <v>0</v>
      </c>
      <c r="N51" s="194" t="n">
        <v>0</v>
      </c>
      <c r="O51" s="194" t="n">
        <v>1</v>
      </c>
      <c r="P51" s="194" t="n">
        <v>0</v>
      </c>
      <c r="Q51" s="194" t="n">
        <v>0</v>
      </c>
      <c r="R51" s="194" t="n">
        <v>0</v>
      </c>
      <c r="S51" s="194" t="n">
        <v>0</v>
      </c>
      <c r="T51" s="194" t="n">
        <v>0</v>
      </c>
    </row>
    <row r="53">
      <c r="A53" s="169" t="inlineStr">
        <is>
          <t>Hasil Perhitungan Termodinamika Reaksi</t>
        </is>
      </c>
    </row>
    <row r="54">
      <c r="A54" s="162" t="inlineStr">
        <is>
          <t>Kode</t>
        </is>
      </c>
      <c r="B54" s="162" t="inlineStr">
        <is>
          <t>Reaktor</t>
        </is>
      </c>
      <c r="C54" s="162" t="inlineStr">
        <is>
          <t>Persamaan reaksi</t>
        </is>
      </c>
      <c r="D54" s="162" t="inlineStr">
        <is>
          <t>T (K)</t>
        </is>
      </c>
      <c r="E54" s="162" t="inlineStr">
        <is>
          <t>ΔH°298 (kJ/mol)</t>
        </is>
      </c>
      <c r="F54" s="162" t="inlineStr">
        <is>
          <t>ΔS°298 (J/mol·K)</t>
        </is>
      </c>
      <c r="G54" s="162" t="inlineStr">
        <is>
          <t>ΔG°298 (kJ/mol)</t>
        </is>
      </c>
      <c r="H54" s="162" t="inlineStr">
        <is>
          <t>Δa₀</t>
        </is>
      </c>
      <c r="I54" s="162" t="inlineStr">
        <is>
          <t>Δa₁</t>
        </is>
      </c>
      <c r="J54" s="162" t="inlineStr">
        <is>
          <t>Δa₂</t>
        </is>
      </c>
      <c r="K54" s="162" t="inlineStr">
        <is>
          <t>Δa₃</t>
        </is>
      </c>
      <c r="L54" s="162" t="inlineStr">
        <is>
          <t>Δa₄</t>
        </is>
      </c>
      <c r="M54" s="162" t="inlineStr">
        <is>
          <t>∫ΔCp dT (kJ/mol)</t>
        </is>
      </c>
      <c r="N54" s="162" t="inlineStr">
        <is>
          <t>∫(ΔCp/T) dT (J/mol·K)</t>
        </is>
      </c>
      <c r="O54" s="162" t="inlineStr">
        <is>
          <t>ΔH°T (kJ/mol)</t>
        </is>
      </c>
      <c r="P54" s="162" t="inlineStr">
        <is>
          <t>ΔS°T (J/mol·K)</t>
        </is>
      </c>
      <c r="Q54" s="162" t="inlineStr">
        <is>
          <t>ΔG°T (kJ/mol)</t>
        </is>
      </c>
      <c r="R54" s="162" t="inlineStr">
        <is>
          <t>K pada T</t>
        </is>
      </c>
      <c r="S54" s="162" t="inlineStr">
        <is>
          <t>Sifat panas</t>
        </is>
      </c>
      <c r="T54" s="162" t="inlineStr">
        <is>
          <t>Kespontanan pada T</t>
        </is>
      </c>
    </row>
    <row r="55">
      <c r="A55" s="163" t="str">
        <f>A42</f>
        <v>R1</v>
      </c>
      <c r="B55" s="172" t="str">
        <f>B42</f>
        <v>R-01</v>
      </c>
      <c r="C55" s="172" t="str">
        <f>C42</f>
        <v>C₂H₄(g) + Cl₂(g) → C₂H₄Cl₂(l)</v>
      </c>
      <c r="D55" s="185">
        <f>D42</f>
        <v>338.15</v>
      </c>
      <c r="E55" s="185">
        <f>SUMPRODUCT($E$42:$T$42,$E$35:$T$35)</f>
        <v>-220.048</v>
      </c>
      <c r="F55" s="185">
        <f>SUMPRODUCT($E$42:$T$42,$E$36:$T$36)</f>
        <v>-233.86999999999998</v>
      </c>
      <c r="G55" s="185">
        <f>E55-$B$6*F55/1000</f>
        <v>-150.3196595</v>
      </c>
      <c r="H55" s="193">
        <f>SUMPRODUCT($E$42:$T$42,$E$37:$T$37)</f>
        <v>14.2721978534024</v>
      </c>
      <c r="I55" s="193">
        <f>SUMPRODUCT($E$42:$T$42,$E$38:$T$38)</f>
        <v>-0.0500787271826878</v>
      </c>
      <c r="J55" s="193">
        <f>SUMPRODUCT($E$42:$T$42,$E$39:$T$39)</f>
        <v>6.2012114703751e-05</v>
      </c>
      <c r="K55" s="193">
        <f>SUMPRODUCT($E$42:$T$42,$E$40:$T$40)</f>
        <v>6.1597e-08</v>
      </c>
      <c r="L55" s="193">
        <f>SUMPRODUCT($E$42:$T$42,$E$41:$T$41)</f>
        <v>-2.35844e-11</v>
      </c>
      <c r="M55" s="195">
        <f>$B$5*(H55*(D55-$B$6)+I55/2*(D55^2-$B$6^2)+J55/3*(D55^3-$B$6^3)+K55/4*(D55^4-$B$6^4)+L55/5*(D55^5-$B$6^5))/1000</f>
        <v>2.1194072672224484</v>
      </c>
      <c r="N55" s="195">
        <f>$B$5*(H55*LN(D55/$B$6)+I55*(D55-$B$6)+J55/2*(D55^2-$B$6^2)+K55/3*(D55^3-$B$6^3)+L55/4*(D55^4-$B$6^4))</f>
        <v>6.668252950561921</v>
      </c>
      <c r="O55" s="185">
        <f>E55+M55</f>
        <v>-217.92859273277756</v>
      </c>
      <c r="P55" s="185">
        <f>F55+N55</f>
        <v>-227.20174704943807</v>
      </c>
      <c r="Q55" s="185">
        <f>O55-D55*P55/1000</f>
        <v>-141.10032196801006</v>
      </c>
      <c r="R55" s="196">
        <f>EXP(-Q55*1000/($B$5*D55))</f>
        <v>6.245906738186912e+21</v>
      </c>
      <c r="S55" s="172" t="str">
        <f>IF(O55&lt;0,"Eksotermis","Endotermis")</f>
        <v>Eksotermis</v>
      </c>
      <c r="T55" s="172" t="str">
        <f>IF(Q55&lt;0,"Spontan","Tidak spontan")</f>
        <v>Spontan</v>
      </c>
    </row>
    <row r="56">
      <c r="A56" s="163" t="str">
        <f>A43</f>
        <v>S1</v>
      </c>
      <c r="B56" s="172" t="str">
        <f>B43</f>
        <v>R-01</v>
      </c>
      <c r="C56" s="172" t="str">
        <f>C43</f>
        <v>C₂H₄Cl₂(l) + Cl₂(g) → C₂H₃Cl₃(l) + HCl(g)</v>
      </c>
      <c r="D56" s="185">
        <f>D43</f>
        <v>338.15</v>
      </c>
      <c r="E56" s="185">
        <f>SUMPRODUCT($E$43:$T$43,$E$35:$T$35)</f>
        <v>-112.84299999999999</v>
      </c>
      <c r="F56" s="185">
        <f>SUMPRODUCT($E$43:$T$43,$E$36:$T$36)</f>
        <v>-12.129999999999995</v>
      </c>
      <c r="G56" s="185">
        <f>E56-$B$6*F56/1000</f>
        <v>-109.2264405</v>
      </c>
      <c r="H56" s="193">
        <f>SUMPRODUCT($E$43:$T$43,$E$37:$T$37)</f>
        <v>-8.3480499595076</v>
      </c>
      <c r="I56" s="193">
        <f>SUMPRODUCT($E$43:$T$43,$E$38:$T$38)</f>
        <v>0.06434251334134719</v>
      </c>
      <c r="J56" s="193">
        <f>SUMPRODUCT($E$43:$T$43,$E$39:$T$39)</f>
        <v>-9.497611470375101e-05</v>
      </c>
      <c r="K56" s="193">
        <f>SUMPRODUCT($E$43:$T$43,$E$40:$T$40)</f>
        <v>-1.6003e-08</v>
      </c>
      <c r="L56" s="193">
        <f>SUMPRODUCT($E$43:$T$43,$E$41:$T$41)</f>
        <v>5.9155999999999996e-12</v>
      </c>
      <c r="M56" s="195">
        <f>$B$5*(H56*(D56-$B$6)+I56/2*(D56^2-$B$6^2)+J56/3*(D56^3-$B$6^3)+K56/4*(D56^4-$B$6^4)+L56/5*(D56^5-$B$6^5))/1000</f>
        <v>0.6785053554643552</v>
      </c>
      <c r="N56" s="195">
        <f>$B$5*(H56*LN(D56/$B$6)+I56*(D56-$B$6)+J56/2*(D56^2-$B$6^2)+K56/3*(D56^3-$B$6^3)+L56/4*(D56^4-$B$6^4))</f>
        <v>2.135542471056409</v>
      </c>
      <c r="O56" s="185">
        <f>E56+M56</f>
        <v>-112.16449464453564</v>
      </c>
      <c r="P56" s="185">
        <f>F56+N56</f>
        <v>-9.994457528943586</v>
      </c>
      <c r="Q56" s="185">
        <f>O56-D56*P56/1000</f>
        <v>-108.78486883112336</v>
      </c>
      <c r="R56" s="196">
        <f>EXP(-Q56*1000/($B$5*D56))</f>
        <v>6.366000481670477e+16</v>
      </c>
      <c r="S56" s="172" t="str">
        <f>IF(O56&lt;0,"Eksotermis","Endotermis")</f>
        <v>Eksotermis</v>
      </c>
      <c r="T56" s="172" t="str">
        <f>IF(Q56&lt;0,"Spontan","Tidak spontan")</f>
        <v>Spontan</v>
      </c>
    </row>
    <row r="57">
      <c r="A57" s="163" t="str">
        <f>A44</f>
        <v>R2</v>
      </c>
      <c r="B57" s="172" t="str">
        <f>B44</f>
        <v>F-101</v>
      </c>
      <c r="C57" s="172" t="str">
        <f>C44</f>
        <v>C₂H₄Cl₂(g) → C₂H₃Cl(g) + HCl(g)</v>
      </c>
      <c r="D57" s="185">
        <f>D44</f>
        <v>789.15</v>
      </c>
      <c r="E57" s="185">
        <f>SUMPRODUCT($E$44:$T$44,$E$35:$T$35)</f>
        <v>60.017</v>
      </c>
      <c r="F57" s="185">
        <f>SUMPRODUCT($E$44:$T$44,$E$36:$T$36)</f>
        <v>142.50000000000003</v>
      </c>
      <c r="G57" s="185">
        <f>E57-$B$6*F57/1000</f>
        <v>17.530624999999993</v>
      </c>
      <c r="H57" s="193">
        <f>SUMPRODUCT($E$44:$T$44,$E$37:$T$37)</f>
        <v>0.8372015701942946</v>
      </c>
      <c r="I57" s="193">
        <f>SUMPRODUCT($E$44:$T$44,$E$38:$T$38)</f>
        <v>0.0028706813012500006</v>
      </c>
      <c r="J57" s="193">
        <f>SUMPRODUCT($E$44:$T$44,$E$39:$T$39)</f>
        <v>-1.7096580327657698e-05</v>
      </c>
      <c r="K57" s="193">
        <f>SUMPRODUCT($E$44:$T$44,$E$40:$T$40)</f>
        <v>1.85679478857052e-08</v>
      </c>
      <c r="L57" s="193">
        <f>SUMPRODUCT($E$44:$T$44,$E$41:$T$41)</f>
        <v>-6.16254196495076e-12</v>
      </c>
      <c r="M57" s="195">
        <f>$B$5*(H57*(D57-$B$6)+I57/2*(D57^2-$B$6^2)+J57/3*(D57^3-$B$6^3)+K57/4*(D57^4-$B$6^4)+L57/5*(D57^5-$B$6^5))/1000</f>
        <v>-0.6902656077736289</v>
      </c>
      <c r="N57" s="195">
        <f>$B$5*(H57*LN(D57/$B$6)+I57*(D57-$B$6)+J57/2*(D57^2-$B$6^2)+K57/3*(D57^3-$B$6^3)+L57/4*(D57^4-$B$6^4))</f>
        <v>-0.3895706095398139</v>
      </c>
      <c r="O57" s="185">
        <f>E57+M57</f>
        <v>59.32673439222637</v>
      </c>
      <c r="P57" s="185">
        <f>F57+N57</f>
        <v>142.1104293904602</v>
      </c>
      <c r="Q57" s="185">
        <f>O57-D57*P57/1000</f>
        <v>-52.819710961255296</v>
      </c>
      <c r="R57" s="196">
        <f>EXP(-Q57*1000/($B$5*D57))</f>
        <v>3134.166410859394</v>
      </c>
      <c r="S57" s="172" t="str">
        <f>IF(O57&lt;0,"Eksotermis","Endotermis")</f>
        <v>Endotermis</v>
      </c>
      <c r="T57" s="172" t="str">
        <f>IF(Q57&lt;0,"Spontan","Tidak spontan")</f>
        <v>Spontan</v>
      </c>
    </row>
    <row r="58">
      <c r="A58" s="163" t="str">
        <f>A45</f>
        <v>S2</v>
      </c>
      <c r="B58" s="172" t="str">
        <f>B45</f>
        <v>F-101</v>
      </c>
      <c r="C58" s="172" t="str">
        <f>C45</f>
        <v>C₂H₃Cl(g) → C₂H₂(g) + HCl(g)</v>
      </c>
      <c r="D58" s="185">
        <f>D45</f>
        <v>789.15</v>
      </c>
      <c r="E58" s="185">
        <f>SUMPRODUCT($E$45:$T$45,$E$35:$T$35)</f>
        <v>114.047</v>
      </c>
      <c r="F58" s="185">
        <f>SUMPRODUCT($E$45:$T$45,$E$36:$T$36)</f>
        <v>123.80000000000001</v>
      </c>
      <c r="G58" s="185">
        <f>E58-$B$6*F58/1000</f>
        <v>77.13603</v>
      </c>
      <c r="H58" s="193">
        <f>SUMPRODUCT($E$45:$T$45,$E$37:$T$37)</f>
        <v>6.236798429805705</v>
      </c>
      <c r="I58" s="193">
        <f>SUMPRODUCT($E$45:$T$45,$E$38:$T$38)</f>
        <v>-0.021013681301250003</v>
      </c>
      <c r="J58" s="193">
        <f>SUMPRODUCT($E$45:$T$45,$E$39:$T$39)</f>
        <v>3.61665803276577e-05</v>
      </c>
      <c r="K58" s="193">
        <f>SUMPRODUCT($E$45:$T$45,$E$40:$T$40)</f>
        <v>-3.57579478857052e-08</v>
      </c>
      <c r="L58" s="193">
        <f>SUMPRODUCT($E$45:$T$45,$E$41:$T$41)</f>
        <v>1.401254196495076e-11</v>
      </c>
      <c r="M58" s="195">
        <f>$B$5*(H58*(D58-$B$6)+I58/2*(D58^2-$B$6^2)+J58/3*(D58^3-$B$6^3)+K58/4*(D58^4-$B$6^4)+L58/5*(D58^5-$B$6^5))/1000</f>
        <v>4.265202032511825</v>
      </c>
      <c r="N58" s="195">
        <f>$B$5*(H58*LN(D58/$B$6)+I58*(D58-$B$6)+J58/2*(D58^2-$B$6^2)+K58/3*(D58^3-$B$6^3)+L58/4*(D58^4-$B$6^4))</f>
        <v>9.94450077175392</v>
      </c>
      <c r="O58" s="185">
        <f>E58+M58</f>
        <v>118.31220203251182</v>
      </c>
      <c r="P58" s="185">
        <f>F58+N58</f>
        <v>133.74450077175393</v>
      </c>
      <c r="Q58" s="185">
        <f>O58-D58*P58/1000</f>
        <v>12.767729248482212</v>
      </c>
      <c r="R58" s="196">
        <f>EXP(-Q58*1000/($B$5*D58))</f>
        <v>0.14285897645764445</v>
      </c>
      <c r="S58" s="172" t="str">
        <f>IF(O58&lt;0,"Eksotermis","Endotermis")</f>
        <v>Endotermis</v>
      </c>
      <c r="T58" s="172" t="str">
        <f>IF(Q58&lt;0,"Spontan","Tidak spontan")</f>
        <v>Tidak spontan</v>
      </c>
    </row>
    <row r="59">
      <c r="A59" s="163" t="str">
        <f>A46</f>
        <v>S3</v>
      </c>
      <c r="B59" s="172" t="str">
        <f>B46</f>
        <v>F-101</v>
      </c>
      <c r="C59" s="172" t="str">
        <f>C46</f>
        <v>C₂H₂(g) → 2C(s) + H₂(g)</v>
      </c>
      <c r="D59" s="185">
        <f>D46</f>
        <v>789.15</v>
      </c>
      <c r="E59" s="185">
        <f>SUMPRODUCT($E$46:$T$46,$E$35:$T$35)</f>
        <v>-228.32</v>
      </c>
      <c r="F59" s="185">
        <f>SUMPRODUCT($E$46:$T$46,$E$36:$T$36)</f>
        <v>-58.80000000000002</v>
      </c>
      <c r="G59" s="185">
        <f>E59-$B$6*F59/1000</f>
        <v>-210.78877999999997</v>
      </c>
      <c r="H59" s="193">
        <f>SUMPRODUCT($E$46:$T$46,$E$37:$T$37)</f>
        <v>2.51763003576402</v>
      </c>
      <c r="I59" s="193">
        <f>SUMPRODUCT($E$46:$T$46,$E$38:$T$38)</f>
        <v>-0.007245</v>
      </c>
      <c r="J59" s="193">
        <f>SUMPRODUCT($E$46:$T$46,$E$39:$T$39)</f>
        <v>-5.1700000000000005e-06</v>
      </c>
      <c r="K59" s="193">
        <f>SUMPRODUCT($E$46:$T$46,$E$40:$T$40)</f>
        <v>1.482e-08</v>
      </c>
      <c r="L59" s="193">
        <f>SUMPRODUCT($E$46:$T$46,$E$41:$T$41)</f>
        <v>-7.37e-12</v>
      </c>
      <c r="M59" s="195">
        <f>$B$5*(H59*(D59-$B$6)+I59/2*(D59^2-$B$6^2)+J59/3*(D59^3-$B$6^3)+K59/4*(D59^4-$B$6^4)+L59/5*(D59^5-$B$6^5))/1000</f>
        <v>-4.481922911017586</v>
      </c>
      <c r="N59" s="195">
        <f>$B$5*(H59*LN(D59/$B$6)+I59*(D59-$B$6)+J59/2*(D59^2-$B$6^2)+K59/3*(D59^3-$B$6^3)+L59/4*(D59^4-$B$6^4))</f>
        <v>-7.399497530161869</v>
      </c>
      <c r="O59" s="185">
        <f>E59+M59</f>
        <v>-232.80192291101758</v>
      </c>
      <c r="P59" s="185">
        <f>F59+N59</f>
        <v>-66.19949753016189</v>
      </c>
      <c r="Q59" s="185">
        <f>O59-D59*P59/1000</f>
        <v>-180.56058943509032</v>
      </c>
      <c r="R59" s="196">
        <f>EXP(-Q59*1000/($B$5*D59))</f>
        <v>893831074099.524</v>
      </c>
      <c r="S59" s="172" t="str">
        <f>IF(O59&lt;0,"Eksotermis","Endotermis")</f>
        <v>Eksotermis</v>
      </c>
      <c r="T59" s="172" t="str">
        <f>IF(Q59&lt;0,"Spontan","Tidak spontan")</f>
        <v>Spontan</v>
      </c>
    </row>
    <row r="60">
      <c r="A60" s="163" t="str">
        <f>A47</f>
        <v>R3</v>
      </c>
      <c r="B60" s="172" t="str">
        <f>B47</f>
        <v>R-02</v>
      </c>
      <c r="C60" s="172" t="str">
        <f>C47</f>
        <v>C₂H₄ + 2HCl + ½O₂ → C₂H₄Cl₂ + H₂O</v>
      </c>
      <c r="D60" s="185">
        <f>D47</f>
        <v>498.15</v>
      </c>
      <c r="E60" s="185">
        <f>SUMPRODUCT($E$47:$T$47,$E$35:$T$35)</f>
        <v>-240.126</v>
      </c>
      <c r="F60" s="185">
        <f>SUMPRODUCT($E$47:$T$47,$E$36:$T$36)</f>
        <v>-198.50000000000006</v>
      </c>
      <c r="G60" s="185">
        <f>E60-$B$6*F60/1000</f>
        <v>-180.94322499999998</v>
      </c>
      <c r="H60" s="193">
        <f>SUMPRODUCT($E$47:$T$47,$E$37:$T$37)</f>
        <v>-6.305</v>
      </c>
      <c r="I60" s="193">
        <f>SUMPRODUCT($E$47:$T$47,$E$38:$T$38)</f>
        <v>0.034561999999999996</v>
      </c>
      <c r="J60" s="193">
        <f>SUMPRODUCT($E$47:$T$47,$E$39:$T$39)</f>
        <v>-6.881e-05</v>
      </c>
      <c r="K60" s="193">
        <f>SUMPRODUCT($E$47:$T$47,$E$40:$T$40)</f>
        <v>6.394e-08</v>
      </c>
      <c r="L60" s="193">
        <f>SUMPRODUCT($E$47:$T$47,$E$41:$T$41)</f>
        <v>-2.2295e-11</v>
      </c>
      <c r="M60" s="195">
        <f>$B$5*(H60*(D60-$B$6)+I60/2*(D60^2-$B$6^2)+J60/3*(D60^3-$B$6^3)+K60/4*(D60^4-$B$6^4)+L60/5*(D60^5-$B$6^5))/1000</f>
        <v>-0.037714553924671844</v>
      </c>
      <c r="N60" s="195">
        <f>$B$5*(H60*LN(D60/$B$6)+I60*(D60-$B$6)+J60/2*(D60^2-$B$6^2)+K60/3*(D60^3-$B$6^3)+L60/4*(D60^4-$B$6^4))</f>
        <v>-0.2717940642555719</v>
      </c>
      <c r="O60" s="185">
        <f>E60+M60</f>
        <v>-240.16371455392468</v>
      </c>
      <c r="P60" s="185">
        <f>F60+N60</f>
        <v>-198.77179406425563</v>
      </c>
      <c r="Q60" s="185">
        <f>O60-D60*P60/1000</f>
        <v>-141.14554534081574</v>
      </c>
      <c r="R60" s="196">
        <f>EXP(-Q60*1000/($B$5*D60))</f>
        <v>630732225951169.8</v>
      </c>
      <c r="S60" s="172" t="str">
        <f>IF(O60&lt;0,"Eksotermis","Endotermis")</f>
        <v>Eksotermis</v>
      </c>
      <c r="T60" s="172" t="str">
        <f>IF(Q60&lt;0,"Spontan","Tidak spontan")</f>
        <v>Spontan</v>
      </c>
    </row>
    <row r="61">
      <c r="A61" s="163" t="str">
        <f>A48</f>
        <v>S4</v>
      </c>
      <c r="B61" s="172" t="str">
        <f>B48</f>
        <v>R-02</v>
      </c>
      <c r="C61" s="172" t="str">
        <f>C48</f>
        <v>C₂H₄ + 3O₂ → 2CO₂ + 2H₂O</v>
      </c>
      <c r="D61" s="185">
        <f>D48</f>
        <v>498.15</v>
      </c>
      <c r="E61" s="185">
        <f>SUMPRODUCT($E$48:$T$48,$E$35:$T$35)</f>
        <v>-1323.152</v>
      </c>
      <c r="F61" s="185">
        <f>SUMPRODUCT($E$48:$T$48,$E$36:$T$36)</f>
        <v>-29.699999999999818</v>
      </c>
      <c r="G61" s="185">
        <f>E61-$B$6*F61/1000</f>
        <v>-1314.296945</v>
      </c>
      <c r="H61" s="193">
        <f>SUMPRODUCT($E$48:$T$48,$E$37:$T$37)</f>
        <v>0.1969999999999983</v>
      </c>
      <c r="I61" s="193">
        <f>SUMPRODUCT($E$48:$T$48,$E$38:$T$38)</f>
        <v>0.008504000000000001</v>
      </c>
      <c r="J61" s="193">
        <f>SUMPRODUCT($E$48:$T$48,$E$39:$T$39)</f>
        <v>-1.9549999999999997e-05</v>
      </c>
      <c r="K61" s="193">
        <f>SUMPRODUCT($E$48:$T$48,$E$40:$T$40)</f>
        <v>6.530000000000006e-09</v>
      </c>
      <c r="L61" s="193">
        <f>SUMPRODUCT($E$48:$T$48,$E$41:$T$41)</f>
        <v>3.2800000000000006e-12</v>
      </c>
      <c r="M61" s="195">
        <f>$B$5*(H61*(D61-$B$6)+I61/2*(D61^2-$B$6^2)+J61/3*(D61^3-$B$6^3)+K61/4*(D61^4-$B$6^4)+L61/5*(D61^5-$B$6^5))/1000</f>
        <v>1.579091766452948</v>
      </c>
      <c r="N61" s="195">
        <f>$B$5*(H61*LN(D61/$B$6)+I61*(D61-$B$6)+J61/2*(D61^2-$B$6^2)+K61/3*(D61^3-$B$6^3)+L61/4*(D61^4-$B$6^4))</f>
        <v>4.161849492273825</v>
      </c>
      <c r="O61" s="185">
        <f>E61+M61</f>
        <v>-1321.5729082335472</v>
      </c>
      <c r="P61" s="185">
        <f>F61+N61</f>
        <v>-25.538150507725994</v>
      </c>
      <c r="Q61" s="185">
        <f>O61-D61*P61/1000</f>
        <v>-1308.8510785581234</v>
      </c>
      <c r="R61" s="196">
        <f>EXP(-Q61*1000/($B$5*D61))</f>
        <v>1.737190724624872e+137</v>
      </c>
      <c r="S61" s="172" t="str">
        <f>IF(O61&lt;0,"Eksotermis","Endotermis")</f>
        <v>Eksotermis</v>
      </c>
      <c r="T61" s="172" t="str">
        <f>IF(Q61&lt;0,"Spontan","Tidak spontan")</f>
        <v>Spontan</v>
      </c>
    </row>
    <row r="62">
      <c r="A62" s="163" t="str">
        <f>A49</f>
        <v>S5</v>
      </c>
      <c r="B62" s="172" t="str">
        <f>B49</f>
        <v>R-02</v>
      </c>
      <c r="C62" s="172" t="str">
        <f>C49</f>
        <v>C₂H₄ + 2O₂ → 2CO + 2H₂O</v>
      </c>
      <c r="D62" s="185">
        <f>D49</f>
        <v>498.15</v>
      </c>
      <c r="E62" s="185">
        <f>SUMPRODUCT($E$49:$T$49,$E$35:$T$35)</f>
        <v>-757.2539999999999</v>
      </c>
      <c r="F62" s="185">
        <f>SUMPRODUCT($E$49:$T$49,$E$36:$T$36)</f>
        <v>143.29999999999995</v>
      </c>
      <c r="G62" s="185">
        <f>E62-$B$6*F62/1000</f>
        <v>-799.9788949999999</v>
      </c>
      <c r="H62" s="193">
        <f>SUMPRODUCT($E$49:$T$49,$E$37:$T$37)</f>
        <v>5.132999999999999</v>
      </c>
      <c r="I62" s="193">
        <f>SUMPRODUCT($E$49:$T$49,$E$38:$T$38)</f>
        <v>-0.003828</v>
      </c>
      <c r="J62" s="193">
        <f>SUMPRODUCT($E$49:$T$49,$E$39:$T$39)</f>
        <v>-1.9370000000000003e-05</v>
      </c>
      <c r="K62" s="193">
        <f>SUMPRODUCT($E$49:$T$49,$E$40:$T$40)</f>
        <v>2.2010000000000003e-08</v>
      </c>
      <c r="L62" s="193">
        <f>SUMPRODUCT($E$49:$T$49,$E$41:$T$41)</f>
        <v>-5.7499999999999995e-12</v>
      </c>
      <c r="M62" s="195">
        <f>$B$5*(H62*(D62-$B$6)+I62/2*(D62^2-$B$6^2)+J62/3*(D62^3-$B$6^3)+K62/4*(D62^4-$B$6^4)+L62/5*(D62^5-$B$6^5))/1000</f>
        <v>2.9727426588551413</v>
      </c>
      <c r="N62" s="195">
        <f>$B$5*(H62*LN(D62/$B$6)+I62*(D62-$B$6)+J62/2*(D62^2-$B$6^2)+K62/3*(D62^3-$B$6^3)+L62/4*(D62^4-$B$6^4))</f>
        <v>7.999263038805032</v>
      </c>
      <c r="O62" s="185">
        <f>E62+M62</f>
        <v>-754.2812573411447</v>
      </c>
      <c r="P62" s="185">
        <f>F62+N62</f>
        <v>151.29926303880498</v>
      </c>
      <c r="Q62" s="185">
        <f>O62-D62*P62/1000</f>
        <v>-829.6509852239254</v>
      </c>
      <c r="R62" s="196">
        <f>EXP(-Q62*1000/($B$5*D62))</f>
        <v>9.845181320654645e+86</v>
      </c>
      <c r="S62" s="172" t="str">
        <f>IF(O62&lt;0,"Eksotermis","Endotermis")</f>
        <v>Eksotermis</v>
      </c>
      <c r="T62" s="172" t="str">
        <f>IF(Q62&lt;0,"Spontan","Tidak spontan")</f>
        <v>Spontan</v>
      </c>
    </row>
    <row r="63">
      <c r="A63" s="163" t="str">
        <f>A50</f>
        <v>S6</v>
      </c>
      <c r="B63" s="172" t="str">
        <f>B50</f>
        <v>R-02</v>
      </c>
      <c r="C63" s="172" t="str">
        <f>C50</f>
        <v>C₂H₄ + HCl → C₂H₅Cl</v>
      </c>
      <c r="D63" s="185">
        <f>D50</f>
        <v>498.15</v>
      </c>
      <c r="E63" s="185">
        <f>SUMPRODUCT($E$50:$T$50,$E$35:$T$35)</f>
        <v>-71.627</v>
      </c>
      <c r="F63" s="185">
        <f>SUMPRODUCT($E$50:$T$50,$E$36:$T$36)</f>
        <v>-130.20000000000005</v>
      </c>
      <c r="G63" s="185">
        <f>E63-$B$6*F63/1000</f>
        <v>-32.80786999999998</v>
      </c>
      <c r="H63" s="193">
        <f>SUMPRODUCT($E$50:$T$50,$E$37:$T$37)</f>
        <v>-5.019</v>
      </c>
      <c r="I63" s="193">
        <f>SUMPRODUCT($E$50:$T$50,$E$38:$T$38)</f>
        <v>0.021602999999999997</v>
      </c>
      <c r="J63" s="193">
        <f>SUMPRODUCT($E$50:$T$50,$E$39:$T$39)</f>
        <v>-3.707e-05</v>
      </c>
      <c r="K63" s="193">
        <f>SUMPRODUCT($E$50:$T$50,$E$40:$T$40)</f>
        <v>3.210000000000001e-08</v>
      </c>
      <c r="L63" s="193">
        <f>SUMPRODUCT($E$50:$T$50,$E$41:$T$41)</f>
        <v>-1.0790000000000002e-11</v>
      </c>
      <c r="M63" s="195">
        <f>$B$5*(H63*(D63-$B$6)+I63/2*(D63^2-$B$6^2)+J63/3*(D63^3-$B$6^3)+K63/4*(D63^4-$B$6^4)+L63/5*(D63^5-$B$6^5))/1000</f>
        <v>-0.9470785869133843</v>
      </c>
      <c r="N63" s="195">
        <f>$B$5*(H63*LN(D63/$B$6)+I63*(D63-$B$6)+J63/2*(D63^2-$B$6^2)+K63/3*(D63^3-$B$6^3)+L63/4*(D63^4-$B$6^4))</f>
        <v>-2.604386853334421</v>
      </c>
      <c r="O63" s="185">
        <f>E63+M63</f>
        <v>-72.57407858691337</v>
      </c>
      <c r="P63" s="185">
        <f>F63+N63</f>
        <v>-132.80438685333448</v>
      </c>
      <c r="Q63" s="185">
        <f>O63-D63*P63/1000</f>
        <v>-6.417573275924809</v>
      </c>
      <c r="R63" s="196">
        <f>EXP(-Q63*1000/($B$5*D63))</f>
        <v>4.70886194835231</v>
      </c>
      <c r="S63" s="172" t="str">
        <f>IF(O63&lt;0,"Eksotermis","Endotermis")</f>
        <v>Eksotermis</v>
      </c>
      <c r="T63" s="172" t="str">
        <f>IF(Q63&lt;0,"Spontan","Tidak spontan")</f>
        <v>Spontan</v>
      </c>
    </row>
    <row r="64">
      <c r="A64" s="163" t="str">
        <f>A51</f>
        <v>S7</v>
      </c>
      <c r="B64" s="172" t="str">
        <f>B51</f>
        <v>R-02</v>
      </c>
      <c r="C64" s="172" t="str">
        <f>C51</f>
        <v>C₂H₄ + 3HCl + O₂ → C₂H₃Cl₃ + 2H₂O</v>
      </c>
      <c r="D64" s="185">
        <f>D51</f>
        <v>498.15</v>
      </c>
      <c r="E64" s="185">
        <f>SUMPRODUCT($E$51:$T$51,$E$35:$T$35)</f>
        <v>-407.748</v>
      </c>
      <c r="F64" s="185">
        <f>SUMPRODUCT($E$51:$T$51,$E$36:$T$36)</f>
        <v>-270.40000000000003</v>
      </c>
      <c r="G64" s="185">
        <f>E64-$B$6*F64/1000</f>
        <v>-327.12824</v>
      </c>
      <c r="H64" s="193">
        <f>SUMPRODUCT($E$51:$T$51,$E$37:$T$37)</f>
        <v>-10.541674460624163</v>
      </c>
      <c r="I64" s="193">
        <f>SUMPRODUCT($E$51:$T$51,$E$38:$T$38)</f>
        <v>0.0578534455461392</v>
      </c>
      <c r="J64" s="193">
        <f>SUMPRODUCT($E$51:$T$51,$E$39:$T$39)</f>
        <v>-0.00011319558571254788</v>
      </c>
      <c r="K64" s="193">
        <f>SUMPRODUCT($E$51:$T$51,$E$40:$T$40)</f>
        <v>1.0137983998785711e-07</v>
      </c>
      <c r="L64" s="193">
        <f>SUMPRODUCT($E$51:$T$51,$E$41:$T$41)</f>
        <v>-3.412574833186002e-11</v>
      </c>
      <c r="M64" s="195">
        <f>$B$5*(H64*(D64-$B$6)+I64/2*(D64^2-$B$6^2)+J64/3*(D64^3-$B$6^3)+K64/4*(D64^4-$B$6^4)+L64/5*(D64^5-$B$6^5))/1000</f>
        <v>0.011810727902088513</v>
      </c>
      <c r="N64" s="195">
        <f>$B$5*(H64*LN(D64/$B$6)+I64*(D64-$B$6)+J64/2*(D64^2-$B$6^2)+K64/3*(D64^3-$B$6^3)+L64/4*(D64^4-$B$6^4))</f>
        <v>-0.2520388423713868</v>
      </c>
      <c r="O64" s="185">
        <f>E64+M64</f>
        <v>-407.7361892720979</v>
      </c>
      <c r="P64" s="185">
        <f>F64+N64</f>
        <v>-270.65203884237144</v>
      </c>
      <c r="Q64" s="185">
        <f>O64-D64*P64/1000</f>
        <v>-272.91087612277056</v>
      </c>
      <c r="R64" s="196">
        <f>EXP(-Q64*1000/($B$5*D64))</f>
        <v>4.1316709445366645e+28</v>
      </c>
      <c r="S64" s="172" t="str">
        <f>IF(O64&lt;0,"Eksotermis","Endotermis")</f>
        <v>Eksotermis</v>
      </c>
      <c r="T64" s="172" t="str">
        <f>IF(Q64&lt;0,"Spontan","Tidak spontan")</f>
        <v>Spontan</v>
      </c>
    </row>
    <row r="65">
      <c r="A65" s="163" t="inlineStr">
        <is>
          <t>RT</t>
        </is>
      </c>
      <c r="B65" s="172" t="inlineStr">
        <is>
          <t>Total</t>
        </is>
      </c>
      <c r="C65" s="171" t="inlineStr">
        <is>
          <t>Reaksi keseluruhan: 2C₂H₄ + Cl₂ + ½O₂ → 2C₂H₃Cl + H₂O  (= R1 + R3 + 2×R2, basis 298,15 K)</t>
        </is>
      </c>
      <c r="D65" s="185">
        <f>$B$6</f>
        <v>298.15</v>
      </c>
      <c r="E65" s="185">
        <f>E55+E60+2*E57+(E22-E23)</f>
        <v>-302.74199999999996</v>
      </c>
      <c r="F65" s="185">
        <f>F55+F60+2*F57+(F22-F23)</f>
        <v>-47.49999999999997</v>
      </c>
      <c r="G65" s="185">
        <f>E65-$B$6*F65/1000</f>
        <v>-288.57987499999996</v>
      </c>
      <c r="H65" s="166" t="n"/>
      <c r="I65" s="166" t="n"/>
      <c r="J65" s="166" t="n"/>
      <c r="K65" s="166" t="n"/>
      <c r="L65" s="166" t="n"/>
      <c r="M65" s="166" t="n"/>
      <c r="N65" s="166" t="n"/>
      <c r="O65" s="166" t="n"/>
      <c r="P65" s="166" t="n"/>
      <c r="Q65" s="166" t="n"/>
      <c r="R65" s="166" t="n"/>
      <c r="S65" s="166" t="n"/>
      <c r="T65" s="166" t="n"/>
    </row>
    <row r="66">
      <c r="A66" s="187" t="inlineStr">
        <is>
          <t>Catatan: pada RT ditambahkan penguapan 1 mol EDC (ΔH°f,g − ΔH°f,l) karena R1 menghasilkan EDC cair, sedangkan R2 mengumpankan EDC gas.</t>
        </is>
      </c>
    </row>
    <row r="68">
      <c r="A68" s="169" t="inlineStr">
        <is>
          <t>Konversi Kesetimbangan Pirolisis EDC pada Kondisi Furnace (umpan EDC murni)</t>
        </is>
      </c>
    </row>
    <row r="69">
      <c r="A69" s="162" t="inlineStr">
        <is>
          <t>Parameter</t>
        </is>
      </c>
      <c r="B69" s="162" t="inlineStr">
        <is>
          <t>Nilai</t>
        </is>
      </c>
      <c r="C69" s="162" t="inlineStr">
        <is>
          <t>Satuan</t>
        </is>
      </c>
      <c r="D69" s="162" t="inlineStr">
        <is>
          <t>Rumus</t>
        </is>
      </c>
    </row>
    <row r="70">
      <c r="A70" s="163" t="inlineStr">
        <is>
          <t>K pada suhu furnace</t>
        </is>
      </c>
      <c r="B70" s="185">
        <f>R57</f>
        <v>3134.166410859394</v>
      </c>
      <c r="C70" s="172" t="inlineStr">
        <is>
          <t>–</t>
        </is>
      </c>
      <c r="D70" s="172" t="inlineStr">
        <is>
          <t>Dari hasil R2 pada T keluar F-101</t>
        </is>
      </c>
    </row>
    <row r="71">
      <c r="A71" s="163" t="inlineStr">
        <is>
          <t>Tekanan furnace</t>
        </is>
      </c>
      <c r="B71" s="190">
        <f>$B$11</f>
        <v>13.0</v>
      </c>
      <c r="C71" s="172" t="inlineStr">
        <is>
          <t>bar</t>
        </is>
      </c>
      <c r="D71" s="172" t="inlineStr">
        <is>
          <t>Keadaan standar 1 bar</t>
        </is>
      </c>
    </row>
    <row r="72">
      <c r="A72" s="163" t="inlineStr">
        <is>
          <t>Ky = K / P</t>
        </is>
      </c>
      <c r="B72" s="185">
        <f>B70/B71</f>
        <v>241.0897239122611</v>
      </c>
      <c r="C72" s="172" t="inlineStr">
        <is>
          <t>–</t>
        </is>
      </c>
      <c r="D72" s="172" t="inlineStr">
        <is>
          <t>Δν = +1 (gas ideal)</t>
        </is>
      </c>
    </row>
    <row r="73">
      <c r="A73" s="163" t="inlineStr">
        <is>
          <t>Konversi kesetimbangan Xeq</t>
        </is>
      </c>
      <c r="B73" s="174">
        <f>SQRT(B72/(1+B72))</f>
        <v>0.9979325127949318</v>
      </c>
      <c r="C73" s="172" t="inlineStr">
        <is>
          <t>–</t>
        </is>
      </c>
      <c r="D73" s="172" t="inlineStr">
        <is>
          <t>X²/(1−X²) = Ky</t>
        </is>
      </c>
    </row>
    <row r="74">
      <c r="A74" s="163" t="inlineStr">
        <is>
          <t>Konversi desain</t>
        </is>
      </c>
      <c r="B74" s="174">
        <f>'NME-6 Pirolisis'!$B$6</f>
        <v>0.55</v>
      </c>
      <c r="C74" s="172" t="inlineStr">
        <is>
          <t>–</t>
        </is>
      </c>
      <c r="D74" s="172" t="inlineStr">
        <is>
          <t>Unjuk kerja NME-6 (US 4,590,318: 55 %)</t>
        </is>
      </c>
    </row>
    <row r="76">
      <c r="A76" s="169" t="inlineStr">
        <is>
          <t>Pengaruh Suhu terhadap ΔG°T dan K (reaksi fase gas R3 dan R2)</t>
        </is>
      </c>
    </row>
    <row r="77">
      <c r="A77" s="162" t="inlineStr">
        <is>
          <t>T (K)</t>
        </is>
      </c>
      <c r="B77" s="162" t="inlineStr">
        <is>
          <t>ΔG°T R3 (kJ/mol)</t>
        </is>
      </c>
      <c r="C77" s="162" t="inlineStr">
        <is>
          <t>K R3</t>
        </is>
      </c>
      <c r="D77" s="162" t="inlineStr">
        <is>
          <t>ΔG°T R2 (kJ/mol)</t>
        </is>
      </c>
      <c r="E77" s="162" t="inlineStr">
        <is>
          <t>K R2</t>
        </is>
      </c>
    </row>
    <row r="78">
      <c r="A78" s="197" t="n">
        <v>300</v>
      </c>
      <c r="B78" s="198">
        <f>($E$60+$B$5*($H$60*(A78-$B$6)+$I$60/2*(A78^2-$B$6^2)+$J$60/3*(A78^3-$B$6^3)+$K$60/4*(A78^4-$B$6^4)+$L$60/5*(A78^5-$B$6^5))/1000)-A78*($F$60+$B$5*($H$60*LN(A78/$B$6)+$I$60*(A78-$B$6)+$J$60/2*(A78^2-$B$6^2)+$K$60/3*(A78^3-$B$6^3)+$L$60/4*(A78^4-$B$6^4)))/1000</f>
        <v>-180.5759717317668</v>
      </c>
      <c r="C78" s="196">
        <f>EXP(-B78*1000/($B$5*A78))</f>
        <v>2.757120210131626e+31</v>
      </c>
      <c r="D78" s="198">
        <f>($E$57+$B$5*($H$57*(A78-$B$6)+$I$57/2*(A78^2-$B$6^2)+$J$57/3*(A78^3-$B$6^3)+$K$57/4*(A78^4-$B$6^4)+$L$57/5*(A78^5-$B$6^5))/1000)-A78*($F$57+$B$5*($H$57*LN(A78/$B$6)+$I$57*(A78-$B$6)+$J$57/2*(A78^2-$B$6^2)+$K$57/3*(A78^3-$B$6^3)+$L$57/4*(A78^4-$B$6^4)))/1000</f>
        <v>17.266970717783565</v>
      </c>
      <c r="E78" s="196">
        <f>EXP(-D78*1000/($B$5*A78))</f>
        <v>0.0009853988163265014</v>
      </c>
    </row>
    <row r="79">
      <c r="A79" s="197" t="n">
        <v>350</v>
      </c>
      <c r="B79" s="198">
        <f>($E$60+$B$5*($H$60*(A79-$B$6)+$I$60/2*(A79^2-$B$6^2)+$J$60/3*(A79^3-$B$6^3)+$K$60/4*(A79^4-$B$6^4)+$L$60/5*(A79^5-$B$6^5))/1000)-A79*($F$60+$B$5*($H$60*LN(A79/$B$6)+$I$60*(A79-$B$6)+$J$60/2*(A79^2-$B$6^2)+$K$60/3*(A79^3-$B$6^3)+$L$60/4*(A79^4-$B$6^4)))/1000</f>
        <v>-170.63432221454127</v>
      </c>
      <c r="C79" s="196">
        <f>EXP(-B79*1000/($B$5*A79))</f>
        <v>2.9193155892094886e+25</v>
      </c>
      <c r="D79" s="198">
        <f>($E$57+$B$5*($H$57*(A79-$B$6)+$I$57/2*(A79^2-$B$6^2)+$J$57/3*(A79^3-$B$6^3)+$K$57/4*(A79^4-$B$6^4)+$L$57/5*(A79^5-$B$6^5))/1000)-A79*($F$57+$B$5*($H$57*LN(A79/$B$6)+$I$57*(A79-$B$6)+$J$57/2*(A79^2-$B$6^2)+$K$57/3*(A79^3-$B$6^3)+$L$57/4*(A79^4-$B$6^4)))/1000</f>
        <v>10.121973539657127</v>
      </c>
      <c r="E79" s="196">
        <f>EXP(-D79*1000/($B$5*A79))</f>
        <v>0.03086083375141543</v>
      </c>
    </row>
    <row r="80">
      <c r="A80" s="197" t="n">
        <v>400</v>
      </c>
      <c r="B80" s="198">
        <f>($E$60+$B$5*($H$60*(A80-$B$6)+$I$60/2*(A80^2-$B$6^2)+$J$60/3*(A80^3-$B$6^3)+$K$60/4*(A80^4-$B$6^4)+$L$60/5*(A80^5-$B$6^5))/1000)-A80*($F$60+$B$5*($H$60*LN(A80/$B$6)+$I$60*(A80-$B$6)+$J$60/2*(A80^2-$B$6^2)+$K$60/3*(A80^3-$B$6^3)+$L$60/4*(A80^4-$B$6^4)))/1000</f>
        <v>-160.67804080117295</v>
      </c>
      <c r="C80" s="196">
        <f>EXP(-B80*1000/($B$5*A80))</f>
        <v>9.593771329259158e+20</v>
      </c>
      <c r="D80" s="198">
        <f>($E$57+$B$5*($H$57*(A80-$B$6)+$I$57/2*(A80^2-$B$6^2)+$J$57/3*(A80^3-$B$6^3)+$K$57/4*(A80^4-$B$6^4)+$L$57/5*(A80^5-$B$6^5))/1000)-A80*($F$57+$B$5*($H$57*LN(A80/$B$6)+$I$57*(A80-$B$6)+$J$57/2*(A80^2-$B$6^2)+$K$57/3*(A80^3-$B$6^3)+$L$57/4*(A80^4-$B$6^4)))/1000</f>
        <v>2.9499027863831273</v>
      </c>
      <c r="E80" s="196">
        <f>EXP(-D80*1000/($B$5*A80))</f>
        <v>0.4118980596920606</v>
      </c>
    </row>
    <row r="81">
      <c r="A81" s="197" t="n">
        <v>450</v>
      </c>
      <c r="B81" s="198">
        <f>($E$60+$B$5*($H$60*(A81-$B$6)+$I$60/2*(A81^2-$B$6^2)+$J$60/3*(A81^3-$B$6^3)+$K$60/4*(A81^4-$B$6^4)+$L$60/5*(A81^5-$B$6^5))/1000)-A81*($F$60+$B$5*($H$60*LN(A81/$B$6)+$I$60*(A81-$B$6)+$J$60/2*(A81^2-$B$6^2)+$K$60/3*(A81^3-$B$6^3)+$L$60/4*(A81^4-$B$6^4)))/1000</f>
        <v>-150.72286536244616</v>
      </c>
      <c r="C81" s="196">
        <f>EXP(-B81*1000/($B$5*A81))</f>
        <v>3.126893541670638e+17</v>
      </c>
      <c r="D81" s="198">
        <f>($E$57+$B$5*($H$57*(A81-$B$6)+$I$57/2*(A81^2-$B$6^2)+$J$57/3*(A81^3-$B$6^3)+$K$57/4*(A81^4-$B$6^4)+$L$57/5*(A81^5-$B$6^5))/1000)-A81*($F$57+$B$5*($H$57*LN(A81/$B$6)+$I$57*(A81-$B$6)+$J$57/2*(A81^2-$B$6^2)+$K$57/3*(A81^3-$B$6^3)+$L$57/4*(A81^4-$B$6^4)))/1000</f>
        <v>-4.236960691498268</v>
      </c>
      <c r="E81" s="196">
        <f>EXP(-D81*1000/($B$5*A81))</f>
        <v>3.1031587200235693</v>
      </c>
    </row>
    <row r="82">
      <c r="A82" s="197" t="n">
        <v>500</v>
      </c>
      <c r="B82" s="198">
        <f>($E$60+$B$5*($H$60*(A82-$B$6)+$I$60/2*(A82^2-$B$6^2)+$J$60/3*(A82^3-$B$6^3)+$K$60/4*(A82^4-$B$6^4)+$L$60/5*(A82^5-$B$6^5))/1000)-A82*($F$60+$B$5*($H$60*LN(A82/$B$6)+$I$60*(A82-$B$6)+$J$60/2*(A82^2-$B$6^2)+$K$60/3*(A82^3-$B$6^3)+$L$60/4*(A82^4-$B$6^4)))/1000</f>
        <v>-140.7778280593621</v>
      </c>
      <c r="C82" s="196">
        <f>EXP(-B82*1000/($B$5*A82))</f>
        <v>508945389848008.1</v>
      </c>
      <c r="D82" s="198">
        <f>($E$57+$B$5*($H$57*(A82-$B$6)+$I$57/2*(A82^2-$B$6^2)+$J$57/3*(A82^3-$B$6^3)+$K$57/4*(A82^4-$B$6^4)+$L$57/5*(A82^5-$B$6^5))/1000)-A82*($F$57+$B$5*($H$57*LN(A82/$B$6)+$I$57*(A82-$B$6)+$J$57/2*(A82^2-$B$6^2)+$K$57/3*(A82^3-$B$6^3)+$L$57/4*(A82^4-$B$6^4)))/1000</f>
        <v>-11.428900839432956</v>
      </c>
      <c r="E82" s="196">
        <f>EXP(-D82*1000/($B$5*A82))</f>
        <v>15.629523208402807</v>
      </c>
    </row>
    <row r="83">
      <c r="A83" s="197" t="n">
        <v>550</v>
      </c>
      <c r="B83" s="198">
        <f>($E$60+$B$5*($H$60*(A83-$B$6)+$I$60/2*(A83^2-$B$6^2)+$J$60/3*(A83^3-$B$6^3)+$K$60/4*(A83^4-$B$6^4)+$L$60/5*(A83^5-$B$6^5))/1000)-A83*($F$60+$B$5*($H$60*LN(A83/$B$6)+$I$60*(A83-$B$6)+$J$60/2*(A83^2-$B$6^2)+$K$60/3*(A83^3-$B$6^3)+$L$60/4*(A83^4-$B$6^4)))/1000</f>
        <v>-130.84810456436134</v>
      </c>
      <c r="C83" s="196">
        <f>EXP(-B83*1000/($B$5*A83))</f>
        <v>2670994957116.212</v>
      </c>
      <c r="D83" s="198">
        <f>($E$57+$B$5*($H$57*(A83-$B$6)+$I$57/2*(A83^2-$B$6^2)+$J$57/3*(A83^3-$B$6^3)+$K$57/4*(A83^4-$B$6^4)+$L$57/5*(A83^5-$B$6^5))/1000)-A83*($F$57+$B$5*($H$57*LN(A83/$B$6)+$I$57*(A83-$B$6)+$J$57/2*(A83^2-$B$6^2)+$K$57/3*(A83^3-$B$6^3)+$L$57/4*(A83^4-$B$6^4)))/1000</f>
        <v>-18.618245845172503</v>
      </c>
      <c r="E83" s="196">
        <f>EXP(-D83*1000/($B$5*A83))</f>
        <v>58.6379628750148</v>
      </c>
    </row>
    <row r="84">
      <c r="A84" s="197" t="n">
        <v>600</v>
      </c>
      <c r="B84" s="198">
        <f>($E$60+$B$5*($H$60*(A84-$B$6)+$I$60/2*(A84^2-$B$6^2)+$J$60/3*(A84^3-$B$6^3)+$K$60/4*(A84^4-$B$6^4)+$L$60/5*(A84^5-$B$6^5))/1000)-A84*($F$60+$B$5*($H$60*LN(A84/$B$6)+$I$60*(A84-$B$6)+$J$60/2*(A84^2-$B$6^2)+$K$60/3*(A84^3-$B$6^3)+$L$60/4*(A84^4-$B$6^4)))/1000</f>
        <v>-120.93669064476934</v>
      </c>
      <c r="C84" s="196">
        <f>EXP(-B84*1000/($B$5*A84))</f>
        <v>33749597400.28988</v>
      </c>
      <c r="D84" s="198">
        <f>($E$57+$B$5*($H$57*(A84-$B$6)+$I$57/2*(A84^2-$B$6^2)+$J$57/3*(A84^3-$B$6^3)+$K$57/4*(A84^4-$B$6^4)+$L$57/5*(A84^5-$B$6^5))/1000)-A84*($F$57+$B$5*($H$57*LN(A84/$B$6)+$I$57*(A84-$B$6)+$J$57/2*(A84^2-$B$6^2)+$K$57/3*(A84^3-$B$6^3)+$L$57/4*(A84^4-$B$6^4)))/1000</f>
        <v>-25.799003292339897</v>
      </c>
      <c r="E84" s="196">
        <f>EXP(-D84*1000/($B$5*A84))</f>
        <v>176.18092905037656</v>
      </c>
    </row>
    <row r="85">
      <c r="A85" s="197" t="n">
        <v>650</v>
      </c>
      <c r="B85" s="198">
        <f>($E$60+$B$5*($H$60*(A85-$B$6)+$I$60/2*(A85^2-$B$6^2)+$J$60/3*(A85^3-$B$6^3)+$K$60/4*(A85^4-$B$6^4)+$L$60/5*(A85^5-$B$6^5))/1000)-A85*($F$60+$B$5*($H$60*LN(A85/$B$6)+$I$60*(A85-$B$6)+$J$60/2*(A85^2-$B$6^2)+$K$60/3*(A85^3-$B$6^3)+$L$60/4*(A85^4-$B$6^4)))/1000</f>
        <v>-111.0453991953284</v>
      </c>
      <c r="C85" s="196">
        <f>EXP(-B85*1000/($B$5*A85))</f>
        <v>838577839.1554819</v>
      </c>
      <c r="D85" s="198">
        <f>($E$57+$B$5*($H$57*(A85-$B$6)+$I$57/2*(A85^2-$B$6^2)+$J$57/3*(A85^3-$B$6^3)+$K$57/4*(A85^4-$B$6^4)+$L$57/5*(A85^5-$B$6^5))/1000)-A85*($F$57+$B$5*($H$57*LN(A85/$B$6)+$I$57*(A85-$B$6)+$J$57/2*(A85^2-$B$6^2)+$K$57/3*(A85^3-$B$6^3)+$L$57/4*(A85^4-$B$6^4)))/1000</f>
        <v>-32.966585547316996</v>
      </c>
      <c r="E85" s="196">
        <f>EXP(-D85*1000/($B$5*A85))</f>
        <v>445.83642536973304</v>
      </c>
    </row>
    <row r="86">
      <c r="A86" s="197" t="n">
        <v>700</v>
      </c>
      <c r="B86" s="198">
        <f>($E$60+$B$5*($H$60*(A86-$B$6)+$I$60/2*(A86^2-$B$6^2)+$J$60/3*(A86^3-$B$6^3)+$K$60/4*(A86^4-$B$6^4)+$L$60/5*(A86^5-$B$6^5))/1000)-A86*($F$60+$B$5*($H$60*LN(A86/$B$6)+$I$60*(A86-$B$6)+$J$60/2*(A86^2-$B$6^2)+$K$60/3*(A86^3-$B$6^3)+$L$60/4*(A86^4-$B$6^4)))/1000</f>
        <v>-101.17544107338392</v>
      </c>
      <c r="C86" s="196">
        <f>EXP(-B86*1000/($B$5*A86))</f>
        <v>35453287.02305589</v>
      </c>
      <c r="D86" s="198">
        <f>($E$57+$B$5*($H$57*(A86-$B$6)+$I$57/2*(A86^2-$B$6^2)+$J$57/3*(A86^3-$B$6^3)+$K$57/4*(A86^4-$B$6^4)+$L$57/5*(A86^5-$B$6^5))/1000)-A86*($F$57+$B$5*($H$57*LN(A86/$B$6)+$I$57*(A86-$B$6)+$J$57/2*(A86^2-$B$6^2)+$K$57/3*(A86^3-$B$6^3)+$L$57/4*(A86^4-$B$6^4)))/1000</f>
        <v>-40.11759041037793</v>
      </c>
      <c r="E86" s="196">
        <f>EXP(-D86*1000/($B$5*A86))</f>
        <v>985.2644778371407</v>
      </c>
    </row>
    <row r="87">
      <c r="A87" s="197" t="n">
        <v>750</v>
      </c>
      <c r="B87" s="198">
        <f>($E$60+$B$5*($H$60*(A87-$B$6)+$I$60/2*(A87^2-$B$6^2)+$J$60/3*(A87^3-$B$6^3)+$K$60/4*(A87^4-$B$6^4)+$L$60/5*(A87^5-$B$6^5))/1000)-A87*($F$60+$B$5*($H$60*LN(A87/$B$6)+$I$60*(A87-$B$6)+$J$60/2*(A87^2-$B$6^2)+$K$60/3*(A87^3-$B$6^3)+$L$60/4*(A87^4-$B$6^4)))/1000</f>
        <v>-91.3277393310392</v>
      </c>
      <c r="C87" s="196">
        <f>EXP(-B87*1000/($B$5*A87))</f>
        <v>2293530.872277981</v>
      </c>
      <c r="D87" s="198">
        <f>($E$57+$B$5*($H$57*(A87-$B$6)+$I$57/2*(A87^2-$B$6^2)+$J$57/3*(A87^3-$B$6^3)+$K$57/4*(A87^4-$B$6^4)+$L$57/5*(A87^5-$B$6^5))/1000)-A87*($F$57+$B$5*($H$57*LN(A87/$B$6)+$I$57*(A87-$B$6)+$J$57/2*(A87^2-$B$6^2)+$K$57/3*(A87^3-$B$6^3)+$L$57/4*(A87^4-$B$6^4)))/1000</f>
        <v>-47.24961716737376</v>
      </c>
      <c r="E87" s="196">
        <f>EXP(-D87*1000/($B$5*A87))</f>
        <v>1952.951262931936</v>
      </c>
    </row>
    <row r="88">
      <c r="A88" s="197" t="n">
        <v>800</v>
      </c>
      <c r="B88" s="198">
        <f>($E$60+$B$5*($H$60*(A88-$B$6)+$I$60/2*(A88^2-$B$6^2)+$J$60/3*(A88^3-$B$6^3)+$K$60/4*(A88^4-$B$6^4)+$L$60/5*(A88^5-$B$6^5))/1000)-A88*($F$60+$B$5*($H$60*LN(A88/$B$6)+$I$60*(A88-$B$6)+$J$60/2*(A88^2-$B$6^2)+$K$60/3*(A88^3-$B$6^3)+$L$60/4*(A88^4-$B$6^4)))/1000</f>
        <v>-81.5030661985245</v>
      </c>
      <c r="C88" s="196">
        <f>EXP(-B88*1000/($B$5*A88))</f>
        <v>209652.5978419934</v>
      </c>
      <c r="D88" s="198">
        <f>($E$57+$B$5*($H$57*(A88-$B$6)+$I$57/2*(A88^2-$B$6^2)+$J$57/3*(A88^3-$B$6^3)+$K$57/4*(A88^4-$B$6^4)+$L$57/5*(A88^5-$B$6^5))/1000)-A88*($F$57+$B$5*($H$57*LN(A88/$B$6)+$I$57*(A88-$B$6)+$J$57/2*(A88^2-$B$6^2)+$K$57/3*(A88^3-$B$6^3)+$L$57/4*(A88^4-$B$6^4)))/1000</f>
        <v>-54.36110617717662</v>
      </c>
      <c r="E88" s="196">
        <f>EXP(-D88*1000/($B$5*A88))</f>
        <v>3542.800618346525</v>
      </c>
    </row>
    <row r="89">
      <c r="A89" s="197" t="n">
        <v>850</v>
      </c>
      <c r="B89" s="198">
        <f>($E$60+$B$5*($H$60*(A89-$B$6)+$I$60/2*(A89^2-$B$6^2)+$J$60/3*(A89^3-$B$6^3)+$K$60/4*(A89^4-$B$6^4)+$L$60/5*(A89^5-$B$6^5))/1000)-A89*($F$60+$B$5*($H$60*LN(A89/$B$6)+$I$60*(A89-$B$6)+$J$60/2*(A89^2-$B$6^2)+$K$60/3*(A89^3-$B$6^3)+$L$60/4*(A89^4-$B$6^4)))/1000</f>
        <v>-71.70205847129077</v>
      </c>
      <c r="C89" s="196">
        <f>EXP(-B89*1000/($B$5*A89))</f>
        <v>25479.211351622365</v>
      </c>
      <c r="D89" s="198">
        <f>($E$57+$B$5*($H$57*(A89-$B$6)+$I$57/2*(A89^2-$B$6^2)+$J$57/3*(A89^3-$B$6^3)+$K$57/4*(A89^4-$B$6^4)+$L$57/5*(A89^5-$B$6^5))/1000)-A89*($F$57+$B$5*($H$57*LN(A89/$B$6)+$I$57*(A89-$B$6)+$J$57/2*(A89^2-$B$6^2)+$K$57/3*(A89^3-$B$6^3)+$L$57/4*(A89^4-$B$6^4)))/1000</f>
        <v>-61.45119460513355</v>
      </c>
      <c r="E89" s="196">
        <f>EXP(-D89*1000/($B$5*A89))</f>
        <v>5973.885416439394</v>
      </c>
    </row>
    <row r="90">
      <c r="A90" s="197" t="n">
        <v>900</v>
      </c>
      <c r="B90" s="198">
        <f>($E$60+$B$5*($H$60*(A90-$B$6)+$I$60/2*(A90^2-$B$6^2)+$J$60/3*(A90^3-$B$6^3)+$K$60/4*(A90^4-$B$6^4)+$L$60/5*(A90^5-$B$6^5))/1000)-A90*($F$60+$B$5*($H$60*LN(A90/$B$6)+$I$60*(A90-$B$6)+$J$60/2*(A90^2-$B$6^2)+$K$60/3*(A90^3-$B$6^3)+$L$60/4*(A90^4-$B$6^4)))/1000</f>
        <v>-61.92514721237376</v>
      </c>
      <c r="C90" s="196">
        <f>EXP(-B90*1000/($B$5*A90))</f>
        <v>3926.194360935701</v>
      </c>
      <c r="D90" s="198">
        <f>($E$57+$B$5*($H$57*(A90-$B$6)+$I$57/2*(A90^2-$B$6^2)+$J$57/3*(A90^3-$B$6^3)+$K$57/4*(A90^4-$B$6^4)+$L$57/5*(A90^5-$B$6^5))/1000)-A90*($F$57+$B$5*($H$57*LN(A90/$B$6)+$I$57*(A90-$B$6)+$J$57/2*(A90^2-$B$6^2)+$K$57/3*(A90^3-$B$6^3)+$L$57/4*(A90^4-$B$6^4)))/1000</f>
        <v>-68.51958353406046</v>
      </c>
      <c r="E90" s="196">
        <f>EXP(-D90*1000/($B$5*A90))</f>
        <v>9477.535969167753</v>
      </c>
    </row>
    <row r="91">
      <c r="A91" s="197" t="n">
        <v>950</v>
      </c>
      <c r="B91" s="198">
        <f>($E$60+$B$5*($H$60*(A91-$B$6)+$I$60/2*(A91^2-$B$6^2)+$J$60/3*(A91^3-$B$6^3)+$K$60/4*(A91^4-$B$6^4)+$L$60/5*(A91^5-$B$6^5))/1000)-A91*($F$60+$B$5*($H$60*LN(A91/$B$6)+$I$60*(A91-$B$6)+$J$60/2*(A91^2-$B$6^2)+$K$60/3*(A91^3-$B$6^3)+$L$60/4*(A91^4-$B$6^4)))/1000</f>
        <v>-52.172425658116595</v>
      </c>
      <c r="C91" s="196">
        <f>EXP(-B91*1000/($B$5*A91))</f>
        <v>738.896918563205</v>
      </c>
      <c r="D91" s="198">
        <f>($E$57+$B$5*($H$57*(A91-$B$6)+$I$57/2*(A91^2-$B$6^2)+$J$57/3*(A91^3-$B$6^3)+$K$57/4*(A91^4-$B$6^4)+$L$57/5*(A91^5-$B$6^5))/1000)-A91*($F$57+$B$5*($H$57*LN(A91/$B$6)+$I$57*(A91-$B$6)+$J$57/2*(A91^2-$B$6^2)+$K$57/3*(A91^3-$B$6^3)+$L$57/4*(A91^4-$B$6^4)))/1000</f>
        <v>-75.56641328082631</v>
      </c>
      <c r="E91" s="196">
        <f>EXP(-D91*1000/($B$5*A91))</f>
        <v>14283.999162593662</v>
      </c>
    </row>
    <row r="92">
      <c r="A92" s="197" t="n">
        <v>1000</v>
      </c>
      <c r="B92" s="198">
        <f>($E$60+$B$5*($H$60*(A92-$B$6)+$I$60/2*(A92^2-$B$6^2)+$J$60/3*(A92^3-$B$6^3)+$K$60/4*(A92^4-$B$6^4)+$L$60/5*(A92^5-$B$6^5))/1000)-A92*($F$60+$B$5*($H$60*LN(A92/$B$6)+$I$60*(A92-$B$6)+$J$60/2*(A92^2-$B$6^2)+$K$60/3*(A92^3-$B$6^3)+$L$60/4*(A92^4-$B$6^4)))/1000</f>
        <v>-42.44347164218124</v>
      </c>
      <c r="C92" s="196">
        <f>EXP(-B92*1000/($B$5*A92))</f>
        <v>164.80719750267176</v>
      </c>
      <c r="D92" s="198">
        <f>($E$57+$B$5*($H$57*(A92-$B$6)+$I$57/2*(A92^2-$B$6^2)+$J$57/3*(A92^3-$B$6^3)+$K$57/4*(A92^4-$B$6^4)+$L$57/5*(A92^5-$B$6^5))/1000)-A92*($F$57+$B$5*($H$57*LN(A92/$B$6)+$I$57*(A92-$B$6)+$J$57/2*(A92^2-$B$6^2)+$K$57/3*(A92^3-$B$6^3)+$L$57/4*(A92^4-$B$6^4)))/1000</f>
        <v>-82.59214475216933</v>
      </c>
      <c r="E92" s="196">
        <f>EXP(-D92*1000/($B$5*A92))</f>
        <v>20610.413928630496</v>
      </c>
    </row>
    <row r="94">
      <c r="A94" s="169" t="inlineStr">
        <is>
          <t>Persamaan yang Digunakan (Smith dkk., 2018)</t>
        </is>
      </c>
    </row>
    <row r="95">
      <c r="A95" s="187" t="inlineStr">
        <is>
          <t>Δx = Σ νᵢ xᵢ   (x = ΔH°f, S°, atau koefisien aₖ; ν negatif untuk reaktan)</t>
        </is>
      </c>
    </row>
    <row r="96">
      <c r="A96" s="187" t="inlineStr">
        <is>
          <t>ΔG°298 = ΔH°298 − T₀ ΔS°298</t>
        </is>
      </c>
    </row>
    <row r="97">
      <c r="A97" s="187" t="inlineStr">
        <is>
          <t>ΔH°T = ΔH°298 + R ∫ (Δa₀ + Δa₁T + Δa₂T² + Δa₃T³ + Δa₄T⁴) dT  dari T₀ ke T</t>
        </is>
      </c>
    </row>
    <row r="98">
      <c r="A98" s="187" t="inlineStr">
        <is>
          <t>ΔS°T = ΔS°298 + R ∫ (Δa₀/T + Δa₁ + Δa₂T + Δa₃T² + Δa₄T³) dT  dari T₀ ke T</t>
        </is>
      </c>
    </row>
    <row r="99">
      <c r="A99" s="187" t="inlineStr">
        <is>
          <t>ΔG°T = ΔH°T − T ΔS°T ;   K = exp(−ΔG°T / RT)</t>
        </is>
      </c>
    </row>
    <row r="100">
      <c r="A100" s="187" t="inlineStr">
        <is>
          <t>Pirolisis (umpan EDC murni, Δν = +1): Ky = K/P ;  X²/(1 − X²) = Ky</t>
        </is>
      </c>
    </row>
    <row r="102">
      <c r="A102" s="169" t="inlineStr">
        <is>
          <t>Panas Reaksi dan Panas Pelarutan pada Reference State Neraca Energi (25 °C, 1 bar)</t>
        </is>
      </c>
    </row>
    <row r="103">
      <c r="A103" s="187" t="inlineStr">
        <is>
          <t>Reference state NE: Cl₂, H₂O, Br₂, EDC, TCE, C₄H₈Cl₂ fasa liquid; C₂H₄, O₂, HCl, C₂H₅Cl, VCM, CO₂ fasa gas; semua pada 25 °C, 1 bar. Koreksi fasa memakai ΔHvap 298,15 K dari sheet Data Termo (kolom V).</t>
        </is>
      </c>
    </row>
    <row r="104">
      <c r="A104" s="162" t="inlineStr">
        <is>
          <t>Kode</t>
        </is>
      </c>
      <c r="B104" s="162" t="inlineStr">
        <is>
          <t>Alat</t>
        </is>
      </c>
      <c r="C104" s="162" t="inlineStr">
        <is>
          <t>Persamaan reaksi (fasa reference state)</t>
        </is>
      </c>
      <c r="D104" s="162" t="inlineStr">
        <is>
          <t>ΔH°298 (kJ/mol)</t>
        </is>
      </c>
      <c r="E104" s="162" t="inlineStr">
        <is>
          <t>Koreksi fasa (kJ/mol)</t>
        </is>
      </c>
      <c r="F104" s="162" t="inlineStr">
        <is>
          <t>ΔH°r pada reference state (kJ/mol)</t>
        </is>
      </c>
      <c r="G104" s="162" t="inlineStr">
        <is>
          <t>Sumber ΔH°298</t>
        </is>
      </c>
    </row>
    <row r="105">
      <c r="A105" s="172" t="inlineStr">
        <is>
          <t>R1</t>
        </is>
      </c>
      <c r="B105" s="172" t="inlineStr">
        <is>
          <t>R-01</t>
        </is>
      </c>
      <c r="C105" s="163" t="inlineStr">
        <is>
          <t>C₂H₄(g) + Cl₂(l) → C₂H₄Cl₂(l)</t>
        </is>
      </c>
      <c r="D105" s="190">
        <f>E55</f>
        <v>-220.048</v>
      </c>
      <c r="E105" s="190">
        <f>'Data Termo'!$V$10/1000</f>
        <v>17.2709148583032</v>
      </c>
      <c r="F105" s="199">
        <f>D105+E105</f>
        <v>-202.7770851416968</v>
      </c>
      <c r="G105" s="171" t="inlineStr">
        <is>
          <t>Hasil R1 di atas</t>
        </is>
      </c>
    </row>
    <row r="106">
      <c r="A106" s="172" t="inlineStr">
        <is>
          <t>S1</t>
        </is>
      </c>
      <c r="B106" s="172" t="inlineStr">
        <is>
          <t>R-01</t>
        </is>
      </c>
      <c r="C106" s="163" t="inlineStr">
        <is>
          <t>C₂H₄Cl₂(l) + Cl₂(l) → C₂H₃Cl₃(l) + HCl(g)</t>
        </is>
      </c>
      <c r="D106" s="190">
        <f>E56</f>
        <v>-112.84299999999999</v>
      </c>
      <c r="E106" s="190">
        <f>'Data Termo'!$V$10/1000</f>
        <v>17.2709148583032</v>
      </c>
      <c r="F106" s="199">
        <f>D106+E106</f>
        <v>-95.57208514169679</v>
      </c>
      <c r="G106" s="171" t="inlineStr">
        <is>
          <t>Hasil S1 di atas</t>
        </is>
      </c>
    </row>
    <row r="107">
      <c r="A107" s="172" t="inlineStr">
        <is>
          <t>R3</t>
        </is>
      </c>
      <c r="B107" s="172" t="inlineStr">
        <is>
          <t>R-02</t>
        </is>
      </c>
      <c r="C107" s="163" t="inlineStr">
        <is>
          <t>C₂H₄(g) + 2HCl(g) + ½O₂(g) → C₂H₄Cl₂(l) + H₂O(l)</t>
        </is>
      </c>
      <c r="D107" s="190">
        <f>E60</f>
        <v>-240.126</v>
      </c>
      <c r="E107" s="190">
        <f>-('Data Termo'!$V$20/1000+'Data Termo'!$V$12/1000)</f>
        <v>-77.743890952846</v>
      </c>
      <c r="F107" s="199">
        <f>D107+E107</f>
        <v>-317.869890952846</v>
      </c>
      <c r="G107" s="171" t="inlineStr">
        <is>
          <t>Hasil R3 di atas</t>
        </is>
      </c>
    </row>
    <row r="108">
      <c r="A108" s="172" t="inlineStr">
        <is>
          <t>S4</t>
        </is>
      </c>
      <c r="B108" s="172" t="inlineStr">
        <is>
          <t>R-02</t>
        </is>
      </c>
      <c r="C108" s="163" t="inlineStr">
        <is>
          <t>C₂H₄(g) + 3O₂(g) → 2CO₂(g) + 2H₂O(l)</t>
        </is>
      </c>
      <c r="D108" s="190">
        <f>E61</f>
        <v>-1323.152</v>
      </c>
      <c r="E108" s="190">
        <f>-2*'Data Termo'!$V$12/1000</f>
        <v>-85.3859570734646</v>
      </c>
      <c r="F108" s="199">
        <f>D108+E108</f>
        <v>-1408.5379570734647</v>
      </c>
      <c r="G108" s="171" t="inlineStr">
        <is>
          <t>Hasil S4 di atas</t>
        </is>
      </c>
    </row>
    <row r="109">
      <c r="A109" s="172" t="inlineStr">
        <is>
          <t>S6</t>
        </is>
      </c>
      <c r="B109" s="172" t="inlineStr">
        <is>
          <t>R-02</t>
        </is>
      </c>
      <c r="C109" s="163" t="inlineStr">
        <is>
          <t>C₂H₄(g) + HCl(g) → C₂H₅Cl(g)</t>
        </is>
      </c>
      <c r="D109" s="190">
        <f>E63</f>
        <v>-71.627</v>
      </c>
      <c r="E109" s="190" t="n">
        <v>0</v>
      </c>
      <c r="F109" s="199">
        <f>D109+E109</f>
        <v>-71.627</v>
      </c>
      <c r="G109" s="171" t="inlineStr">
        <is>
          <t>Hasil S6 di atas</t>
        </is>
      </c>
    </row>
    <row r="110">
      <c r="A110" s="172" t="inlineStr">
        <is>
          <t>R2</t>
        </is>
      </c>
      <c r="B110" s="172" t="inlineStr">
        <is>
          <t>F-101</t>
        </is>
      </c>
      <c r="C110" s="163" t="inlineStr">
        <is>
          <t>C₂H₄Cl₂(l) → C₂H₃Cl(g) + HCl(g)</t>
        </is>
      </c>
      <c r="D110" s="190">
        <f>E57</f>
        <v>60.017</v>
      </c>
      <c r="E110" s="190">
        <f>'Data Termo'!$V$20/1000</f>
        <v>35.050912416113704</v>
      </c>
      <c r="F110" s="199">
        <f>D110+E110</f>
        <v>95.0679124161137</v>
      </c>
      <c r="G110" s="171" t="inlineStr">
        <is>
          <t>Hasil R2 di atas</t>
        </is>
      </c>
    </row>
    <row r="111">
      <c r="A111" s="172" t="inlineStr">
        <is>
          <t>S8</t>
        </is>
      </c>
      <c r="B111" s="172" t="inlineStr">
        <is>
          <t>F-101</t>
        </is>
      </c>
      <c r="C111" s="163" t="inlineStr">
        <is>
          <t>2C₂H₄Cl₂(l) → C₄H₈Cl₂(l) + Cl₂(l)</t>
        </is>
      </c>
      <c r="D111" s="190">
        <f>'Data Termo'!$W$26/1000+'Data Termo'!$W$10/1000-2*'Data Termo'!$W$20/1000</f>
        <v>80.39999999999998</v>
      </c>
      <c r="E111" s="190">
        <f>2*'Data Termo'!$V$20/1000-'Data Termo'!$V$26/1000-'Data Termo'!$V$10/1000</f>
        <v>7.501853167641222</v>
      </c>
      <c r="F111" s="199">
        <f>D111+E111</f>
        <v>87.9018531676412</v>
      </c>
      <c r="G111" s="171" t="inlineStr">
        <is>
          <t>ΔH°f gas Yaws (Data Termo); data S° C₄H₈Cl₂ tidak tersedia sehingga ΔG tidak dihitung</t>
        </is>
      </c>
    </row>
    <row r="112">
      <c r="A112" s="172" t="inlineStr">
        <is>
          <t>HS</t>
        </is>
      </c>
      <c r="B112" s="172" t="inlineStr">
        <is>
          <t>Blok 3</t>
        </is>
      </c>
      <c r="C112" s="163" t="inlineStr">
        <is>
          <t>HCl(g) → HCl(aq, encer tak hingga)</t>
        </is>
      </c>
      <c r="D112" s="190">
        <f>'Data Termo'!$D$29-E18</f>
        <v>-74.90700000000001</v>
      </c>
      <c r="E112" s="190" t="n">
        <v>0</v>
      </c>
      <c r="F112" s="199">
        <f>D112+E112</f>
        <v>-74.90700000000001</v>
      </c>
      <c r="G112" s="171" t="inlineStr">
        <is>
          <t>ΔH°f HCl(aq) Data Termo dikurangi ΔH°f HCl(g) tabel di atas (panas pelarutan)</t>
        </is>
      </c>
    </row>
    <row r="113">
      <c r="A113" s="187" t="inlineStr">
        <is>
          <t>Nilai kolom ΔH°r pada reference state dipakai di baris "Heat of reaction / heat of mixing" neraca energi R-01 + E-103 (NME-1), R-02 (NME-2), Blok 3 (NME-3), dan F-101 (NME-6), dikalikan laju reaksi ξ dari neraca massa.</t>
        </is>
      </c>
    </row>
    <row r="115">
      <c r="A115" s="169" t="inlineStr">
        <is>
          <t>Referensi</t>
        </is>
      </c>
    </row>
    <row r="116">
      <c r="A116" s="200" t="inlineStr">
        <is>
          <t>No</t>
        </is>
      </c>
      <c r="B116" s="201" t="inlineStr">
        <is>
          <t>Referensi</t>
        </is>
      </c>
      <c r="C116" s="201" t="inlineStr">
        <is>
          <t>Tautan</t>
        </is>
      </c>
      <c r="D116" s="201" t="inlineStr">
        <is>
          <t>Dipakai untuk</t>
        </is>
      </c>
    </row>
    <row r="117">
      <c r="A117" s="163" t="n">
        <v>1</v>
      </c>
      <c r="B117" s="171" t="inlineStr">
        <is>
          <t>Ruscic, B., Pinzon, R. E., von Laszewski, G., Kodeboyina, D., Burcat, A., Leahy, D., Montoy, D., &amp; Wagner, A. F. (2005). Active Thermochemical Tables: Thermochemistry for the 21st century. Journal of Physics: Conference Series, 16, 561–570 (nilai ATcT versi 1.112).</t>
        </is>
      </c>
      <c r="C117" s="171" t="inlineStr">
        <is>
          <t>https://doi.org/10.1088/1742-6596/16/1/078</t>
        </is>
      </c>
      <c r="D117" s="171" t="inlineStr">
        <is>
          <t>ΔH°f gas (kecuali 1,1,2-TCE)</t>
        </is>
      </c>
    </row>
    <row r="118">
      <c r="A118" s="163" t="n">
        <v>2</v>
      </c>
      <c r="B118" s="171" t="inlineStr">
        <is>
          <t>Haynes, W. M., Bruno, T. J., &amp; Lide, D. R. (Ed.). (2014). CRC handbook of chemistry and physics (Ed. ke-95). CRC Press. Bagian 5: Standard thermodynamic properties of chemical substances.</t>
        </is>
      </c>
      <c r="D118" s="171" t="inlineStr">
        <is>
          <t>S° dan Cp grafit</t>
        </is>
      </c>
    </row>
    <row r="119">
      <c r="A119" s="163" t="n">
        <v>3</v>
      </c>
      <c r="B119" s="171" t="inlineStr">
        <is>
          <t>Linstrom, P. J., &amp; Mallard, W. G. (Ed.). (2024). NIST Chemistry WebBook, NIST Standard Reference Database Number 69. National Institute of Standards and Technology.</t>
        </is>
      </c>
      <c r="C119" s="171" t="inlineStr">
        <is>
          <t>https://doi.org/10.18434/T4D303</t>
        </is>
      </c>
      <c r="D119" s="171" t="inlineStr">
        <is>
          <t>ΔH°f cair dan 1,1,2-TCE gas; S° EDC cair</t>
        </is>
      </c>
    </row>
    <row r="120">
      <c r="A120" s="163" t="n">
        <v>4</v>
      </c>
      <c r="B120" s="171" t="inlineStr">
        <is>
          <t>Poling, B. E., Prausnitz, J. M., &amp; O'Connell, J. P. (2001). The properties of gases and liquids (Ed. ke-5). McGraw-Hill. Lampiran A: koefisien kapasitas panas gas ideal.</t>
        </is>
      </c>
      <c r="D120" s="171" t="inlineStr">
        <is>
          <t>Koefisien Cp gas ideal</t>
        </is>
      </c>
    </row>
    <row r="121">
      <c r="A121" s="163" t="n">
        <v>5</v>
      </c>
      <c r="B121" s="171" t="inlineStr">
        <is>
          <t>Frenkel, M., Kabo, G. J., Marsh, K. N., Roganov, G. N., &amp; Wilhoit, R. C. (1994). Thermodynamics of organic compounds in the gas state (Vol. 1–2). Thermodynamics Research Center.</t>
        </is>
      </c>
      <c r="D121" s="171" t="inlineStr">
        <is>
          <t>Data Cp gas VCM dan 1,1,2-TCE (diregresi)</t>
        </is>
      </c>
    </row>
    <row r="122">
      <c r="A122" s="163" t="n">
        <v>6</v>
      </c>
      <c r="B122" s="171" t="inlineStr">
        <is>
          <t>Green, D. W., &amp; Perry, R. H. (Ed.). (2008). Perry's chemical engineers' handbook (Ed. ke-8). McGraw-Hill. Tabel 2-153: Heat capacities of inorganic and organic liquids.</t>
        </is>
      </c>
      <c r="D122" s="171" t="inlineStr">
        <is>
          <t>Cp cairan EDC dan 1,1,2-TCE</t>
        </is>
      </c>
    </row>
    <row r="123">
      <c r="A123" s="163" t="n">
        <v>7</v>
      </c>
      <c r="B123" s="171" t="inlineStr">
        <is>
          <t>Smith, J. M., Van Ness, H. C., Abbott, M. M., &amp; Swihart, M. T. (2018). Introduction to chemical engineering thermodynamics (Ed. ke-8). McGraw-Hill Education. Bab 4 dan 13.</t>
        </is>
      </c>
      <c r="D123" s="171" t="inlineStr">
        <is>
          <t>Metode perhitungan</t>
        </is>
      </c>
    </row>
    <row r="124">
      <c r="A124" s="163" t="n">
        <v>8</v>
      </c>
      <c r="B124" s="171" t="inlineStr">
        <is>
          <t>Bell, C., &amp; Contributors. (t.t.). Chemicals (Versi 1.5.2): Chemical Engineering Design Library [Perangkat lunak; akses tabel data di atas].</t>
        </is>
      </c>
      <c r="C124" s="171" t="inlineStr">
        <is>
          <t>https://github.com/CalebBell/chemicals</t>
        </is>
      </c>
      <c r="D124" s="171" t="inlineStr">
        <is>
          <t>Akses data digital</t>
        </is>
      </c>
    </row>
  </sheetData>
  <mergeCells count="23">
    <mergeCell ref="A97:D97"/>
    <mergeCell ref="A35:D35"/>
    <mergeCell ref="A100:D100"/>
    <mergeCell ref="A38:D38"/>
    <mergeCell ref="A96:D96"/>
    <mergeCell ref="A68:D68"/>
    <mergeCell ref="A1:T1"/>
    <mergeCell ref="A40:D40"/>
    <mergeCell ref="A13:P13"/>
    <mergeCell ref="A31:P31"/>
    <mergeCell ref="A39:D39"/>
    <mergeCell ref="A98:D98"/>
    <mergeCell ref="A36:D36"/>
    <mergeCell ref="A66:T66"/>
    <mergeCell ref="A94:D94"/>
    <mergeCell ref="A76:E76"/>
    <mergeCell ref="A41:D41"/>
    <mergeCell ref="A33:T33"/>
    <mergeCell ref="A99:D99"/>
    <mergeCell ref="A37:D37"/>
    <mergeCell ref="A3:D3"/>
    <mergeCell ref="A53:T53"/>
    <mergeCell ref="A95:D9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3:U258"/>
  <sheetViews>
    <sheetView tabSelected="0" zoomScale="85"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</cols>
  <sheetData>
    <row r="3">
      <c r="A3" s="169" t="inlineStr">
        <is>
          <t>Neraca Massa dan Energi</t>
        </is>
      </c>
    </row>
    <row r="4">
      <c r="A4" s="169" t="inlineStr">
        <is>
          <t>NM Blok 1: Klorinasi Langsung (R-01 + Kondensor Vent)</t>
        </is>
      </c>
    </row>
    <row r="5">
      <c r="A5" s="202" t="inlineStr">
        <is>
          <t>Tujuan:</t>
        </is>
      </c>
      <c r="B5" s="187" t="inlineStr">
        <is>
          <t>Mereaksikan etilena dan klorin menjadi EDC, lalu memisahkan gas vent dari EDC kasar cair</t>
        </is>
      </c>
    </row>
    <row r="6">
      <c r="A6" s="202" t="inlineStr">
        <is>
          <t>Unjuk Kerja</t>
        </is>
      </c>
      <c r="B6" s="203">
        <f>1-0.0001</f>
        <v>0.9999</v>
      </c>
      <c r="C6" s="187" t="inlineStr">
        <is>
          <t>Konversi Cl₂</t>
        </is>
      </c>
    </row>
    <row r="7">
      <c r="B7" s="204">
        <f>300/1000000</f>
        <v>0.0003</v>
      </c>
      <c r="C7" s="187" t="inlineStr">
        <is>
          <t>Kadar 1,1,2-trikloroetana dalam EDC produk (fraksi berat)</t>
        </is>
      </c>
    </row>
    <row r="8">
      <c r="B8" s="205" t="n">
        <v>1.004</v>
      </c>
      <c r="C8" s="187" t="inlineStr">
        <is>
          <t>Rasio mol umpan C₂H₄/Cl₂</t>
        </is>
      </c>
    </row>
    <row r="9">
      <c r="B9" s="204">
        <f>200/1000000</f>
        <v>0.0002</v>
      </c>
      <c r="C9" s="187" t="inlineStr">
        <is>
          <t>Kadar FeCl₃ terlarut dalam EDC (fraksi berat)</t>
        </is>
      </c>
    </row>
    <row r="10">
      <c r="B10" s="206">
        <f>1.08/1000</f>
        <v>0.00108</v>
      </c>
      <c r="C10" s="187" t="inlineStr">
        <is>
          <t>EDC terbawa gas vent R-01 (kg/kg EDC R-01 + R-02)</t>
        </is>
      </c>
    </row>
    <row r="11">
      <c r="B11" s="207" t="n">
        <v>11</v>
      </c>
      <c r="C11" s="187" t="inlineStr">
        <is>
          <t>Superheat minimum uap Cl₂ keluar E-101 (K)</t>
        </is>
      </c>
    </row>
    <row r="13">
      <c r="A13" s="202" t="inlineStr">
        <is>
          <t>Basis Perhitungan</t>
        </is>
      </c>
      <c r="B13" s="208" t="n">
        <v>200000</v>
      </c>
      <c r="C13" s="187" t="inlineStr">
        <is>
          <t>t/tahun kapasitas VCM produk</t>
        </is>
      </c>
    </row>
    <row r="14">
      <c r="B14" s="208" t="n">
        <v>7920</v>
      </c>
      <c r="C14" s="187" t="inlineStr">
        <is>
          <t>jam/tahun waktu operasi</t>
        </is>
      </c>
    </row>
    <row r="15">
      <c r="B15" s="209">
        <f>B13*1000/B14</f>
        <v>25252.52525252525</v>
      </c>
      <c r="C15" s="187" t="inlineStr">
        <is>
          <t>kg/h target VCM produk</t>
        </is>
      </c>
    </row>
    <row r="16">
      <c r="B16" s="209">
        <f>IFERROR(IF(OR(B16&lt;1,'NME-8 Kolom VCM'!G37&lt;=0),$B$15/4.14,B16*$B$15/'NME-8 Kolom VCM'!G37),$B$15/4.14)</f>
        <v>6100.572183061604</v>
      </c>
      <c r="C16" s="187" t="inlineStr">
        <is>
          <t>kg/h aliran etilena ke R-01 (dikoreksi iterasi sampai VCM produk = target)</t>
        </is>
      </c>
    </row>
    <row r="18">
      <c r="A18" s="162" t="inlineStr">
        <is>
          <t>Substance</t>
        </is>
      </c>
      <c r="B18" s="162" t="inlineStr">
        <is>
          <t>Inlet</t>
        </is>
      </c>
      <c r="C18" s="210" t="n"/>
      <c r="D18" s="210" t="n"/>
      <c r="E18" s="210" t="n"/>
      <c r="F18" s="210" t="n"/>
      <c r="G18" s="210" t="n"/>
      <c r="H18" s="210" t="n"/>
      <c r="I18" s="210" t="n"/>
      <c r="J18" s="210" t="n"/>
      <c r="K18" s="210" t="n"/>
      <c r="L18" s="210" t="n"/>
      <c r="M18" s="211" t="n"/>
      <c r="N18" s="162" t="inlineStr">
        <is>
          <t>Outlet</t>
        </is>
      </c>
      <c r="O18" s="210" t="n"/>
      <c r="P18" s="210" t="n"/>
      <c r="Q18" s="210" t="n"/>
      <c r="R18" s="210" t="n"/>
      <c r="S18" s="210" t="n"/>
      <c r="T18" s="210" t="n"/>
      <c r="U18" s="211" t="n"/>
    </row>
    <row r="19">
      <c r="A19" s="212" t="n"/>
      <c r="B19" s="162" t="inlineStr">
        <is>
          <t>Aliran 3</t>
        </is>
      </c>
      <c r="C19" s="210" t="n"/>
      <c r="D19" s="210" t="n"/>
      <c r="E19" s="211" t="n"/>
      <c r="F19" s="162" t="inlineStr">
        <is>
          <t>Aliran 8</t>
        </is>
      </c>
      <c r="G19" s="210" t="n"/>
      <c r="H19" s="210" t="n"/>
      <c r="I19" s="211" t="n"/>
      <c r="J19" s="162" t="inlineStr">
        <is>
          <t>Aliran 10</t>
        </is>
      </c>
      <c r="K19" s="210" t="n"/>
      <c r="L19" s="210" t="n"/>
      <c r="M19" s="211" t="n"/>
      <c r="N19" s="162" t="inlineStr">
        <is>
          <t>Aliran 14</t>
        </is>
      </c>
      <c r="O19" s="210" t="n"/>
      <c r="P19" s="210" t="n"/>
      <c r="Q19" s="211" t="n"/>
      <c r="R19" s="162" t="inlineStr">
        <is>
          <t>Aliran 13</t>
        </is>
      </c>
      <c r="S19" s="210" t="n"/>
      <c r="T19" s="210" t="n"/>
      <c r="U19" s="211" t="n"/>
    </row>
    <row r="20">
      <c r="A20" s="213" t="n"/>
      <c r="B20" s="214" t="inlineStr">
        <is>
          <t>ẋᵢ</t>
        </is>
      </c>
      <c r="C20" s="214" t="inlineStr">
        <is>
          <t>ṁᵢ (kg/h)</t>
        </is>
      </c>
      <c r="D20" s="214" t="inlineStr">
        <is>
          <t>ẏᵢ</t>
        </is>
      </c>
      <c r="E20" s="214" t="inlineStr">
        <is>
          <t>ṅᵢ (kmol/h)</t>
        </is>
      </c>
      <c r="F20" s="214" t="inlineStr">
        <is>
          <t>ẋᵢ</t>
        </is>
      </c>
      <c r="G20" s="214" t="inlineStr">
        <is>
          <t>ṁᵢ (kg/h)</t>
        </is>
      </c>
      <c r="H20" s="214" t="inlineStr">
        <is>
          <t>ẏᵢ</t>
        </is>
      </c>
      <c r="I20" s="214" t="inlineStr">
        <is>
          <t>ṅᵢ (kmol/h)</t>
        </is>
      </c>
      <c r="J20" s="214" t="inlineStr">
        <is>
          <t>ẋᵢ</t>
        </is>
      </c>
      <c r="K20" s="214" t="inlineStr">
        <is>
          <t>ṁᵢ (kg/h)</t>
        </is>
      </c>
      <c r="L20" s="214" t="inlineStr">
        <is>
          <t>ẏᵢ</t>
        </is>
      </c>
      <c r="M20" s="214" t="inlineStr">
        <is>
          <t>ṅᵢ (kmol/h)</t>
        </is>
      </c>
      <c r="N20" s="214" t="inlineStr">
        <is>
          <t>ẋᵢ</t>
        </is>
      </c>
      <c r="O20" s="214" t="inlineStr">
        <is>
          <t>ṁᵢ (kg/h)</t>
        </is>
      </c>
      <c r="P20" s="214" t="inlineStr">
        <is>
          <t>ẏᵢ</t>
        </is>
      </c>
      <c r="Q20" s="214" t="inlineStr">
        <is>
          <t>ṅᵢ (kmol/h)</t>
        </is>
      </c>
      <c r="R20" s="214" t="inlineStr">
        <is>
          <t>ẋᵢ</t>
        </is>
      </c>
      <c r="S20" s="214" t="inlineStr">
        <is>
          <t>ṁᵢ (kg/h)</t>
        </is>
      </c>
      <c r="T20" s="214" t="inlineStr">
        <is>
          <t>ẏᵢ</t>
        </is>
      </c>
      <c r="U20" s="214" t="inlineStr">
        <is>
          <t>ṅᵢ (kmol/h)</t>
        </is>
      </c>
    </row>
    <row r="21">
      <c r="A21" s="163" t="inlineStr">
        <is>
          <t>C₂H₄</t>
        </is>
      </c>
      <c r="B21" s="189">
        <f>C21/C$42</f>
        <v>0.0</v>
      </c>
      <c r="C21" s="215">
        <f>E21*'Data Komponen'!$D$3</f>
        <v>0.0</v>
      </c>
      <c r="D21" s="189">
        <f>E21/E$42</f>
        <v>0.0</v>
      </c>
      <c r="E21" s="216">
        <f>0</f>
        <v>0.0</v>
      </c>
      <c r="F21" s="189">
        <f>G21/G$42</f>
        <v>0.9997510491011944</v>
      </c>
      <c r="G21" s="215">
        <f>I21*'Data Komponen'!$D$3</f>
        <v>6099.053440133403</v>
      </c>
      <c r="H21" s="189">
        <f>I21/I$42</f>
        <v>0.9995782904805011</v>
      </c>
      <c r="I21" s="216">
        <f>$B$16*'T-102'!$X$3/'Data Komponen'!$D$3</f>
        <v>217.4040578931134</v>
      </c>
      <c r="J21" s="189">
        <f>K21/K$42</f>
        <v>0.0</v>
      </c>
      <c r="K21" s="215">
        <f>M21*'Data Komponen'!$D$3</f>
        <v>0.0</v>
      </c>
      <c r="L21" s="189">
        <f>M21/M$42</f>
        <v>0.0</v>
      </c>
      <c r="M21" s="216">
        <f>0</f>
        <v>0.0</v>
      </c>
      <c r="N21" s="189">
        <f>O21/O$42</f>
        <v>0.0</v>
      </c>
      <c r="O21" s="215">
        <f>Q21*'Data Komponen'!$D$3</f>
        <v>0.0</v>
      </c>
      <c r="P21" s="189">
        <f>Q21/Q$42</f>
        <v>0.0</v>
      </c>
      <c r="Q21" s="216">
        <f>0</f>
        <v>0.0</v>
      </c>
      <c r="R21" s="189">
        <f>S21/S$42</f>
        <v>0.26960249724269125</v>
      </c>
      <c r="S21" s="215">
        <f>U21*'Data Komponen'!$D$3</f>
        <v>26.25804664787654</v>
      </c>
      <c r="T21" s="189">
        <f>U21/U$42</f>
        <v>0.388794510258521</v>
      </c>
      <c r="U21" s="216">
        <f>I21-($B$6*E25-Q36)</f>
        <v>0.9359822716146198</v>
      </c>
    </row>
    <row r="22">
      <c r="A22" s="163" t="inlineStr">
        <is>
          <t>CH₄</t>
        </is>
      </c>
      <c r="B22" s="189">
        <f>C22/C$42</f>
        <v>0.0</v>
      </c>
      <c r="C22" s="215">
        <f>E22*'Data Komponen'!$D$4</f>
        <v>0.0</v>
      </c>
      <c r="D22" s="189">
        <f>E22/E$42</f>
        <v>0.0</v>
      </c>
      <c r="E22" s="216">
        <f>0</f>
        <v>0.0</v>
      </c>
      <c r="F22" s="189">
        <f>G22/G$42</f>
        <v>0.00023148056299512865</v>
      </c>
      <c r="G22" s="215">
        <f>I22*'Data Komponen'!$D$4</f>
        <v>1.4121638835275212</v>
      </c>
      <c r="H22" s="189">
        <f>I22/I$42</f>
        <v>0.00040471442673247</v>
      </c>
      <c r="I22" s="216">
        <f>$B$16*'T-102'!$X$4/'Data Komponen'!$D$4</f>
        <v>0.0880236790829347</v>
      </c>
      <c r="J22" s="189">
        <f>K22/K$42</f>
        <v>0.0</v>
      </c>
      <c r="K22" s="215">
        <f>M22*'Data Komponen'!$D$4</f>
        <v>0.0</v>
      </c>
      <c r="L22" s="189">
        <f>M22/M$42</f>
        <v>0.0</v>
      </c>
      <c r="M22" s="216">
        <f>0</f>
        <v>0.0</v>
      </c>
      <c r="N22" s="189">
        <f>O22/O$42</f>
        <v>0.0</v>
      </c>
      <c r="O22" s="215">
        <f>Q22*'Data Komponen'!$D$4</f>
        <v>0.0</v>
      </c>
      <c r="P22" s="189">
        <f>Q22/Q$42</f>
        <v>0.0</v>
      </c>
      <c r="Q22" s="216">
        <f>0</f>
        <v>0.0</v>
      </c>
      <c r="R22" s="189">
        <f>S22/S$42</f>
        <v>0.014499285290352904</v>
      </c>
      <c r="S22" s="215">
        <f>U22*'Data Komponen'!$D$4</f>
        <v>1.4121638835275212</v>
      </c>
      <c r="T22" s="189">
        <f>U22/U$42</f>
        <v>0.036563858352964405</v>
      </c>
      <c r="U22" s="216">
        <f>I22</f>
        <v>0.0880236790829347</v>
      </c>
    </row>
    <row r="23">
      <c r="A23" s="163" t="inlineStr">
        <is>
          <t>C₂H₆</t>
        </is>
      </c>
      <c r="B23" s="189">
        <f>C23/C$42</f>
        <v>0.0</v>
      </c>
      <c r="C23" s="215">
        <f>E23*'Data Komponen'!$D$5</f>
        <v>0.0</v>
      </c>
      <c r="D23" s="189">
        <f>E23/E$42</f>
        <v>0.0</v>
      </c>
      <c r="E23" s="216">
        <f>0</f>
        <v>0.0</v>
      </c>
      <c r="F23" s="189">
        <f>G23/G$42</f>
        <v>1.2632145720107967e-05</v>
      </c>
      <c r="G23" s="215">
        <f>I23*'Data Komponen'!$D$5</f>
        <v>0.07706331679247136</v>
      </c>
      <c r="H23" s="189">
        <f>I23/I$42</f>
        <v>1.1783205128162842e-05</v>
      </c>
      <c r="I23" s="216">
        <f>$B$16*'T-102'!$X$5/'Data Komponen'!$D$5</f>
        <v>0.0025627973658952897</v>
      </c>
      <c r="J23" s="189">
        <f>K23/K$42</f>
        <v>0.0</v>
      </c>
      <c r="K23" s="215">
        <f>M23*'Data Komponen'!$D$5</f>
        <v>0.0</v>
      </c>
      <c r="L23" s="189">
        <f>M23/M$42</f>
        <v>0.0</v>
      </c>
      <c r="M23" s="216">
        <f>0</f>
        <v>0.0</v>
      </c>
      <c r="N23" s="189">
        <f>O23/O$42</f>
        <v>0.0</v>
      </c>
      <c r="O23" s="215">
        <f>Q23*'Data Komponen'!$D$5</f>
        <v>0.0</v>
      </c>
      <c r="P23" s="189">
        <f>Q23/Q$42</f>
        <v>0.0</v>
      </c>
      <c r="Q23" s="216">
        <f>0</f>
        <v>0.0</v>
      </c>
      <c r="R23" s="189">
        <f>S23/S$42</f>
        <v>0.0007912417451179702</v>
      </c>
      <c r="S23" s="215">
        <f>U23*'Data Komponen'!$D$5</f>
        <v>0.07706331679247136</v>
      </c>
      <c r="T23" s="189">
        <f>U23/U$42</f>
        <v>0.001064551730286772</v>
      </c>
      <c r="U23" s="216">
        <f>I23</f>
        <v>0.0025627973658952897</v>
      </c>
    </row>
    <row r="24">
      <c r="A24" s="163" t="inlineStr">
        <is>
          <t>C₂H₂</t>
        </is>
      </c>
      <c r="B24" s="189">
        <f>C24/C$42</f>
        <v>0.0</v>
      </c>
      <c r="C24" s="215">
        <f>E24*'Data Komponen'!$D$6</f>
        <v>0.0</v>
      </c>
      <c r="D24" s="189">
        <f>E24/E$42</f>
        <v>0.0</v>
      </c>
      <c r="E24" s="216">
        <f>0</f>
        <v>0.0</v>
      </c>
      <c r="F24" s="189">
        <f>G24/G$42</f>
        <v>4.838190090320133e-06</v>
      </c>
      <c r="G24" s="215">
        <f>I24*'Data Komponen'!$D$6</f>
        <v>0.02951572788137131</v>
      </c>
      <c r="H24" s="189">
        <f>I24/I$42</f>
        <v>5.211887638306142e-06</v>
      </c>
      <c r="I24" s="216">
        <f>$B$16*'T-102'!$X$6/'Data Komponen'!$D$6</f>
        <v>0.0011335635563933986</v>
      </c>
      <c r="J24" s="189">
        <f>K24/K$42</f>
        <v>0.0</v>
      </c>
      <c r="K24" s="215">
        <f>M24*'Data Komponen'!$D$6</f>
        <v>0.0</v>
      </c>
      <c r="L24" s="189">
        <f>M24/M$42</f>
        <v>0.0</v>
      </c>
      <c r="M24" s="216">
        <f>0</f>
        <v>0.0</v>
      </c>
      <c r="N24" s="189">
        <f>O24/O$42</f>
        <v>0.0</v>
      </c>
      <c r="O24" s="215">
        <f>Q24*'Data Komponen'!$D$6</f>
        <v>0.0</v>
      </c>
      <c r="P24" s="189">
        <f>Q24/Q$42</f>
        <v>0.0</v>
      </c>
      <c r="Q24" s="216">
        <f>0</f>
        <v>0.0</v>
      </c>
      <c r="R24" s="189">
        <f>S24/S$42</f>
        <v>0.00030305049158700273</v>
      </c>
      <c r="S24" s="215">
        <f>U24*'Data Komponen'!$D$6</f>
        <v>0.02951572788137131</v>
      </c>
      <c r="T24" s="189">
        <f>U24/U$42</f>
        <v>0.00047086713191117114</v>
      </c>
      <c r="U24" s="216">
        <f>I24</f>
        <v>0.0011335635563933986</v>
      </c>
    </row>
    <row r="25">
      <c r="A25" s="163" t="inlineStr">
        <is>
          <t>Cl₂</t>
        </is>
      </c>
      <c r="B25" s="189">
        <f>C25/C$42</f>
        <v>0.9984710000000001</v>
      </c>
      <c r="C25" s="215">
        <f>E25*'Data Komponen'!$D$7</f>
        <v>15353.620243935302</v>
      </c>
      <c r="D25" s="189">
        <f>E25/E$42</f>
        <v>0.9959519296751161</v>
      </c>
      <c r="E25" s="216">
        <f>I21/$B$8</f>
        <v>216.5379062680412</v>
      </c>
      <c r="F25" s="189">
        <f>G25/G$42</f>
        <v>0.0</v>
      </c>
      <c r="G25" s="215">
        <f>I25*'Data Komponen'!$D$7</f>
        <v>0.0</v>
      </c>
      <c r="H25" s="189">
        <f>I25/I$42</f>
        <v>0.0</v>
      </c>
      <c r="I25" s="216">
        <f>0</f>
        <v>0.0</v>
      </c>
      <c r="J25" s="189">
        <f>K25/K$42</f>
        <v>0.0</v>
      </c>
      <c r="K25" s="215">
        <f>M25*'Data Komponen'!$D$7</f>
        <v>0.0</v>
      </c>
      <c r="L25" s="189">
        <f>M25/M$42</f>
        <v>0.0</v>
      </c>
      <c r="M25" s="216">
        <f>0</f>
        <v>0.0</v>
      </c>
      <c r="N25" s="189">
        <f>O25/O$42</f>
        <v>0.0</v>
      </c>
      <c r="O25" s="215">
        <f>Q25*'Data Komponen'!$D$7</f>
        <v>0.0</v>
      </c>
      <c r="P25" s="189">
        <f>Q25/Q$42</f>
        <v>0.0</v>
      </c>
      <c r="Q25" s="216">
        <f>0</f>
        <v>0.0</v>
      </c>
      <c r="R25" s="189">
        <f>S25/S$42</f>
        <v>0.01576421283346006</v>
      </c>
      <c r="S25" s="215">
        <f>U25*'Data Komponen'!$D$7</f>
        <v>1.535362024393377</v>
      </c>
      <c r="T25" s="189">
        <f>U25/U$42</f>
        <v>0.008994694854064834</v>
      </c>
      <c r="U25" s="216">
        <f>E25*(1-$B$6)</f>
        <v>0.021653790626801735</v>
      </c>
    </row>
    <row r="26">
      <c r="A26" s="163" t="inlineStr">
        <is>
          <t>CₙHₘ</t>
        </is>
      </c>
      <c r="B26" s="189">
        <f>C26/C$42</f>
        <v>4.000000000000001e-06</v>
      </c>
      <c r="C26" s="215">
        <f>E26*'Data Komponen'!$D$8</f>
        <v>0.06150852751431059</v>
      </c>
      <c r="D26" s="189">
        <f>E26/E$42</f>
        <v>1.7634136208577787e-05</v>
      </c>
      <c r="E26" s="216">
        <f>'T-101'!$B$2/'T-101'!$B$11*C25/'Data Komponen'!$D$8</f>
        <v>0.0038339791506769674</v>
      </c>
      <c r="F26" s="189">
        <f>G26/G$42</f>
        <v>0.0</v>
      </c>
      <c r="G26" s="215">
        <f>I26*'Data Komponen'!$D$8</f>
        <v>0.0</v>
      </c>
      <c r="H26" s="189">
        <f>I26/I$42</f>
        <v>0.0</v>
      </c>
      <c r="I26" s="216">
        <f>0</f>
        <v>0.0</v>
      </c>
      <c r="J26" s="189">
        <f>K26/K$42</f>
        <v>0.0</v>
      </c>
      <c r="K26" s="215">
        <f>M26*'Data Komponen'!$D$8</f>
        <v>0.0</v>
      </c>
      <c r="L26" s="189">
        <f>M26/M$42</f>
        <v>0.0</v>
      </c>
      <c r="M26" s="216">
        <f>0</f>
        <v>0.0</v>
      </c>
      <c r="N26" s="189">
        <f>O26/O$42</f>
        <v>0.0</v>
      </c>
      <c r="O26" s="215">
        <f>Q26*'Data Komponen'!$D$8</f>
        <v>0.0</v>
      </c>
      <c r="P26" s="189">
        <f>Q26/Q$42</f>
        <v>0.0</v>
      </c>
      <c r="Q26" s="216">
        <f>0</f>
        <v>0.0</v>
      </c>
      <c r="R26" s="189">
        <f>S26/S$42</f>
        <v>0.0006315341290217396</v>
      </c>
      <c r="S26" s="215">
        <f>U26*'Data Komponen'!$D$8</f>
        <v>0.06150852751431059</v>
      </c>
      <c r="T26" s="189">
        <f>U26/U$42</f>
        <v>0.0015925836326551516</v>
      </c>
      <c r="U26" s="216">
        <f>E26</f>
        <v>0.0038339791506769674</v>
      </c>
    </row>
    <row r="27">
      <c r="A27" s="163" t="inlineStr">
        <is>
          <t>H₂O</t>
        </is>
      </c>
      <c r="B27" s="189">
        <f>C27/C$42</f>
        <v>1.2e-05</v>
      </c>
      <c r="C27" s="215">
        <f>E27*'Data Komponen'!$D$9</f>
        <v>0.18452558254293175</v>
      </c>
      <c r="D27" s="189">
        <f>E27/E$42</f>
        <v>4.711148163100973e-05</v>
      </c>
      <c r="E27" s="216">
        <f>'T-101'!$B$3/'T-101'!$B$11*C25/'Data Komponen'!$D$9</f>
        <v>0.010242885514456384</v>
      </c>
      <c r="F27" s="189">
        <f>G27/G$42</f>
        <v>0.0</v>
      </c>
      <c r="G27" s="215">
        <f>I27*'Data Komponen'!$D$9</f>
        <v>0.0</v>
      </c>
      <c r="H27" s="189">
        <f>I27/I$42</f>
        <v>0.0</v>
      </c>
      <c r="I27" s="216">
        <f>0</f>
        <v>0.0</v>
      </c>
      <c r="J27" s="189">
        <f>K27/K$42</f>
        <v>0.0</v>
      </c>
      <c r="K27" s="215">
        <f>M27*'Data Komponen'!$D$9</f>
        <v>0.0</v>
      </c>
      <c r="L27" s="189">
        <f>M27/M$42</f>
        <v>0.0</v>
      </c>
      <c r="M27" s="216">
        <f>0</f>
        <v>0.0</v>
      </c>
      <c r="N27" s="189">
        <f>O27/O$42</f>
        <v>8.628902591260031e-06</v>
      </c>
      <c r="O27" s="215">
        <f>Q27*'Data Komponen'!$D$9</f>
        <v>0.18452558254293175</v>
      </c>
      <c r="P27" s="189">
        <f>Q27/Q$42</f>
        <v>4.740655339016245e-05</v>
      </c>
      <c r="Q27" s="216">
        <f>E27</f>
        <v>0.010242885514456384</v>
      </c>
      <c r="R27" s="189">
        <f>S27/S$42</f>
        <v>0.0</v>
      </c>
      <c r="S27" s="215">
        <f>U27*'Data Komponen'!$D$9</f>
        <v>0.0</v>
      </c>
      <c r="T27" s="189">
        <f>U27/U$42</f>
        <v>0.0</v>
      </c>
      <c r="U27" s="216">
        <f>0</f>
        <v>0.0</v>
      </c>
    </row>
    <row r="28">
      <c r="A28" s="163" t="inlineStr">
        <is>
          <t>CₓHᵧCl</t>
        </is>
      </c>
      <c r="B28" s="189">
        <f>C28/C$42</f>
        <v>8.000000000000001e-06</v>
      </c>
      <c r="C28" s="215">
        <f>E28*'Data Komponen'!$D$10</f>
        <v>0.12301705502862118</v>
      </c>
      <c r="D28" s="189">
        <f>E28/E$42</f>
        <v>1.1206799524410293e-05</v>
      </c>
      <c r="E28" s="216">
        <f>'T-101'!$B$4/'T-101'!$B$11*C25/'Data Komponen'!$D$10</f>
        <v>0.0024365602723146326</v>
      </c>
      <c r="F28" s="189">
        <f>G28/G$42</f>
        <v>0.0</v>
      </c>
      <c r="G28" s="215">
        <f>I28*'Data Komponen'!$D$10</f>
        <v>0.0</v>
      </c>
      <c r="H28" s="189">
        <f>I28/I$42</f>
        <v>0.0</v>
      </c>
      <c r="I28" s="216">
        <f>0</f>
        <v>0.0</v>
      </c>
      <c r="J28" s="189">
        <f>K28/K$42</f>
        <v>0.0</v>
      </c>
      <c r="K28" s="215">
        <f>M28*'Data Komponen'!$D$10</f>
        <v>0.0</v>
      </c>
      <c r="L28" s="189">
        <f>M28/M$42</f>
        <v>0.0</v>
      </c>
      <c r="M28" s="216">
        <f>0</f>
        <v>0.0</v>
      </c>
      <c r="N28" s="189">
        <f>O28/O$42</f>
        <v>0.0</v>
      </c>
      <c r="O28" s="215">
        <f>Q28*'Data Komponen'!$D$10</f>
        <v>0.0</v>
      </c>
      <c r="P28" s="189">
        <f>Q28/Q$42</f>
        <v>0.0</v>
      </c>
      <c r="Q28" s="216">
        <f>0</f>
        <v>0.0</v>
      </c>
      <c r="R28" s="189">
        <f>S28/S$42</f>
        <v>0.0012630682580434792</v>
      </c>
      <c r="S28" s="215">
        <f>U28*'Data Komponen'!$D$10</f>
        <v>0.12301705502862118</v>
      </c>
      <c r="T28" s="189">
        <f>U28/U$42</f>
        <v>0.0010121145309256298</v>
      </c>
      <c r="U28" s="216">
        <f>E28</f>
        <v>0.0024365602723146326</v>
      </c>
    </row>
    <row r="29">
      <c r="A29" s="163" t="inlineStr">
        <is>
          <t>Br₂</t>
        </is>
      </c>
      <c r="B29" s="189">
        <f>C29/C$42</f>
        <v>9e-05</v>
      </c>
      <c r="C29" s="215">
        <f>E29*'Data Komponen'!$D$11</f>
        <v>1.3839418690719882</v>
      </c>
      <c r="D29" s="189">
        <f>E29/E$42</f>
        <v>3.983123536912922e-05</v>
      </c>
      <c r="E29" s="216">
        <f>'T-101'!$B$5/'T-101'!$B$11*C25/'Data Komponen'!$D$11</f>
        <v>0.008660028716159318</v>
      </c>
      <c r="F29" s="189">
        <f>G29/G$42</f>
        <v>0.0</v>
      </c>
      <c r="G29" s="215">
        <f>I29*'Data Komponen'!$D$11</f>
        <v>0.0</v>
      </c>
      <c r="H29" s="189">
        <f>I29/I$42</f>
        <v>0.0</v>
      </c>
      <c r="I29" s="216">
        <f>0</f>
        <v>0.0</v>
      </c>
      <c r="J29" s="189">
        <f>K29/K$42</f>
        <v>0.0</v>
      </c>
      <c r="K29" s="215">
        <f>M29*'Data Komponen'!$D$11</f>
        <v>0.0</v>
      </c>
      <c r="L29" s="189">
        <f>M29/M$42</f>
        <v>0.0</v>
      </c>
      <c r="M29" s="216">
        <f>0</f>
        <v>0.0</v>
      </c>
      <c r="N29" s="189">
        <f>O29/O$42</f>
        <v>6.471676943445024e-05</v>
      </c>
      <c r="O29" s="215">
        <f>Q29*'Data Komponen'!$D$11</f>
        <v>1.3839418690719882</v>
      </c>
      <c r="P29" s="189">
        <f>Q29/Q$42</f>
        <v>4.0080709006609956e-05</v>
      </c>
      <c r="Q29" s="216">
        <f>E29</f>
        <v>0.008660028716159318</v>
      </c>
      <c r="R29" s="189">
        <f>S29/S$42</f>
        <v>0.0</v>
      </c>
      <c r="S29" s="215">
        <f>U29*'Data Komponen'!$D$11</f>
        <v>0.0</v>
      </c>
      <c r="T29" s="189">
        <f>U29/U$42</f>
        <v>0.0</v>
      </c>
      <c r="U29" s="216">
        <f>0</f>
        <v>0.0</v>
      </c>
    </row>
    <row r="30">
      <c r="A30" s="163" t="inlineStr">
        <is>
          <t>NCl₃</t>
        </is>
      </c>
      <c r="B30" s="189">
        <f>C30/C$42</f>
        <v>5.000000000000001e-06</v>
      </c>
      <c r="C30" s="215">
        <f>E30*'Data Komponen'!$D$12</f>
        <v>0.07688565939288824</v>
      </c>
      <c r="D30" s="189">
        <f>E30/E$42</f>
        <v>2.9379849540378585e-06</v>
      </c>
      <c r="E30" s="216">
        <f>'T-101'!$B$6/'T-101'!$B$11*C25/'Data Komponen'!$D$12</f>
        <v>0.0006387709001195385</v>
      </c>
      <c r="F30" s="189">
        <f>G30/G$42</f>
        <v>0.0</v>
      </c>
      <c r="G30" s="215">
        <f>I30*'Data Komponen'!$D$12</f>
        <v>0.0</v>
      </c>
      <c r="H30" s="189">
        <f>I30/I$42</f>
        <v>0.0</v>
      </c>
      <c r="I30" s="216">
        <f>0</f>
        <v>0.0</v>
      </c>
      <c r="J30" s="189">
        <f>K30/K$42</f>
        <v>0.0</v>
      </c>
      <c r="K30" s="215">
        <f>M30*'Data Komponen'!$D$12</f>
        <v>0.0</v>
      </c>
      <c r="L30" s="189">
        <f>M30/M$42</f>
        <v>0.0</v>
      </c>
      <c r="M30" s="216">
        <f>0</f>
        <v>0.0</v>
      </c>
      <c r="N30" s="189">
        <f>O30/O$42</f>
        <v>3.5953760796916804e-06</v>
      </c>
      <c r="O30" s="215">
        <f>Q30*'Data Komponen'!$D$12</f>
        <v>0.07688565939288824</v>
      </c>
      <c r="P30" s="189">
        <f>Q30/Q$42</f>
        <v>2.956386336434237e-06</v>
      </c>
      <c r="Q30" s="216">
        <f>E30</f>
        <v>0.0006387709001195385</v>
      </c>
      <c r="R30" s="189">
        <f>S30/S$42</f>
        <v>0.0</v>
      </c>
      <c r="S30" s="215">
        <f>U30*'Data Komponen'!$D$12</f>
        <v>0.0</v>
      </c>
      <c r="T30" s="189">
        <f>U30/U$42</f>
        <v>0.0</v>
      </c>
      <c r="U30" s="216">
        <f>0</f>
        <v>0.0</v>
      </c>
    </row>
    <row r="31">
      <c r="A31" s="163" t="inlineStr">
        <is>
          <t>H₂</t>
        </is>
      </c>
      <c r="B31" s="189">
        <f>C31/C$42</f>
        <v>3.0000000000000004e-05</v>
      </c>
      <c r="C31" s="215">
        <f>E31*'Data Komponen'!$D$13</f>
        <v>0.4613139563573294</v>
      </c>
      <c r="D31" s="189">
        <f>E31/E$42</f>
        <v>0.001052471901764187</v>
      </c>
      <c r="E31" s="216">
        <f>'T-101'!$B$7/'T-101'!$B$11*C25/'Data Komponen'!$D$13</f>
        <v>0.2288263672407388</v>
      </c>
      <c r="F31" s="189">
        <f>G31/G$42</f>
        <v>0.0</v>
      </c>
      <c r="G31" s="215">
        <f>I31*'Data Komponen'!$D$13</f>
        <v>0.0</v>
      </c>
      <c r="H31" s="189">
        <f>I31/I$42</f>
        <v>0.0</v>
      </c>
      <c r="I31" s="216">
        <f>0</f>
        <v>0.0</v>
      </c>
      <c r="J31" s="189">
        <f>K31/K$42</f>
        <v>0.0</v>
      </c>
      <c r="K31" s="215">
        <f>M31*'Data Komponen'!$D$13</f>
        <v>0.0</v>
      </c>
      <c r="L31" s="189">
        <f>M31/M$42</f>
        <v>0.0</v>
      </c>
      <c r="M31" s="216">
        <f>0</f>
        <v>0.0</v>
      </c>
      <c r="N31" s="189">
        <f>O31/O$42</f>
        <v>0.0</v>
      </c>
      <c r="O31" s="215">
        <f>Q31*'Data Komponen'!$D$13</f>
        <v>0.0</v>
      </c>
      <c r="P31" s="189">
        <f>Q31/Q$42</f>
        <v>0.0</v>
      </c>
      <c r="Q31" s="216">
        <f>0</f>
        <v>0.0</v>
      </c>
      <c r="R31" s="189">
        <f>S31/S$42</f>
        <v>0.004736505967663047</v>
      </c>
      <c r="S31" s="215">
        <f>U31*'Data Komponen'!$D$13</f>
        <v>0.4613139563573294</v>
      </c>
      <c r="T31" s="189">
        <f>U31/U$42</f>
        <v>0.0950514107838043</v>
      </c>
      <c r="U31" s="216">
        <f>E31</f>
        <v>0.2288263672407388</v>
      </c>
    </row>
    <row r="32">
      <c r="A32" s="163" t="inlineStr">
        <is>
          <t>O₂</t>
        </is>
      </c>
      <c r="B32" s="189">
        <f>C32/C$42</f>
        <v>0.00018</v>
      </c>
      <c r="C32" s="215">
        <f>E32*'Data Komponen'!$D$14</f>
        <v>2.7678837381439765</v>
      </c>
      <c r="D32" s="189">
        <f>E32/E$42</f>
        <v>0.0003978468115797245</v>
      </c>
      <c r="E32" s="216">
        <f>'T-101'!$B$8/'T-101'!$B$11*C25/'Data Komponen'!$D$14</f>
        <v>0.08649906991293405</v>
      </c>
      <c r="F32" s="189">
        <f>G32/G$42</f>
        <v>0.0</v>
      </c>
      <c r="G32" s="215">
        <f>I32*'Data Komponen'!$D$14</f>
        <v>0.0</v>
      </c>
      <c r="H32" s="189">
        <f>I32/I$42</f>
        <v>0.0</v>
      </c>
      <c r="I32" s="216">
        <f>0</f>
        <v>0.0</v>
      </c>
      <c r="J32" s="189">
        <f>K32/K$42</f>
        <v>0.0</v>
      </c>
      <c r="K32" s="215">
        <f>M32*'Data Komponen'!$D$14</f>
        <v>0.0</v>
      </c>
      <c r="L32" s="189">
        <f>M32/M$42</f>
        <v>0.0</v>
      </c>
      <c r="M32" s="216">
        <f>0</f>
        <v>0.0</v>
      </c>
      <c r="N32" s="189">
        <f>O32/O$42</f>
        <v>0.0</v>
      </c>
      <c r="O32" s="215">
        <f>Q32*'Data Komponen'!$D$14</f>
        <v>0.0</v>
      </c>
      <c r="P32" s="189">
        <f>Q32/Q$42</f>
        <v>0.0</v>
      </c>
      <c r="Q32" s="216">
        <f>0</f>
        <v>0.0</v>
      </c>
      <c r="R32" s="189">
        <f>S32/S$42</f>
        <v>0.02841903580597828</v>
      </c>
      <c r="S32" s="215">
        <f>U32*'Data Komponen'!$D$14</f>
        <v>2.7678837381439765</v>
      </c>
      <c r="T32" s="189">
        <f>U32/U$42</f>
        <v>0.03593055610615635</v>
      </c>
      <c r="U32" s="216">
        <f>E32</f>
        <v>0.08649906991293405</v>
      </c>
    </row>
    <row r="33">
      <c r="A33" s="163" t="inlineStr">
        <is>
          <t>N₂</t>
        </is>
      </c>
      <c r="B33" s="189">
        <f>C33/C$42</f>
        <v>0.0006000000000000001</v>
      </c>
      <c r="C33" s="215">
        <f>E33*'Data Komponen'!$D$15</f>
        <v>9.226279127146588</v>
      </c>
      <c r="D33" s="189">
        <f>E33/E$42</f>
        <v>0.0015148021374716935</v>
      </c>
      <c r="E33" s="216">
        <f>'T-101'!$B$9/'T-101'!$B$11*C25/'Data Komponen'!$D$15</f>
        <v>0.3293452961785746</v>
      </c>
      <c r="F33" s="189">
        <f>G33/G$42</f>
        <v>0.0</v>
      </c>
      <c r="G33" s="215">
        <f>I33*'Data Komponen'!$D$15</f>
        <v>0.0</v>
      </c>
      <c r="H33" s="189">
        <f>I33/I$42</f>
        <v>0.0</v>
      </c>
      <c r="I33" s="216">
        <f>0</f>
        <v>0.0</v>
      </c>
      <c r="J33" s="189">
        <f>K33/K$42</f>
        <v>0.0</v>
      </c>
      <c r="K33" s="215">
        <f>M33*'Data Komponen'!$D$15</f>
        <v>0.0</v>
      </c>
      <c r="L33" s="189">
        <f>M33/M$42</f>
        <v>0.0</v>
      </c>
      <c r="M33" s="216">
        <f>0</f>
        <v>0.0</v>
      </c>
      <c r="N33" s="189">
        <f>O33/O$42</f>
        <v>0.0</v>
      </c>
      <c r="O33" s="215">
        <f>Q33*'Data Komponen'!$D$15</f>
        <v>0.0</v>
      </c>
      <c r="P33" s="189">
        <f>Q33/Q$42</f>
        <v>0.0</v>
      </c>
      <c r="Q33" s="216">
        <f>0</f>
        <v>0.0</v>
      </c>
      <c r="R33" s="189">
        <f>S33/S$42</f>
        <v>0.09473011935326094</v>
      </c>
      <c r="S33" s="215">
        <f>U33*'Data Komponen'!$D$15</f>
        <v>9.226279127146588</v>
      </c>
      <c r="T33" s="189">
        <f>U33/U$42</f>
        <v>0.13680562871432106</v>
      </c>
      <c r="U33" s="216">
        <f>E33</f>
        <v>0.3293452961785746</v>
      </c>
    </row>
    <row r="34">
      <c r="A34" s="163" t="inlineStr">
        <is>
          <t>CO₂</t>
        </is>
      </c>
      <c r="B34" s="189">
        <f>C34/C$42</f>
        <v>0.0006000000000000001</v>
      </c>
      <c r="C34" s="215">
        <f>E34*'Data Komponen'!$D$16</f>
        <v>9.226279127146588</v>
      </c>
      <c r="D34" s="189">
        <f>E34/E$42</f>
        <v>0.0009642278363810956</v>
      </c>
      <c r="E34" s="216">
        <f>'T-101'!$B$10/'T-101'!$B$11*C25/'Data Komponen'!$D$16</f>
        <v>0.20964051640869322</v>
      </c>
      <c r="F34" s="189">
        <f>G34/G$42</f>
        <v>0.0</v>
      </c>
      <c r="G34" s="215">
        <f>I34*'Data Komponen'!$D$16</f>
        <v>0.0</v>
      </c>
      <c r="H34" s="189">
        <f>I34/I$42</f>
        <v>0.0</v>
      </c>
      <c r="I34" s="216">
        <f>0</f>
        <v>0.0</v>
      </c>
      <c r="J34" s="189">
        <f>K34/K$42</f>
        <v>0.0</v>
      </c>
      <c r="K34" s="215">
        <f>M34*'Data Komponen'!$D$16</f>
        <v>0.0</v>
      </c>
      <c r="L34" s="189">
        <f>M34/M$42</f>
        <v>0.0</v>
      </c>
      <c r="M34" s="216">
        <f>0</f>
        <v>0.0</v>
      </c>
      <c r="N34" s="189">
        <f>O34/O$42</f>
        <v>0.0</v>
      </c>
      <c r="O34" s="215">
        <f>Q34*'Data Komponen'!$D$16</f>
        <v>0.0</v>
      </c>
      <c r="P34" s="189">
        <f>Q34/Q$42</f>
        <v>0.0</v>
      </c>
      <c r="Q34" s="216">
        <f>0</f>
        <v>0.0</v>
      </c>
      <c r="R34" s="189">
        <f>S34/S$42</f>
        <v>0.09473011935326094</v>
      </c>
      <c r="S34" s="215">
        <f>U34*'Data Komponen'!$D$16</f>
        <v>9.226279127146588</v>
      </c>
      <c r="T34" s="189">
        <f>U34/U$42</f>
        <v>0.08708186509436469</v>
      </c>
      <c r="U34" s="216">
        <f>E34</f>
        <v>0.20964051640869322</v>
      </c>
    </row>
    <row r="35">
      <c r="A35" s="163" t="inlineStr">
        <is>
          <t>EDC</t>
        </is>
      </c>
      <c r="B35" s="189">
        <f>C35/C$42</f>
        <v>0.0</v>
      </c>
      <c r="C35" s="215">
        <f>E35*'Data Komponen'!$D$17</f>
        <v>0.0</v>
      </c>
      <c r="D35" s="189">
        <f>E35/E$42</f>
        <v>0.0</v>
      </c>
      <c r="E35" s="216">
        <f>0</f>
        <v>0.0</v>
      </c>
      <c r="F35" s="189">
        <f>G35/G$42</f>
        <v>0.0</v>
      </c>
      <c r="G35" s="215">
        <f>I35*'Data Komponen'!$D$17</f>
        <v>0.0</v>
      </c>
      <c r="H35" s="189">
        <f>I35/I$42</f>
        <v>0.0</v>
      </c>
      <c r="I35" s="216">
        <f>0</f>
        <v>0.0</v>
      </c>
      <c r="J35" s="189">
        <f>K35/K$42</f>
        <v>0.0</v>
      </c>
      <c r="K35" s="215">
        <f>M35*'Data Komponen'!$D$17</f>
        <v>0.0</v>
      </c>
      <c r="L35" s="189">
        <f>M35/M$42</f>
        <v>0.0</v>
      </c>
      <c r="M35" s="216">
        <f>0</f>
        <v>0.0</v>
      </c>
      <c r="N35" s="189">
        <f>O35/O$42</f>
        <v>0.9994221026161209</v>
      </c>
      <c r="O35" s="215">
        <f>Q35*'Data Komponen'!$D$17</f>
        <v>21372.236358110484</v>
      </c>
      <c r="P35" s="189">
        <f>Q35/Q$42</f>
        <v>0.9995642931667662</v>
      </c>
      <c r="Q35" s="216">
        <f>$B$6*E25-2*Q36-U35</f>
        <v>215.97061771148134</v>
      </c>
      <c r="R35" s="189">
        <f>S35/S$42</f>
        <v>0.45649381549583695</v>
      </c>
      <c r="S35" s="215">
        <f>U35*'Data Komponen'!$D$17</f>
        <v>44.46040383285724</v>
      </c>
      <c r="T35" s="189">
        <f>U35/U$42</f>
        <v>0.1866253375682015</v>
      </c>
      <c r="U35" s="216">
        <f>$B$10*(($B$6*E25-2*Q36)+'NME-2 Oksiklorinasi'!Q34)</f>
        <v>0.4492810541017718</v>
      </c>
    </row>
    <row r="36">
      <c r="A36" s="163" t="inlineStr">
        <is>
          <t>TCE</t>
        </is>
      </c>
      <c r="B36" s="189">
        <f>C36/C$42</f>
        <v>0.0</v>
      </c>
      <c r="C36" s="215">
        <f>E36*'Data Komponen'!$D$18</f>
        <v>0.0</v>
      </c>
      <c r="D36" s="189">
        <f>E36/E$42</f>
        <v>0.0</v>
      </c>
      <c r="E36" s="216">
        <f>0</f>
        <v>0.0</v>
      </c>
      <c r="F36" s="189">
        <f>G36/G$42</f>
        <v>0.0</v>
      </c>
      <c r="G36" s="215">
        <f>I36*'Data Komponen'!$D$18</f>
        <v>0.0</v>
      </c>
      <c r="H36" s="189">
        <f>I36/I$42</f>
        <v>0.0</v>
      </c>
      <c r="I36" s="216">
        <f>0</f>
        <v>0.0</v>
      </c>
      <c r="J36" s="189">
        <f>K36/K$42</f>
        <v>0.0</v>
      </c>
      <c r="K36" s="215">
        <f>M36*'Data Komponen'!$D$18</f>
        <v>0.0</v>
      </c>
      <c r="L36" s="189">
        <f>M36/M$42</f>
        <v>0.0</v>
      </c>
      <c r="M36" s="216">
        <f>0</f>
        <v>0.0</v>
      </c>
      <c r="N36" s="189">
        <f>O36/O$42</f>
        <v>0.00030054051864049906</v>
      </c>
      <c r="O36" s="215">
        <f>Q36*'Data Komponen'!$D$18</f>
        <v>6.426937109715917</v>
      </c>
      <c r="P36" s="189">
        <f>Q36/Q$42</f>
        <v>0.00022297415009785954</v>
      </c>
      <c r="Q36" s="216">
        <f>$B$7*$B$6*E25*'Data Komponen'!$D$17/('Data Komponen'!$D$18*(1-$B$7)+2*$B$7*'Data Komponen'!$D$17)</f>
        <v>0.04817685591565345</v>
      </c>
      <c r="R36" s="189">
        <f>S36/S$42</f>
        <v>0.0</v>
      </c>
      <c r="S36" s="215">
        <f>U36*'Data Komponen'!$D$18</f>
        <v>0.0</v>
      </c>
      <c r="T36" s="189">
        <f>U36/U$42</f>
        <v>0.0</v>
      </c>
      <c r="U36" s="216">
        <f>0</f>
        <v>0.0</v>
      </c>
    </row>
    <row r="37">
      <c r="A37" s="163" t="inlineStr">
        <is>
          <t>HCl</t>
        </is>
      </c>
      <c r="B37" s="189">
        <f>C37/C$42</f>
        <v>0.0</v>
      </c>
      <c r="C37" s="215">
        <f>E37*'Data Komponen'!$D$19</f>
        <v>0.0</v>
      </c>
      <c r="D37" s="189">
        <f>E37/E$42</f>
        <v>0.0</v>
      </c>
      <c r="E37" s="216">
        <f>0</f>
        <v>0.0</v>
      </c>
      <c r="F37" s="189">
        <f>G37/G$42</f>
        <v>0.0</v>
      </c>
      <c r="G37" s="215">
        <f>I37*'Data Komponen'!$D$19</f>
        <v>0.0</v>
      </c>
      <c r="H37" s="189">
        <f>I37/I$42</f>
        <v>0.0</v>
      </c>
      <c r="I37" s="216">
        <f>0</f>
        <v>0.0</v>
      </c>
      <c r="J37" s="189">
        <f>K37/K$42</f>
        <v>0.0</v>
      </c>
      <c r="K37" s="215">
        <f>M37*'Data Komponen'!$D$19</f>
        <v>0.0</v>
      </c>
      <c r="L37" s="189">
        <f>M37/M$42</f>
        <v>0.0</v>
      </c>
      <c r="M37" s="216">
        <f>0</f>
        <v>0.0</v>
      </c>
      <c r="N37" s="189">
        <f>O37/O$42</f>
        <v>0.0</v>
      </c>
      <c r="O37" s="215">
        <f>Q37*'Data Komponen'!$D$19</f>
        <v>0.0</v>
      </c>
      <c r="P37" s="189">
        <f>Q37/Q$42</f>
        <v>0.0</v>
      </c>
      <c r="Q37" s="216">
        <f>0</f>
        <v>0.0</v>
      </c>
      <c r="R37" s="189">
        <f>S37/S$42</f>
        <v>0.018035514033725348</v>
      </c>
      <c r="S37" s="215">
        <f>U37*'Data Komponen'!$D$19</f>
        <v>1.7565763435406405</v>
      </c>
      <c r="T37" s="189">
        <f>U37/U$42</f>
        <v>0.020012021241823323</v>
      </c>
      <c r="U37" s="216">
        <f>Q36</f>
        <v>0.04817685591565345</v>
      </c>
    </row>
    <row r="38">
      <c r="A38" s="163" t="inlineStr">
        <is>
          <t>FeCl₃</t>
        </is>
      </c>
      <c r="B38" s="189">
        <f>C38/C$42</f>
        <v>0.0</v>
      </c>
      <c r="C38" s="215">
        <f>E38*'Data Komponen'!$D$20</f>
        <v>0.0</v>
      </c>
      <c r="D38" s="189">
        <f>E38/E$42</f>
        <v>0.0</v>
      </c>
      <c r="E38" s="216">
        <f>0</f>
        <v>0.0</v>
      </c>
      <c r="F38" s="189">
        <f>G38/G$42</f>
        <v>0.0</v>
      </c>
      <c r="G38" s="215">
        <f>I38*'Data Komponen'!$D$20</f>
        <v>0.0</v>
      </c>
      <c r="H38" s="189">
        <f>I38/I$42</f>
        <v>0.0</v>
      </c>
      <c r="I38" s="216">
        <f>0</f>
        <v>0.0</v>
      </c>
      <c r="J38" s="189">
        <f>K38/K$42</f>
        <v>1.0</v>
      </c>
      <c r="K38" s="215">
        <f>M38*'Data Komponen'!$D$20</f>
        <v>4.2858109726273375</v>
      </c>
      <c r="L38" s="189">
        <f>M38/M$42</f>
        <v>1.0</v>
      </c>
      <c r="M38" s="216">
        <f>$B$9/(1-$B$9)*((Q35+U35)*'Data Komponen'!$D$17+Q36*'Data Komponen'!$D$18+Q27*'Data Komponen'!$D$9+Q29*'Data Komponen'!$D$11+Q30*'Data Komponen'!$D$12)/'Data Komponen'!$D$20</f>
        <v>0.02642235069805515</v>
      </c>
      <c r="N38" s="189">
        <f>O38/O$42</f>
        <v>0.00020041581713338045</v>
      </c>
      <c r="O38" s="215">
        <f>Q38*'Data Komponen'!$D$20</f>
        <v>4.2858109726273375</v>
      </c>
      <c r="P38" s="189">
        <f>Q38/Q$42</f>
        <v>0.00012228903440276572</v>
      </c>
      <c r="Q38" s="216">
        <f>M38</f>
        <v>0.02642235069805515</v>
      </c>
      <c r="R38" s="189">
        <f>S38/S$42</f>
        <v>0.0</v>
      </c>
      <c r="S38" s="215">
        <f>U38*'Data Komponen'!$D$20</f>
        <v>0.0</v>
      </c>
      <c r="T38" s="189">
        <f>U38/U$42</f>
        <v>0.0</v>
      </c>
      <c r="U38" s="216">
        <f>0</f>
        <v>0.0</v>
      </c>
    </row>
    <row r="39">
      <c r="A39" s="163" t="inlineStr">
        <is>
          <t>C₂H₅Cl</t>
        </is>
      </c>
      <c r="B39" s="189">
        <f>C39/C$42</f>
        <v>0.0</v>
      </c>
      <c r="C39" s="215">
        <f>E39*'Data Komponen'!$D$21</f>
        <v>0.0</v>
      </c>
      <c r="D39" s="189">
        <f>E39/E$42</f>
        <v>0.0</v>
      </c>
      <c r="E39" s="216">
        <f>0</f>
        <v>0.0</v>
      </c>
      <c r="F39" s="189">
        <f>G39/G$42</f>
        <v>0.0</v>
      </c>
      <c r="G39" s="215">
        <f>I39*'Data Komponen'!$D$21</f>
        <v>0.0</v>
      </c>
      <c r="H39" s="189">
        <f>I39/I$42</f>
        <v>0.0</v>
      </c>
      <c r="I39" s="216">
        <f>0</f>
        <v>0.0</v>
      </c>
      <c r="J39" s="189">
        <f>K39/K$42</f>
        <v>0.0</v>
      </c>
      <c r="K39" s="215">
        <f>M39*'Data Komponen'!$D$21</f>
        <v>0.0</v>
      </c>
      <c r="L39" s="189">
        <f>M39/M$42</f>
        <v>0.0</v>
      </c>
      <c r="M39" s="216">
        <f>0</f>
        <v>0.0</v>
      </c>
      <c r="N39" s="189">
        <f>O39/O$42</f>
        <v>0.0</v>
      </c>
      <c r="O39" s="215">
        <f>Q39*'Data Komponen'!$D$21</f>
        <v>0.0</v>
      </c>
      <c r="P39" s="189">
        <f>Q39/Q$42</f>
        <v>0.0</v>
      </c>
      <c r="Q39" s="216">
        <f>0</f>
        <v>0.0</v>
      </c>
      <c r="R39" s="189">
        <f>S39/S$42</f>
        <v>0.0</v>
      </c>
      <c r="S39" s="215">
        <f>U39*'Data Komponen'!$D$21</f>
        <v>0.0</v>
      </c>
      <c r="T39" s="189">
        <f>U39/U$42</f>
        <v>0.0</v>
      </c>
      <c r="U39" s="216">
        <f>0</f>
        <v>0.0</v>
      </c>
    </row>
    <row r="40">
      <c r="A40" s="163" t="inlineStr">
        <is>
          <t>VCM</t>
        </is>
      </c>
      <c r="B40" s="189">
        <f>C40/C$42</f>
        <v>0.0</v>
      </c>
      <c r="C40" s="215">
        <f>E40*'Data Komponen'!$D$22</f>
        <v>0.0</v>
      </c>
      <c r="D40" s="189">
        <f>E40/E$42</f>
        <v>0.0</v>
      </c>
      <c r="E40" s="216">
        <f>0</f>
        <v>0.0</v>
      </c>
      <c r="F40" s="189">
        <f>G40/G$42</f>
        <v>0.0</v>
      </c>
      <c r="G40" s="215">
        <f>I40*'Data Komponen'!$D$22</f>
        <v>0.0</v>
      </c>
      <c r="H40" s="189">
        <f>I40/I$42</f>
        <v>0.0</v>
      </c>
      <c r="I40" s="216">
        <f>0</f>
        <v>0.0</v>
      </c>
      <c r="J40" s="189">
        <f>K40/K$42</f>
        <v>0.0</v>
      </c>
      <c r="K40" s="215">
        <f>M40*'Data Komponen'!$D$22</f>
        <v>0.0</v>
      </c>
      <c r="L40" s="189">
        <f>M40/M$42</f>
        <v>0.0</v>
      </c>
      <c r="M40" s="216">
        <f>0</f>
        <v>0.0</v>
      </c>
      <c r="N40" s="189">
        <f>O40/O$42</f>
        <v>0.0</v>
      </c>
      <c r="O40" s="215">
        <f>Q40*'Data Komponen'!$D$22</f>
        <v>0.0</v>
      </c>
      <c r="P40" s="189">
        <f>Q40/Q$42</f>
        <v>0.0</v>
      </c>
      <c r="Q40" s="216">
        <f>0</f>
        <v>0.0</v>
      </c>
      <c r="R40" s="189">
        <f>S40/S$42</f>
        <v>0.0</v>
      </c>
      <c r="S40" s="215">
        <f>U40*'Data Komponen'!$D$22</f>
        <v>0.0</v>
      </c>
      <c r="T40" s="189">
        <f>U40/U$42</f>
        <v>0.0</v>
      </c>
      <c r="U40" s="216">
        <f>0</f>
        <v>0.0</v>
      </c>
    </row>
    <row r="41">
      <c r="A41" s="163" t="inlineStr">
        <is>
          <t>C₄H₈Cl₂ (berat)</t>
        </is>
      </c>
      <c r="B41" s="189">
        <f>C41/C$42</f>
        <v>0.0</v>
      </c>
      <c r="C41" s="215">
        <f>E41*'Data Komponen'!$D$23</f>
        <v>0.0</v>
      </c>
      <c r="D41" s="189">
        <f>E41/E$42</f>
        <v>0.0</v>
      </c>
      <c r="E41" s="216">
        <f>0</f>
        <v>0.0</v>
      </c>
      <c r="F41" s="189">
        <f>G41/G$42</f>
        <v>0.0</v>
      </c>
      <c r="G41" s="215">
        <f>I41*'Data Komponen'!$D$23</f>
        <v>0.0</v>
      </c>
      <c r="H41" s="189">
        <f>I41/I$42</f>
        <v>0.0</v>
      </c>
      <c r="I41" s="216">
        <f>0</f>
        <v>0.0</v>
      </c>
      <c r="J41" s="189">
        <f>K41/K$42</f>
        <v>0.0</v>
      </c>
      <c r="K41" s="215">
        <f>M41*'Data Komponen'!$D$23</f>
        <v>0.0</v>
      </c>
      <c r="L41" s="189">
        <f>M41/M$42</f>
        <v>0.0</v>
      </c>
      <c r="M41" s="216">
        <f>0</f>
        <v>0.0</v>
      </c>
      <c r="N41" s="189">
        <f>O41/O$42</f>
        <v>0.0</v>
      </c>
      <c r="O41" s="215">
        <f>Q41*'Data Komponen'!$D$23</f>
        <v>0.0</v>
      </c>
      <c r="P41" s="189">
        <f>Q41/Q$42</f>
        <v>0.0</v>
      </c>
      <c r="Q41" s="216">
        <f>0</f>
        <v>0.0</v>
      </c>
      <c r="R41" s="189">
        <f>S41/S$42</f>
        <v>0.0</v>
      </c>
      <c r="S41" s="215">
        <f>U41*'Data Komponen'!$D$23</f>
        <v>0.0</v>
      </c>
      <c r="T41" s="189">
        <f>U41/U$42</f>
        <v>0.0</v>
      </c>
      <c r="U41" s="216">
        <f>0</f>
        <v>0.0</v>
      </c>
    </row>
    <row r="42">
      <c r="A42" s="162" t="inlineStr">
        <is>
          <t>Sub Total</t>
        </is>
      </c>
      <c r="B42" s="189">
        <f>SUM(B21:B41)</f>
        <v>1.0000000000000002</v>
      </c>
      <c r="C42" s="215">
        <f>SUM(C21:C41)</f>
        <v>15377.131878577646</v>
      </c>
      <c r="D42" s="189">
        <f>SUM(D21:D41)</f>
        <v>0.9999999999999999</v>
      </c>
      <c r="E42" s="216">
        <f>SUM(E21:E41)</f>
        <v>217.41802974233588</v>
      </c>
      <c r="F42" s="189">
        <f>SUM(F21:F41)</f>
        <v>1.0</v>
      </c>
      <c r="G42" s="215">
        <f>SUM(G21:G41)</f>
        <v>6100.572183061604</v>
      </c>
      <c r="H42" s="189">
        <f>SUM(H21:H41)</f>
        <v>1.0</v>
      </c>
      <c r="I42" s="216">
        <f>SUM(I21:I41)</f>
        <v>217.4957779331186</v>
      </c>
      <c r="J42" s="189">
        <f>SUM(J21:J41)</f>
        <v>1.0</v>
      </c>
      <c r="K42" s="215">
        <f>SUM(K21:K41)</f>
        <v>4.2858109726273375</v>
      </c>
      <c r="L42" s="189">
        <f>SUM(L21:L41)</f>
        <v>1.0</v>
      </c>
      <c r="M42" s="216">
        <f>SUM(M21:M41)</f>
        <v>0.02642235069805515</v>
      </c>
      <c r="N42" s="189">
        <f>SUM(N21:N41)</f>
        <v>1.0000000000000002</v>
      </c>
      <c r="O42" s="215">
        <f>SUM(O21:O41)</f>
        <v>21384.594459303833</v>
      </c>
      <c r="P42" s="189">
        <f>SUM(P21:P41)</f>
        <v>1.0</v>
      </c>
      <c r="Q42" s="216">
        <f>SUM(Q21:Q41)</f>
        <v>216.06475860322578</v>
      </c>
      <c r="R42" s="189">
        <f>SUM(R21:R41)</f>
        <v>1.0</v>
      </c>
      <c r="S42" s="215">
        <f>SUM(S21:S41)</f>
        <v>97.39541330820659</v>
      </c>
      <c r="T42" s="189">
        <f>SUM(T21:T41)</f>
        <v>1.0000000000000002</v>
      </c>
      <c r="U42" s="216">
        <f>SUM(U21:U41)</f>
        <v>2.407395801428002</v>
      </c>
    </row>
    <row r="43">
      <c r="A43" s="162" t="inlineStr">
        <is>
          <t>TOTAL MASSA</t>
        </is>
      </c>
      <c r="B43" s="215">
        <f>C42+G42+K42</f>
        <v>21481.989872611874</v>
      </c>
      <c r="C43" s="210" t="n"/>
      <c r="D43" s="210" t="n"/>
      <c r="E43" s="210" t="n"/>
      <c r="F43" s="210" t="n"/>
      <c r="G43" s="210" t="n"/>
      <c r="H43" s="210" t="n"/>
      <c r="I43" s="210" t="n"/>
      <c r="J43" s="210" t="n"/>
      <c r="K43" s="210" t="n"/>
      <c r="L43" s="210" t="n"/>
      <c r="M43" s="211" t="n"/>
      <c r="N43" s="215">
        <f>O42+S42</f>
        <v>21481.98987261204</v>
      </c>
      <c r="O43" s="210" t="n"/>
      <c r="P43" s="210" t="n"/>
      <c r="Q43" s="210" t="n"/>
      <c r="R43" s="210" t="n"/>
      <c r="S43" s="210" t="n"/>
      <c r="T43" s="210" t="n"/>
      <c r="U43" s="211" t="n"/>
    </row>
    <row r="44">
      <c r="A44" s="162" t="inlineStr">
        <is>
          <t>Selisih (Inlet − Outlet), kg/h</t>
        </is>
      </c>
      <c r="B44" s="215">
        <f>B43-N43</f>
        <v>-1.673470251262188e-10</v>
      </c>
      <c r="C44" s="210" t="n"/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1" t="n"/>
    </row>
    <row r="47">
      <c r="A47" s="169" t="inlineStr">
        <is>
          <t>Neraca Energi V-101: Valve Cl₂</t>
        </is>
      </c>
    </row>
    <row r="48">
      <c r="A48" s="187" t="inlineStr">
        <is>
          <t>Reference state: Cl₂, H₂O, Br₂ fasa liquid @ 25°C, 1 bar; CₙHₘ (sebagai methane), CₓHᵧCl (sebagai metil chloride), NCl₃, H₂, O₂, N₂, CO₂ fasa gas @ 25°C, 1 bar</t>
        </is>
      </c>
    </row>
    <row r="49">
      <c r="A49" s="162" t="inlineStr">
        <is>
          <t>No. aliran PFD</t>
        </is>
      </c>
      <c r="B49" s="162" t="n">
        <v>1</v>
      </c>
      <c r="C49" s="211" t="n"/>
      <c r="D49" s="162" t="n">
        <v>2</v>
      </c>
      <c r="E49" s="211" t="n"/>
    </row>
    <row r="50">
      <c r="A50" s="162" t="inlineStr">
        <is>
          <t>Dari</t>
        </is>
      </c>
      <c r="B50" s="172" t="inlineStr">
        <is>
          <t>T-101</t>
        </is>
      </c>
      <c r="C50" s="211" t="n"/>
      <c r="D50" s="172" t="inlineStr">
        <is>
          <t>V-101</t>
        </is>
      </c>
      <c r="E50" s="211" t="n"/>
    </row>
    <row r="51">
      <c r="A51" s="162" t="inlineStr">
        <is>
          <t>Ke</t>
        </is>
      </c>
      <c r="B51" s="172" t="inlineStr">
        <is>
          <t>V-101</t>
        </is>
      </c>
      <c r="C51" s="211" t="n"/>
      <c r="D51" s="172" t="inlineStr">
        <is>
          <t>E-101</t>
        </is>
      </c>
      <c r="E51" s="211" t="n"/>
    </row>
    <row r="52">
      <c r="A52" s="162" t="inlineStr">
        <is>
          <t>T (K)</t>
        </is>
      </c>
      <c r="B52" s="185">
        <f>B53+273.15</f>
        <v>303.15</v>
      </c>
      <c r="C52" s="211" t="n"/>
      <c r="D52" s="185">
        <f>$B$52</f>
        <v>303.15</v>
      </c>
      <c r="E52" s="211" t="n"/>
    </row>
    <row r="53">
      <c r="A53" s="162" t="inlineStr">
        <is>
          <t>T (°C)</t>
        </is>
      </c>
      <c r="B53" s="185" t="n">
        <v>30</v>
      </c>
      <c r="C53" s="211" t="n"/>
      <c r="D53" s="185">
        <f>IF(ISNUMBER(D52),D52-273.15,"-")</f>
        <v>30.0</v>
      </c>
      <c r="E53" s="211" t="n"/>
    </row>
    <row r="54">
      <c r="A54" s="162" t="inlineStr">
        <is>
          <t>P (bar abs)</t>
        </is>
      </c>
      <c r="B54" s="190" t="n">
        <v>8.9</v>
      </c>
      <c r="C54" s="211" t="n"/>
      <c r="D54" s="190" t="n">
        <v>1.01325</v>
      </c>
      <c r="E54" s="211" t="n"/>
    </row>
    <row r="55">
      <c r="A55" s="162" t="inlineStr">
        <is>
          <t>Substance</t>
        </is>
      </c>
      <c r="B55" s="162" t="inlineStr">
        <is>
          <t>INLET</t>
        </is>
      </c>
      <c r="C55" s="211" t="n"/>
      <c r="D55" s="162" t="inlineStr">
        <is>
          <t>OUTLET</t>
        </is>
      </c>
      <c r="E55" s="211" t="n"/>
    </row>
    <row r="56">
      <c r="A56" s="212" t="n"/>
      <c r="B56" s="162" t="inlineStr">
        <is>
          <t>Aliran 1</t>
        </is>
      </c>
      <c r="C56" s="211" t="n"/>
      <c r="D56" s="162" t="inlineStr">
        <is>
          <t>Aliran 2</t>
        </is>
      </c>
      <c r="E56" s="211" t="n"/>
    </row>
    <row r="57">
      <c r="A57" s="213" t="n"/>
      <c r="B57" s="162" t="inlineStr">
        <is>
          <t>ṅᵢ (kmol/h)</t>
        </is>
      </c>
      <c r="C57" s="162" t="inlineStr">
        <is>
          <t>Ĥᵢ (kJ/kmol)</t>
        </is>
      </c>
      <c r="D57" s="162" t="inlineStr">
        <is>
          <t>ṅᵢ (kmol/h)</t>
        </is>
      </c>
      <c r="E57" s="162" t="inlineStr">
        <is>
          <t>Ĥᵢ (kJ/kmol)</t>
        </is>
      </c>
    </row>
    <row r="58">
      <c r="A58" s="163" t="inlineStr">
        <is>
          <t>Cl₂ (l)</t>
        </is>
      </c>
      <c r="B58" s="216">
        <f>E25</f>
        <v>216.5379062680412</v>
      </c>
      <c r="C58" s="217">
        <f>('Data Termo'!$J$10*($B$52-298.15)+'Data Termo'!$K$10/2*($B$52^2-298.15^2)+'Data Termo'!$L$10/3*($B$52^3-298.15^3)+'Data Termo'!$M$10/4*($B$52^4-298.15^4))</f>
        <v>373.6835056974971</v>
      </c>
      <c r="D58" s="216">
        <f>E25</f>
        <v>216.5379062680412</v>
      </c>
      <c r="E58" s="217">
        <f>('Data Termo'!$J$10*($D$52-298.15)+'Data Termo'!$K$10/2*($D$52^2-298.15^2)+'Data Termo'!$L$10/3*($D$52^3-298.15^3)+'Data Termo'!$M$10/4*($D$52^4-298.15^4))</f>
        <v>373.6835056974971</v>
      </c>
    </row>
    <row r="59">
      <c r="A59" s="163" t="inlineStr">
        <is>
          <t>CₙHₘ (g)</t>
        </is>
      </c>
      <c r="B59" s="216">
        <f>E26</f>
        <v>0.0038339791506769674</v>
      </c>
      <c r="C59" s="217">
        <f>('Data Termo'!$E$11*($B$52-298.15)+'Data Termo'!$F$11/2*($B$52^2-298.15^2)+'Data Termo'!$G$11/3*($B$52^3-298.15^3)+'Data Termo'!$H$11/4*($B$52^4-298.15^4)+'Data Termo'!$I$11/5*($B$52^5-298.15^5))</f>
        <v>182.1606378301505</v>
      </c>
      <c r="D59" s="216">
        <f>E26</f>
        <v>0.0038339791506769674</v>
      </c>
      <c r="E59" s="217">
        <f>('Data Termo'!$E$11*($D$52-298.15)+'Data Termo'!$F$11/2*($D$52^2-298.15^2)+'Data Termo'!$G$11/3*($D$52^3-298.15^3)+'Data Termo'!$H$11/4*($D$52^4-298.15^4)+'Data Termo'!$I$11/5*($D$52^5-298.15^5))</f>
        <v>182.1606378301505</v>
      </c>
    </row>
    <row r="60">
      <c r="A60" s="163" t="inlineStr">
        <is>
          <t>H₂O (l)</t>
        </is>
      </c>
      <c r="B60" s="216">
        <f>E27</f>
        <v>0.010242885514456384</v>
      </c>
      <c r="C60" s="217">
        <f>('Data Termo'!$J$12*($B$52-298.15)+'Data Termo'!$K$12/2*($B$52^2-298.15^2)+'Data Termo'!$L$12/3*($B$52^3-298.15^3)+'Data Termo'!$M$12/4*($B$52^4-298.15^4))</f>
        <v>377.4863815881574</v>
      </c>
      <c r="D60" s="216">
        <f>E27</f>
        <v>0.010242885514456384</v>
      </c>
      <c r="E60" s="217">
        <f>('Data Termo'!$J$12*($D$52-298.15)+'Data Termo'!$K$12/2*($D$52^2-298.15^2)+'Data Termo'!$L$12/3*($D$52^3-298.15^3)+'Data Termo'!$M$12/4*($D$52^4-298.15^4))</f>
        <v>377.4863815881574</v>
      </c>
    </row>
    <row r="61">
      <c r="A61" s="163" t="inlineStr">
        <is>
          <t>CₓHᵧCl (g)</t>
        </is>
      </c>
      <c r="B61" s="216">
        <f>E28</f>
        <v>0.0024365602723146326</v>
      </c>
      <c r="C61" s="217">
        <f>('Data Termo'!$E$13*($B$52-298.15)+'Data Termo'!$F$13/2*($B$52^2-298.15^2)+'Data Termo'!$G$13/3*($B$52^3-298.15^3)+'Data Termo'!$H$13/4*($B$52^4-298.15^4)+'Data Termo'!$I$13/5*($B$52^5-298.15^5))</f>
        <v>209.20475882812178</v>
      </c>
      <c r="D61" s="216">
        <f>E28</f>
        <v>0.0024365602723146326</v>
      </c>
      <c r="E61" s="217">
        <f>('Data Termo'!$E$13*($D$52-298.15)+'Data Termo'!$F$13/2*($D$52^2-298.15^2)+'Data Termo'!$G$13/3*($D$52^3-298.15^3)+'Data Termo'!$H$13/4*($D$52^4-298.15^4)+'Data Termo'!$I$13/5*($D$52^5-298.15^5))</f>
        <v>209.20475882812178</v>
      </c>
    </row>
    <row r="62">
      <c r="A62" s="163" t="inlineStr">
        <is>
          <t>Br₂ (l)</t>
        </is>
      </c>
      <c r="B62" s="216">
        <f>E29</f>
        <v>0.008660028716159318</v>
      </c>
      <c r="C62" s="217">
        <f>('Data Termo'!$J$14*($B$52-298.15)+'Data Termo'!$K$14/2*($B$52^2-298.15^2)+'Data Termo'!$L$14/3*($B$52^3-298.15^3)+'Data Termo'!$M$14/4*($B$52^4-298.15^4))</f>
        <v>383.39692167230174</v>
      </c>
      <c r="D62" s="216">
        <f>E29</f>
        <v>0.008660028716159318</v>
      </c>
      <c r="E62" s="217">
        <f>('Data Termo'!$J$14*($D$52-298.15)+'Data Termo'!$K$14/2*($D$52^2-298.15^2)+'Data Termo'!$L$14/3*($D$52^3-298.15^3)+'Data Termo'!$M$14/4*($D$52^4-298.15^4))</f>
        <v>383.39692167230174</v>
      </c>
    </row>
    <row r="63">
      <c r="A63" s="163" t="inlineStr">
        <is>
          <t>NCl₃ (l)</t>
        </is>
      </c>
      <c r="B63" s="216">
        <f>E30</f>
        <v>0.0006387709001195385</v>
      </c>
      <c r="C63" s="217">
        <f>-'Data Termo'!$V$15+('Data Termo'!$J$15*($B$52-298.15)+'Data Termo'!$K$15/2*($B$52^2-298.15^2)+'Data Termo'!$L$15/3*($B$52^3-298.15^3)+'Data Termo'!$M$15/4*($B$52^4-298.15^4))</f>
        <v>-32203.195233535742</v>
      </c>
      <c r="D63" s="216">
        <f>E30</f>
        <v>0.0006387709001195385</v>
      </c>
      <c r="E63" s="217">
        <f>-'Data Termo'!$V$15+('Data Termo'!$J$15*($D$52-298.15)+'Data Termo'!$K$15/2*($D$52^2-298.15^2)+'Data Termo'!$L$15/3*($D$52^3-298.15^3)+'Data Termo'!$M$15/4*($D$52^4-298.15^4))</f>
        <v>-32203.195233535742</v>
      </c>
    </row>
    <row r="64">
      <c r="A64" s="163" t="inlineStr">
        <is>
          <t>H₂ (g)</t>
        </is>
      </c>
      <c r="B64" s="216">
        <f>E31</f>
        <v>0.2288263672407388</v>
      </c>
      <c r="C64" s="217">
        <f>('Data Termo'!$E$16*($B$52-298.15)+'Data Termo'!$F$16/2*($B$52^2-298.15^2)+'Data Termo'!$G$16/3*($B$52^3-298.15^3)+'Data Termo'!$H$16/4*($B$52^4-298.15^4)+'Data Termo'!$I$16/5*($B$52^5-298.15^5))</f>
        <v>143.87915687151903</v>
      </c>
      <c r="D64" s="216">
        <f>E31</f>
        <v>0.2288263672407388</v>
      </c>
      <c r="E64" s="217">
        <f>('Data Termo'!$E$16*($D$52-298.15)+'Data Termo'!$F$16/2*($D$52^2-298.15^2)+'Data Termo'!$G$16/3*($D$52^3-298.15^3)+'Data Termo'!$H$16/4*($D$52^4-298.15^4)+'Data Termo'!$I$16/5*($D$52^5-298.15^5))</f>
        <v>143.87915687151903</v>
      </c>
    </row>
    <row r="65">
      <c r="A65" s="163" t="inlineStr">
        <is>
          <t>O₂ (g)</t>
        </is>
      </c>
      <c r="B65" s="216">
        <f>E32</f>
        <v>0.08649906991293405</v>
      </c>
      <c r="C65" s="217">
        <f>('Data Termo'!$E$17*($B$52-298.15)+'Data Termo'!$F$17/2*($B$52^2-298.15^2)+'Data Termo'!$G$17/3*($B$52^3-298.15^3)+'Data Termo'!$H$17/4*($B$52^4-298.15^4)+'Data Termo'!$I$17/5*($B$52^5-298.15^5))</f>
        <v>147.3914273715615</v>
      </c>
      <c r="D65" s="216">
        <f>E32</f>
        <v>0.08649906991293405</v>
      </c>
      <c r="E65" s="217">
        <f>('Data Termo'!$E$17*($D$52-298.15)+'Data Termo'!$F$17/2*($D$52^2-298.15^2)+'Data Termo'!$G$17/3*($D$52^3-298.15^3)+'Data Termo'!$H$17/4*($D$52^4-298.15^4)+'Data Termo'!$I$17/5*($D$52^5-298.15^5))</f>
        <v>147.3914273715615</v>
      </c>
    </row>
    <row r="66">
      <c r="A66" s="163" t="inlineStr">
        <is>
          <t>N₂ (g)</t>
        </is>
      </c>
      <c r="B66" s="216">
        <f>E33</f>
        <v>0.3293452961785746</v>
      </c>
      <c r="C66" s="217">
        <f>('Data Termo'!$E$18*($B$52-298.15)+'Data Termo'!$F$18/2*($B$52^2-298.15^2)+'Data Termo'!$G$18/3*($B$52^3-298.15^3)+'Data Termo'!$H$18/4*($B$52^4-298.15^4)+'Data Termo'!$I$18/5*($B$52^5-298.15^5))</f>
        <v>145.36791939601756</v>
      </c>
      <c r="D66" s="216">
        <f>E33</f>
        <v>0.3293452961785746</v>
      </c>
      <c r="E66" s="217">
        <f>('Data Termo'!$E$18*($D$52-298.15)+'Data Termo'!$F$18/2*($D$52^2-298.15^2)+'Data Termo'!$G$18/3*($D$52^3-298.15^3)+'Data Termo'!$H$18/4*($D$52^4-298.15^4)+'Data Termo'!$I$18/5*($D$52^5-298.15^5))</f>
        <v>145.36791939601756</v>
      </c>
    </row>
    <row r="67">
      <c r="A67" s="163" t="inlineStr">
        <is>
          <t>CO₂ (g)</t>
        </is>
      </c>
      <c r="B67" s="216">
        <f>E34</f>
        <v>0.20964051640869322</v>
      </c>
      <c r="C67" s="217">
        <f>('Data Termo'!$E$19*($B$52-298.15)+'Data Termo'!$F$19/2*($B$52^2-298.15^2)+'Data Termo'!$G$19/3*($B$52^3-298.15^3)+'Data Termo'!$H$19/4*($B$52^4-298.15^4)+'Data Termo'!$I$19/5*($B$52^5-298.15^5))</f>
        <v>192.48781180015672</v>
      </c>
      <c r="D67" s="216">
        <f>E34</f>
        <v>0.20964051640869322</v>
      </c>
      <c r="E67" s="217">
        <f>('Data Termo'!$E$19*($D$52-298.15)+'Data Termo'!$F$19/2*($D$52^2-298.15^2)+'Data Termo'!$G$19/3*($D$52^3-298.15^3)+'Data Termo'!$H$19/4*($D$52^4-298.15^4)+'Data Termo'!$I$19/5*($D$52^5-298.15^5))</f>
        <v>192.48781180015672</v>
      </c>
    </row>
    <row r="68">
      <c r="A68" s="200" t="inlineStr">
        <is>
          <t>Sub Total ṅᵢĤᵢ (kJ/h)</t>
        </is>
      </c>
      <c r="B68" s="218">
        <f>SUMPRODUCT(B58:B67,C58:C67)</f>
        <v>81038.37043577037</v>
      </c>
      <c r="C68" s="211" t="n"/>
      <c r="D68" s="218">
        <f>SUMPRODUCT(D58:D67,E58:E67)</f>
        <v>81038.37043577037</v>
      </c>
      <c r="E68" s="211" t="n"/>
    </row>
    <row r="69">
      <c r="A69" s="163" t="inlineStr">
        <is>
          <t>Heat of reaction / heat of mixing (kJ/h)</t>
        </is>
      </c>
      <c r="B69" s="219" t="inlineStr">
        <is>
          <t>-</t>
        </is>
      </c>
      <c r="C69" s="211" t="n"/>
      <c r="D69" s="220" t="inlineStr">
        <is>
          <t>-</t>
        </is>
      </c>
      <c r="E69" s="211" t="n"/>
    </row>
    <row r="70">
      <c r="A70" s="200" t="inlineStr">
        <is>
          <t>Q (kJ/h)</t>
        </is>
      </c>
      <c r="B70" s="218" t="n">
        <v>0</v>
      </c>
      <c r="C70" s="210" t="n"/>
      <c r="D70" s="210" t="n"/>
      <c r="E70" s="211" t="n"/>
    </row>
    <row r="71">
      <c r="A71" s="200" t="inlineStr">
        <is>
          <t>W (kJ/h)</t>
        </is>
      </c>
      <c r="B71" s="218" t="n">
        <v>0</v>
      </c>
      <c r="C71" s="210" t="n"/>
      <c r="D71" s="210" t="n"/>
      <c r="E71" s="211" t="n"/>
    </row>
    <row r="72">
      <c r="A72" s="200" t="inlineStr">
        <is>
          <t>TOTAL (kJ/h)</t>
        </is>
      </c>
      <c r="B72" s="218">
        <f>B68+$B$70+$B$71</f>
        <v>81038.37043577037</v>
      </c>
      <c r="C72" s="211" t="n"/>
      <c r="D72" s="218">
        <f>(D68)</f>
        <v>81038.37043577037</v>
      </c>
      <c r="E72" s="211" t="n"/>
    </row>
    <row r="73">
      <c r="A73" s="163" t="inlineStr">
        <is>
          <t>Selisih masuk − keluar (kJ/h)</t>
        </is>
      </c>
      <c r="B73" s="217">
        <f>B72-D72</f>
        <v>0.0</v>
      </c>
      <c r="C73" s="210" t="n"/>
      <c r="D73" s="210" t="n"/>
      <c r="E73" s="211" t="n"/>
    </row>
    <row r="74">
      <c r="A74" s="163" t="inlineStr">
        <is>
          <t>Q (kW)</t>
        </is>
      </c>
      <c r="B74" s="217">
        <f>$B$70/3600</f>
        <v>0.0</v>
      </c>
      <c r="C74" s="210" t="n"/>
      <c r="D74" s="210" t="n"/>
      <c r="E74" s="211" t="n"/>
    </row>
    <row r="75">
      <c r="A75" s="163" t="inlineStr">
        <is>
          <t>W (kW)</t>
        </is>
      </c>
      <c r="B75" s="217">
        <f>$B$71/3600</f>
        <v>0.0</v>
      </c>
      <c r="C75" s="210" t="n"/>
      <c r="D75" s="210" t="n"/>
      <c r="E75" s="211" t="n"/>
    </row>
    <row r="78">
      <c r="A78" s="169" t="inlineStr">
        <is>
          <t>Neraca Energi E-101: Vaporizer Cl₂</t>
        </is>
      </c>
    </row>
    <row r="79">
      <c r="A79" s="187" t="inlineStr">
        <is>
          <t>Reference state: Cl₂, H₂O, Br₂ fasa liquid @ 25°C, 1 bar; CₙHₘ (sebagai methane), CₓHᵧCl (sebagai metil chloride), NCl₃, H₂, O₂, N₂, CO₂ fasa gas @ 25°C, 1 bar</t>
        </is>
      </c>
    </row>
    <row r="80">
      <c r="A80" s="162" t="inlineStr">
        <is>
          <t>No. aliran PFD</t>
        </is>
      </c>
      <c r="B80" s="162" t="n">
        <v>2</v>
      </c>
      <c r="C80" s="211" t="n"/>
      <c r="D80" s="162" t="n">
        <v>3</v>
      </c>
      <c r="E80" s="211" t="n"/>
    </row>
    <row r="81">
      <c r="A81" s="162" t="inlineStr">
        <is>
          <t>Dari</t>
        </is>
      </c>
      <c r="B81" s="172" t="inlineStr">
        <is>
          <t>V-101</t>
        </is>
      </c>
      <c r="C81" s="211" t="n"/>
      <c r="D81" s="172" t="inlineStr">
        <is>
          <t>E-101</t>
        </is>
      </c>
      <c r="E81" s="211" t="n"/>
    </row>
    <row r="82">
      <c r="A82" s="162" t="inlineStr">
        <is>
          <t>Ke</t>
        </is>
      </c>
      <c r="B82" s="172" t="inlineStr">
        <is>
          <t>E-101</t>
        </is>
      </c>
      <c r="C82" s="211" t="n"/>
      <c r="D82" s="172" t="inlineStr">
        <is>
          <t>R-01</t>
        </is>
      </c>
      <c r="E82" s="211" t="n"/>
    </row>
    <row r="83">
      <c r="A83" s="162" t="inlineStr">
        <is>
          <t>T (K)</t>
        </is>
      </c>
      <c r="B83" s="185">
        <f>$D$52</f>
        <v>303.15</v>
      </c>
      <c r="C83" s="211" t="n"/>
      <c r="D83" s="185">
        <f>'Data Termo'!$D$37+$B$11</f>
        <v>250.12</v>
      </c>
      <c r="E83" s="211" t="n"/>
    </row>
    <row r="84">
      <c r="A84" s="162" t="inlineStr">
        <is>
          <t>T (°C)</t>
        </is>
      </c>
      <c r="B84" s="185">
        <f>$D$53</f>
        <v>30.0</v>
      </c>
      <c r="C84" s="211" t="n"/>
      <c r="D84" s="185">
        <f>IF(ISNUMBER(D83),D83-273.15,"-")</f>
        <v>-23.029999999999973</v>
      </c>
      <c r="E84" s="211" t="n"/>
    </row>
    <row r="85">
      <c r="A85" s="162" t="inlineStr">
        <is>
          <t>P (bar abs)</t>
        </is>
      </c>
      <c r="B85" s="190">
        <f>$D$54</f>
        <v>1.01325</v>
      </c>
      <c r="C85" s="211" t="n"/>
      <c r="D85" s="190" t="n">
        <v>1.01325</v>
      </c>
      <c r="E85" s="211" t="n"/>
    </row>
    <row r="86">
      <c r="A86" s="162" t="inlineStr">
        <is>
          <t>Substance</t>
        </is>
      </c>
      <c r="B86" s="162" t="inlineStr">
        <is>
          <t>INLET</t>
        </is>
      </c>
      <c r="C86" s="211" t="n"/>
      <c r="D86" s="162" t="inlineStr">
        <is>
          <t>OUTLET</t>
        </is>
      </c>
      <c r="E86" s="211" t="n"/>
    </row>
    <row r="87">
      <c r="A87" s="212" t="n"/>
      <c r="B87" s="162" t="inlineStr">
        <is>
          <t>Aliran 2</t>
        </is>
      </c>
      <c r="C87" s="211" t="n"/>
      <c r="D87" s="162" t="inlineStr">
        <is>
          <t>Aliran 3</t>
        </is>
      </c>
      <c r="E87" s="211" t="n"/>
    </row>
    <row r="88">
      <c r="A88" s="213" t="n"/>
      <c r="B88" s="162" t="inlineStr">
        <is>
          <t>ṅᵢ (kmol/h)</t>
        </is>
      </c>
      <c r="C88" s="162" t="inlineStr">
        <is>
          <t>Ĥᵢ (kJ/kmol)</t>
        </is>
      </c>
      <c r="D88" s="162" t="inlineStr">
        <is>
          <t>ṅᵢ (kmol/h)</t>
        </is>
      </c>
      <c r="E88" s="162" t="inlineStr">
        <is>
          <t>Ĥᵢ (kJ/kmol)</t>
        </is>
      </c>
    </row>
    <row r="89">
      <c r="A89" s="163" t="inlineStr">
        <is>
          <t>Cl₂ (l)</t>
        </is>
      </c>
      <c r="B89" s="216">
        <f>E25</f>
        <v>216.5379062680412</v>
      </c>
      <c r="C89" s="217">
        <f>('Data Termo'!$J$10*($B$83-298.15)+'Data Termo'!$K$10/2*($B$83^2-298.15^2)+'Data Termo'!$L$10/3*($B$83^3-298.15^3)+'Data Termo'!$M$10/4*($B$83^4-298.15^4))</f>
        <v>373.6835056974971</v>
      </c>
      <c r="D89" s="172" t="inlineStr">
        <is>
          <t>-</t>
        </is>
      </c>
      <c r="E89" s="172" t="inlineStr">
        <is>
          <t>-</t>
        </is>
      </c>
    </row>
    <row r="90">
      <c r="A90" s="163" t="inlineStr">
        <is>
          <t>Cl₂ (g)</t>
        </is>
      </c>
      <c r="B90" s="172" t="inlineStr">
        <is>
          <t>-</t>
        </is>
      </c>
      <c r="C90" s="172" t="inlineStr">
        <is>
          <t>-</t>
        </is>
      </c>
      <c r="D90" s="216">
        <f>E25</f>
        <v>216.5379062680412</v>
      </c>
      <c r="E90" s="217">
        <f>'Data Termo'!$V$10+('Data Termo'!$E$10*($D$83-298.15)+'Data Termo'!$F$10/2*($D$83^2-298.15^2)+'Data Termo'!$G$10/3*($D$83^3-298.15^3)+'Data Termo'!$H$10/4*($D$83^4-298.15^4)+'Data Termo'!$I$10/5*($D$83^5-298.15^5))</f>
        <v>15668.788371271143</v>
      </c>
    </row>
    <row r="91">
      <c r="A91" s="163" t="inlineStr">
        <is>
          <t>CₙHₘ (g)</t>
        </is>
      </c>
      <c r="B91" s="216">
        <f>E26</f>
        <v>0.0038339791506769674</v>
      </c>
      <c r="C91" s="217">
        <f>('Data Termo'!$E$11*($B$83-298.15)+'Data Termo'!$F$11/2*($B$83^2-298.15^2)+'Data Termo'!$G$11/3*($B$83^3-298.15^3)+'Data Termo'!$H$11/4*($B$83^4-298.15^4)+'Data Termo'!$I$11/5*($B$83^5-298.15^5))</f>
        <v>182.1606378301505</v>
      </c>
      <c r="D91" s="216">
        <f>E26</f>
        <v>0.0038339791506769674</v>
      </c>
      <c r="E91" s="217">
        <f>('Data Termo'!$E$11*($D$83-298.15)+'Data Termo'!$F$11/2*($D$83^2-298.15^2)+'Data Termo'!$G$11/3*($D$83^3-298.15^3)+'Data Termo'!$H$11/4*($D$83^4-298.15^4)+'Data Termo'!$I$11/5*($D$83^5-298.15^5))</f>
        <v>-1704.61916713568</v>
      </c>
    </row>
    <row r="92">
      <c r="A92" s="163" t="inlineStr">
        <is>
          <t>H₂O (l)</t>
        </is>
      </c>
      <c r="B92" s="216">
        <f>E27</f>
        <v>0.010242885514456384</v>
      </c>
      <c r="C92" s="217">
        <f>('Data Termo'!$J$12*($B$83-298.15)+'Data Termo'!$K$12/2*($B$83^2-298.15^2)+'Data Termo'!$L$12/3*($B$83^3-298.15^3)+'Data Termo'!$M$12/4*($B$83^4-298.15^4))</f>
        <v>377.4863815881574</v>
      </c>
      <c r="D92" s="172" t="inlineStr">
        <is>
          <t>-</t>
        </is>
      </c>
      <c r="E92" s="172" t="inlineStr">
        <is>
          <t>-</t>
        </is>
      </c>
    </row>
    <row r="93">
      <c r="A93" s="163" t="inlineStr">
        <is>
          <t>H₂O (g)</t>
        </is>
      </c>
      <c r="B93" s="172" t="inlineStr">
        <is>
          <t>-</t>
        </is>
      </c>
      <c r="C93" s="172" t="inlineStr">
        <is>
          <t>-</t>
        </is>
      </c>
      <c r="D93" s="216">
        <f>E27</f>
        <v>0.010242885514456384</v>
      </c>
      <c r="E93" s="217">
        <f>'Data Termo'!$V$12+('Data Termo'!$E$12*($D$83-298.15)+'Data Termo'!$F$12/2*($D$83^2-298.15^2)+'Data Termo'!$G$12/3*($D$83^3-298.15^3)+'Data Termo'!$H$12/4*($D$83^4-298.15^4)+'Data Termo'!$I$12/5*($D$83^5-298.15^5))</f>
        <v>41082.556857610034</v>
      </c>
    </row>
    <row r="94">
      <c r="A94" s="163" t="inlineStr">
        <is>
          <t>CₓHᵧCl (g)</t>
        </is>
      </c>
      <c r="B94" s="216">
        <f>E28</f>
        <v>0.0024365602723146326</v>
      </c>
      <c r="C94" s="217">
        <f>('Data Termo'!$E$13*($B$83-298.15)+'Data Termo'!$F$13/2*($B$83^2-298.15^2)+'Data Termo'!$G$13/3*($B$83^3-298.15^3)+'Data Termo'!$H$13/4*($B$83^4-298.15^4)+'Data Termo'!$I$13/5*($B$83^5-298.15^5))</f>
        <v>209.20475882812178</v>
      </c>
      <c r="D94" s="216">
        <f>E28</f>
        <v>0.0024365602723146326</v>
      </c>
      <c r="E94" s="217">
        <f>('Data Termo'!$E$13*($D$83-298.15)+'Data Termo'!$F$13/2*($D$83^2-298.15^2)+'Data Termo'!$G$13/3*($D$83^3-298.15^3)+'Data Termo'!$H$13/4*($D$83^4-298.15^4)+'Data Termo'!$I$13/5*($D$83^5-298.15^5))</f>
        <v>-1931.722020497658</v>
      </c>
    </row>
    <row r="95">
      <c r="A95" s="163" t="inlineStr">
        <is>
          <t>Br₂ (l)</t>
        </is>
      </c>
      <c r="B95" s="216">
        <f>E29</f>
        <v>0.008660028716159318</v>
      </c>
      <c r="C95" s="217">
        <f>('Data Termo'!$J$14*($B$83-298.15)+'Data Termo'!$K$14/2*($B$83^2-298.15^2)+'Data Termo'!$L$14/3*($B$83^3-298.15^3)+'Data Termo'!$M$14/4*($B$83^4-298.15^4))</f>
        <v>383.39692167230174</v>
      </c>
      <c r="D95" s="172" t="inlineStr">
        <is>
          <t>-</t>
        </is>
      </c>
      <c r="E95" s="172" t="inlineStr">
        <is>
          <t>-</t>
        </is>
      </c>
    </row>
    <row r="96">
      <c r="A96" s="163" t="inlineStr">
        <is>
          <t>Br₂ (g)</t>
        </is>
      </c>
      <c r="B96" s="172" t="inlineStr">
        <is>
          <t>-</t>
        </is>
      </c>
      <c r="C96" s="172" t="inlineStr">
        <is>
          <t>-</t>
        </is>
      </c>
      <c r="D96" s="216">
        <f>E29</f>
        <v>0.008660028716159318</v>
      </c>
      <c r="E96" s="217">
        <f>'Data Termo'!$V$14+('Data Termo'!$E$14*($D$83-298.15)+'Data Termo'!$F$14/2*($D$83^2-298.15^2)+'Data Termo'!$G$14/3*($D$83^3-298.15^3)+'Data Termo'!$H$14/4*($D$83^4-298.15^4)+'Data Termo'!$I$14/5*($D$83^5-298.15^5))</f>
        <v>29765.26306062586</v>
      </c>
    </row>
    <row r="97">
      <c r="A97" s="163" t="inlineStr">
        <is>
          <t>NCl₃ (l)</t>
        </is>
      </c>
      <c r="B97" s="216">
        <f>E30</f>
        <v>0.0006387709001195385</v>
      </c>
      <c r="C97" s="217">
        <f>-'Data Termo'!$V$15+('Data Termo'!$J$15*($B$83-298.15)+'Data Termo'!$K$15/2*($B$83^2-298.15^2)+'Data Termo'!$L$15/3*($B$83^3-298.15^3)+'Data Termo'!$M$15/4*($B$83^4-298.15^4))</f>
        <v>-32203.195233535742</v>
      </c>
      <c r="D97" s="172" t="inlineStr">
        <is>
          <t>-</t>
        </is>
      </c>
      <c r="E97" s="172" t="inlineStr">
        <is>
          <t>-</t>
        </is>
      </c>
    </row>
    <row r="98">
      <c r="A98" s="163" t="inlineStr">
        <is>
          <t>NCl₃ (g)</t>
        </is>
      </c>
      <c r="B98" s="172" t="inlineStr">
        <is>
          <t>-</t>
        </is>
      </c>
      <c r="C98" s="172" t="inlineStr">
        <is>
          <t>-</t>
        </is>
      </c>
      <c r="D98" s="216">
        <f>E30</f>
        <v>0.0006387709001195385</v>
      </c>
      <c r="E98" s="217">
        <f>-'Data Termo'!$V$15+('Data Termo'!$J$15*($D$83-298.15)+'Data Termo'!$K$15/2*($D$83^2-298.15^2)+'Data Termo'!$L$15/3*($D$83^3-298.15^3)+'Data Termo'!$M$15/4*($D$83^4-298.15^4))+('Data Termo'!$Q$15*1000*MAX(0,1-$D$83/'Data Termo'!$R$15)^'Data Termo'!$S$15)</f>
        <v>-2857.040982313629</v>
      </c>
    </row>
    <row r="99">
      <c r="A99" s="163" t="inlineStr">
        <is>
          <t>H₂ (g)</t>
        </is>
      </c>
      <c r="B99" s="216">
        <f>E31</f>
        <v>0.2288263672407388</v>
      </c>
      <c r="C99" s="217">
        <f>('Data Termo'!$E$16*($B$83-298.15)+'Data Termo'!$F$16/2*($B$83^2-298.15^2)+'Data Termo'!$G$16/3*($B$83^3-298.15^3)+'Data Termo'!$H$16/4*($B$83^4-298.15^4)+'Data Termo'!$I$16/5*($B$83^5-298.15^5))</f>
        <v>143.87915687151903</v>
      </c>
      <c r="D99" s="216">
        <f>E31</f>
        <v>0.2288263672407388</v>
      </c>
      <c r="E99" s="217">
        <f>('Data Termo'!$E$16*($D$83-298.15)+'Data Termo'!$F$16/2*($D$83^2-298.15^2)+'Data Termo'!$G$16/3*($D$83^3-298.15^3)+'Data Termo'!$H$16/4*($D$83^4-298.15^4)+'Data Termo'!$I$16/5*($D$83^5-298.15^5))</f>
        <v>-1375.4693250940338</v>
      </c>
    </row>
    <row r="100">
      <c r="A100" s="163" t="inlineStr">
        <is>
          <t>O₂ (g)</t>
        </is>
      </c>
      <c r="B100" s="216">
        <f>E32</f>
        <v>0.08649906991293405</v>
      </c>
      <c r="C100" s="217">
        <f>('Data Termo'!$E$17*($B$83-298.15)+'Data Termo'!$F$17/2*($B$83^2-298.15^2)+'Data Termo'!$G$17/3*($B$83^3-298.15^3)+'Data Termo'!$H$17/4*($B$83^4-298.15^4)+'Data Termo'!$I$17/5*($B$83^5-298.15^5))</f>
        <v>147.3914273715615</v>
      </c>
      <c r="D100" s="216">
        <f>E32</f>
        <v>0.08649906991293405</v>
      </c>
      <c r="E100" s="217">
        <f>('Data Termo'!$E$17*($D$83-298.15)+'Data Termo'!$F$17/2*($D$83^2-298.15^2)+'Data Termo'!$G$17/3*($D$83^3-298.15^3)+'Data Termo'!$H$17/4*($D$83^4-298.15^4)+'Data Termo'!$I$17/5*($D$83^5-298.15^5))</f>
        <v>-1408.6688626001057</v>
      </c>
    </row>
    <row r="101">
      <c r="A101" s="163" t="inlineStr">
        <is>
          <t>N₂ (g)</t>
        </is>
      </c>
      <c r="B101" s="216">
        <f>E33</f>
        <v>0.3293452961785746</v>
      </c>
      <c r="C101" s="217">
        <f>('Data Termo'!$E$18*($B$83-298.15)+'Data Termo'!$F$18/2*($B$83^2-298.15^2)+'Data Termo'!$G$18/3*($B$83^3-298.15^3)+'Data Termo'!$H$18/4*($B$83^4-298.15^4)+'Data Termo'!$I$18/5*($B$83^5-298.15^5))</f>
        <v>145.36791939601756</v>
      </c>
      <c r="D101" s="216">
        <f>E33</f>
        <v>0.3293452961785746</v>
      </c>
      <c r="E101" s="217">
        <f>('Data Termo'!$E$18*($D$83-298.15)+'Data Termo'!$F$18/2*($D$83^2-298.15^2)+'Data Termo'!$G$18/3*($D$83^3-298.15^3)+'Data Termo'!$H$18/4*($D$83^4-298.15^4)+'Data Termo'!$I$18/5*($D$83^5-298.15^5))</f>
        <v>-1394.9270651533782</v>
      </c>
    </row>
    <row r="102">
      <c r="A102" s="163" t="inlineStr">
        <is>
          <t>CO₂ (g)</t>
        </is>
      </c>
      <c r="B102" s="216">
        <f>E34</f>
        <v>0.20964051640869322</v>
      </c>
      <c r="C102" s="217">
        <f>('Data Termo'!$E$19*($B$83-298.15)+'Data Termo'!$F$19/2*($B$83^2-298.15^2)+'Data Termo'!$G$19/3*($B$83^3-298.15^3)+'Data Termo'!$H$19/4*($B$83^4-298.15^4)+'Data Termo'!$I$19/5*($B$83^5-298.15^5))</f>
        <v>192.48781180015672</v>
      </c>
      <c r="D102" s="216">
        <f>E34</f>
        <v>0.20964051640869322</v>
      </c>
      <c r="E102" s="217">
        <f>('Data Termo'!$E$19*($D$83-298.15)+'Data Termo'!$F$19/2*($D$83^2-298.15^2)+'Data Termo'!$G$19/3*($D$83^3-298.15^3)+'Data Termo'!$H$19/4*($D$83^4-298.15^4)+'Data Termo'!$I$19/5*($D$83^5-298.15^5))</f>
        <v>-1808.087575767796</v>
      </c>
    </row>
    <row r="103">
      <c r="A103" s="200" t="inlineStr">
        <is>
          <t>Sub Total ṅᵢĤᵢ (kJ/h)</t>
        </is>
      </c>
      <c r="B103" s="218">
        <f>SUMPRODUCT(B89:B102,C89:C102)</f>
        <v>81038.37043577037</v>
      </c>
      <c r="C103" s="211" t="n"/>
      <c r="D103" s="218">
        <f>SUMPRODUCT(D89:D102,E89:E102)</f>
        <v>3392277.0791294896</v>
      </c>
      <c r="E103" s="211" t="n"/>
    </row>
    <row r="104">
      <c r="A104" s="163" t="inlineStr">
        <is>
          <t>Heat of reaction / heat of mixing (kJ/h)</t>
        </is>
      </c>
      <c r="B104" s="219" t="inlineStr">
        <is>
          <t>-</t>
        </is>
      </c>
      <c r="C104" s="211" t="n"/>
      <c r="D104" s="220" t="inlineStr">
        <is>
          <t>-</t>
        </is>
      </c>
      <c r="E104" s="211" t="n"/>
    </row>
    <row r="105">
      <c r="A105" s="200" t="inlineStr">
        <is>
          <t>Q (kJ/h)</t>
        </is>
      </c>
      <c r="B105" s="218">
        <f>(D103)-(B103)</f>
        <v>3311238.7086937195</v>
      </c>
      <c r="C105" s="210" t="n"/>
      <c r="D105" s="210" t="n"/>
      <c r="E105" s="211" t="n"/>
    </row>
    <row r="106">
      <c r="A106" s="200" t="inlineStr">
        <is>
          <t>W (kJ/h)</t>
        </is>
      </c>
      <c r="B106" s="218" t="n">
        <v>0</v>
      </c>
      <c r="C106" s="210" t="n"/>
      <c r="D106" s="210" t="n"/>
      <c r="E106" s="211" t="n"/>
    </row>
    <row r="107">
      <c r="A107" s="200" t="inlineStr">
        <is>
          <t>TOTAL (kJ/h)</t>
        </is>
      </c>
      <c r="B107" s="218">
        <f>B103+$B$105+$B$106</f>
        <v>3392277.07912949</v>
      </c>
      <c r="C107" s="211" t="n"/>
      <c r="D107" s="218">
        <f>(D103)</f>
        <v>3392277.0791294896</v>
      </c>
      <c r="E107" s="211" t="n"/>
    </row>
    <row r="108">
      <c r="A108" s="163" t="inlineStr">
        <is>
          <t>Selisih masuk − keluar (kJ/h)</t>
        </is>
      </c>
      <c r="B108" s="217">
        <f>B107-D107</f>
        <v>4.656612873077393e-10</v>
      </c>
      <c r="C108" s="210" t="n"/>
      <c r="D108" s="210" t="n"/>
      <c r="E108" s="211" t="n"/>
    </row>
    <row r="109">
      <c r="A109" s="163" t="inlineStr">
        <is>
          <t>Q (kW)</t>
        </is>
      </c>
      <c r="B109" s="217">
        <f>$B$105/3600</f>
        <v>919.7885301926999</v>
      </c>
      <c r="C109" s="210" t="n"/>
      <c r="D109" s="210" t="n"/>
      <c r="E109" s="211" t="n"/>
    </row>
    <row r="110">
      <c r="A110" s="163" t="inlineStr">
        <is>
          <t>W (kW)</t>
        </is>
      </c>
      <c r="B110" s="217">
        <f>$B$106/3600</f>
        <v>0.0</v>
      </c>
      <c r="C110" s="210" t="n"/>
      <c r="D110" s="210" t="n"/>
      <c r="E110" s="211" t="n"/>
    </row>
    <row r="113">
      <c r="A113" s="169" t="inlineStr">
        <is>
          <t>Neraca Energi T-102: Tangki penyangga etilena</t>
        </is>
      </c>
    </row>
    <row r="114">
      <c r="A114" s="187" t="inlineStr">
        <is>
          <t>Reference state: C₂H₄, CH₄, C₂H₆, C₂H₂ fasa gas @ 25°C, 1 bar</t>
        </is>
      </c>
    </row>
    <row r="115">
      <c r="A115" s="162" t="inlineStr">
        <is>
          <t>No. aliran PFD</t>
        </is>
      </c>
      <c r="B115" s="162" t="n">
        <v>4</v>
      </c>
      <c r="C115" s="211" t="n"/>
      <c r="D115" s="162" t="n">
        <v>5</v>
      </c>
      <c r="E115" s="211" t="n"/>
    </row>
    <row r="116">
      <c r="A116" s="162" t="inlineStr">
        <is>
          <t>Dari</t>
        </is>
      </c>
      <c r="B116" s="172" t="inlineStr">
        <is>
          <t>Pipa etilena</t>
        </is>
      </c>
      <c r="C116" s="211" t="n"/>
      <c r="D116" s="172" t="inlineStr">
        <is>
          <t>T-102</t>
        </is>
      </c>
      <c r="E116" s="211" t="n"/>
    </row>
    <row r="117">
      <c r="A117" s="162" t="inlineStr">
        <is>
          <t>Ke</t>
        </is>
      </c>
      <c r="B117" s="172" t="inlineStr">
        <is>
          <t>T-102</t>
        </is>
      </c>
      <c r="C117" s="211" t="n"/>
      <c r="D117" s="172" t="inlineStr">
        <is>
          <t>V-102</t>
        </is>
      </c>
      <c r="E117" s="211" t="n"/>
    </row>
    <row r="118">
      <c r="A118" s="162" t="inlineStr">
        <is>
          <t>T (K)</t>
        </is>
      </c>
      <c r="B118" s="185">
        <f>B119+273.15</f>
        <v>303.15</v>
      </c>
      <c r="C118" s="211" t="n"/>
      <c r="D118" s="185">
        <f>D119+273.15</f>
        <v>303.15</v>
      </c>
      <c r="E118" s="211" t="n"/>
    </row>
    <row r="119">
      <c r="A119" s="162" t="inlineStr">
        <is>
          <t>T (°C)</t>
        </is>
      </c>
      <c r="B119" s="185" t="n">
        <v>30</v>
      </c>
      <c r="C119" s="211" t="n"/>
      <c r="D119" s="185" t="n">
        <v>30</v>
      </c>
      <c r="E119" s="211" t="n"/>
    </row>
    <row r="120">
      <c r="A120" s="162" t="inlineStr">
        <is>
          <t>P (bar abs)</t>
        </is>
      </c>
      <c r="B120" s="190" t="n">
        <v>36.3</v>
      </c>
      <c r="C120" s="211" t="n"/>
      <c r="D120" s="190" t="n">
        <v>36.3</v>
      </c>
      <c r="E120" s="211" t="n"/>
    </row>
    <row r="121">
      <c r="A121" s="162" t="inlineStr">
        <is>
          <t>Substance</t>
        </is>
      </c>
      <c r="B121" s="162" t="inlineStr">
        <is>
          <t>INLET</t>
        </is>
      </c>
      <c r="C121" s="211" t="n"/>
      <c r="D121" s="162" t="inlineStr">
        <is>
          <t>OUTLET</t>
        </is>
      </c>
      <c r="E121" s="211" t="n"/>
    </row>
    <row r="122">
      <c r="A122" s="212" t="n"/>
      <c r="B122" s="162" t="inlineStr">
        <is>
          <t>Aliran 4</t>
        </is>
      </c>
      <c r="C122" s="211" t="n"/>
      <c r="D122" s="162" t="inlineStr">
        <is>
          <t>Aliran 5</t>
        </is>
      </c>
      <c r="E122" s="211" t="n"/>
    </row>
    <row r="123">
      <c r="A123" s="213" t="n"/>
      <c r="B123" s="162" t="inlineStr">
        <is>
          <t>ṅᵢ (kmol/h)</t>
        </is>
      </c>
      <c r="C123" s="162" t="inlineStr">
        <is>
          <t>Ĥᵢ (kJ/kmol)</t>
        </is>
      </c>
      <c r="D123" s="162" t="inlineStr">
        <is>
          <t>ṅᵢ (kmol/h)</t>
        </is>
      </c>
      <c r="E123" s="162" t="inlineStr">
        <is>
          <t>Ĥᵢ (kJ/kmol)</t>
        </is>
      </c>
    </row>
    <row r="124">
      <c r="A124" s="163" t="inlineStr">
        <is>
          <t>C₂H₄ (g)</t>
        </is>
      </c>
      <c r="B124" s="216">
        <f>I21+'NME-2 Oksiklorinasi'!E20</f>
        <v>420.6434440993977</v>
      </c>
      <c r="C124" s="217">
        <f>('Data Termo'!$E$6*($B$118-298.15)+'Data Termo'!$F$6/2*($B$118^2-298.15^2)+'Data Termo'!$G$6/3*($B$118^3-298.15^3)+'Data Termo'!$H$6/4*($B$118^4-298.15^4)+'Data Termo'!$I$6/5*($B$118^5-298.15^5))</f>
        <v>220.58368938839305</v>
      </c>
      <c r="D124" s="216">
        <f>I21+'NME-2 Oksiklorinasi'!E20</f>
        <v>420.6434440993977</v>
      </c>
      <c r="E124" s="217">
        <f>('Data Termo'!$E$6*($D$118-298.15)+'Data Termo'!$F$6/2*($D$118^2-298.15^2)+'Data Termo'!$G$6/3*($D$118^3-298.15^3)+'Data Termo'!$H$6/4*($D$118^4-298.15^4)+'Data Termo'!$I$6/5*($D$118^5-298.15^5))</f>
        <v>220.58368938839305</v>
      </c>
    </row>
    <row r="125">
      <c r="A125" s="163" t="inlineStr">
        <is>
          <t>CH₄ (g)</t>
        </is>
      </c>
      <c r="B125" s="216">
        <f>I22+'NME-2 Oksiklorinasi'!E21</f>
        <v>0.17031229265255882</v>
      </c>
      <c r="C125" s="217">
        <f>('Data Termo'!$E$7*($B$118-298.15)+'Data Termo'!$F$7/2*($B$118^2-298.15^2)+'Data Termo'!$G$7/3*($B$118^3-298.15^3)+'Data Termo'!$H$7/4*($B$118^4-298.15^4)+'Data Termo'!$I$7/5*($B$118^5-298.15^5))</f>
        <v>182.1606378301505</v>
      </c>
      <c r="D125" s="216">
        <f>I22+'NME-2 Oksiklorinasi'!E21</f>
        <v>0.17031229265255882</v>
      </c>
      <c r="E125" s="217">
        <f>('Data Termo'!$E$7*($D$118-298.15)+'Data Termo'!$F$7/2*($D$118^2-298.15^2)+'Data Termo'!$G$7/3*($D$118^3-298.15^3)+'Data Termo'!$H$7/4*($D$118^4-298.15^4)+'Data Termo'!$I$7/5*($D$118^5-298.15^5))</f>
        <v>182.1606378301505</v>
      </c>
    </row>
    <row r="126">
      <c r="A126" s="163" t="inlineStr">
        <is>
          <t>C₂H₆ (g)</t>
        </is>
      </c>
      <c r="B126" s="216">
        <f>I23+'NME-2 Oksiklorinasi'!E22</f>
        <v>0.0049586190845116096</v>
      </c>
      <c r="C126" s="217">
        <f>('Data Termo'!$E$8*($B$118-298.15)+'Data Termo'!$F$8/2*($B$118^2-298.15^2)+'Data Termo'!$G$8/3*($B$118^3-298.15^3)+'Data Termo'!$H$8/4*($B$118^4-298.15^4)+'Data Termo'!$I$8/5*($B$118^5-298.15^5))</f>
        <v>267.9199454406656</v>
      </c>
      <c r="D126" s="216">
        <f>I23+'NME-2 Oksiklorinasi'!E22</f>
        <v>0.0049586190845116096</v>
      </c>
      <c r="E126" s="217">
        <f>('Data Termo'!$E$8*($D$118-298.15)+'Data Termo'!$F$8/2*($D$118^2-298.15^2)+'Data Termo'!$G$8/3*($D$118^3-298.15^3)+'Data Termo'!$H$8/4*($D$118^4-298.15^4)+'Data Termo'!$I$8/5*($D$118^5-298.15^5))</f>
        <v>267.9199454406656</v>
      </c>
    </row>
    <row r="127">
      <c r="A127" s="163" t="inlineStr">
        <is>
          <t>C₂H₂ (g)</t>
        </is>
      </c>
      <c r="B127" s="216">
        <f>I24+'NME-2 Oksiklorinasi'!E23</f>
        <v>0.002193271289817931</v>
      </c>
      <c r="C127" s="217">
        <f>('Data Termo'!$E$9*($B$118-298.15)+'Data Termo'!$F$9/2*($B$118^2-298.15^2)+'Data Termo'!$G$9/3*($B$118^3-298.15^3)+'Data Termo'!$H$9/4*($B$118^4-298.15^4)+'Data Termo'!$I$9/5*($B$118^5-298.15^5))</f>
        <v>223.18996568090688</v>
      </c>
      <c r="D127" s="216">
        <f>I24+'NME-2 Oksiklorinasi'!E23</f>
        <v>0.002193271289817931</v>
      </c>
      <c r="E127" s="217">
        <f>('Data Termo'!$E$9*($D$118-298.15)+'Data Termo'!$F$9/2*($D$118^2-298.15^2)+'Data Termo'!$G$9/3*($D$118^3-298.15^3)+'Data Termo'!$H$9/4*($D$118^4-298.15^4)+'Data Termo'!$I$9/5*($D$118^5-298.15^5))</f>
        <v>223.18996568090688</v>
      </c>
    </row>
    <row r="128">
      <c r="A128" s="163" t="inlineStr">
        <is>
          <t>Koreksi gas nyata (kJ/h)</t>
        </is>
      </c>
      <c r="B128" s="217">
        <f>SUM(B124:B127)*('Data Termo'!$D$40*'Data Termo'!$D$30*($B$120/'Data Termo'!$D$31)*((0.083-0.422/($B$118/'Data Termo'!$D$30)^1.6)-($B$118/'Data Termo'!$D$30)*0.675/($B$118/'Data Termo'!$D$30)^2.6+'Data Termo'!$D$32*((0.139-0.172/($B$118/'Data Termo'!$D$30)^4.2)-($B$118/'Data Termo'!$D$30)*0.722/($B$118/'Data Termo'!$D$30)^5.2)))</f>
        <v>-670389.3432831898</v>
      </c>
      <c r="C128" s="211" t="n"/>
      <c r="D128" s="217">
        <f>SUM(D124:D127)*('Data Termo'!$D$40*'Data Termo'!$D$30*($D$120/'Data Termo'!$D$31)*((0.083-0.422/($D$118/'Data Termo'!$D$30)^1.6)-($D$118/'Data Termo'!$D$30)*0.675/($D$118/'Data Termo'!$D$30)^2.6+'Data Termo'!$D$32*((0.139-0.172/($D$118/'Data Termo'!$D$30)^4.2)-($D$118/'Data Termo'!$D$30)*0.722/($D$118/'Data Termo'!$D$30)^5.2)))</f>
        <v>-670389.3432831898</v>
      </c>
      <c r="E128" s="211" t="n"/>
    </row>
    <row r="129">
      <c r="A129" s="200" t="inlineStr">
        <is>
          <t>Sub Total ṅᵢĤᵢ (kJ/h)</t>
        </is>
      </c>
      <c r="B129" s="218">
        <f>SUMPRODUCT(B124:B127,C124:C127)+B128</f>
        <v>-577569.418241746</v>
      </c>
      <c r="C129" s="211" t="n"/>
      <c r="D129" s="218">
        <f>SUMPRODUCT(D124:D127,E124:E127)+D128</f>
        <v>-577569.418241746</v>
      </c>
      <c r="E129" s="211" t="n"/>
    </row>
    <row r="130">
      <c r="A130" s="163" t="inlineStr">
        <is>
          <t>Heat of reaction / heat of mixing (kJ/h)</t>
        </is>
      </c>
      <c r="B130" s="219" t="inlineStr">
        <is>
          <t>-</t>
        </is>
      </c>
      <c r="C130" s="211" t="n"/>
      <c r="D130" s="220" t="inlineStr">
        <is>
          <t>-</t>
        </is>
      </c>
      <c r="E130" s="211" t="n"/>
    </row>
    <row r="131">
      <c r="A131" s="200" t="inlineStr">
        <is>
          <t>Q (kJ/h)</t>
        </is>
      </c>
      <c r="B131" s="218" t="n">
        <v>0</v>
      </c>
      <c r="C131" s="210" t="n"/>
      <c r="D131" s="210" t="n"/>
      <c r="E131" s="211" t="n"/>
    </row>
    <row r="132">
      <c r="A132" s="200" t="inlineStr">
        <is>
          <t>W (kJ/h)</t>
        </is>
      </c>
      <c r="B132" s="218" t="n">
        <v>0</v>
      </c>
      <c r="C132" s="210" t="n"/>
      <c r="D132" s="210" t="n"/>
      <c r="E132" s="211" t="n"/>
    </row>
    <row r="133">
      <c r="A133" s="200" t="inlineStr">
        <is>
          <t>TOTAL (kJ/h)</t>
        </is>
      </c>
      <c r="B133" s="218">
        <f>B129+$B$131+$B$132</f>
        <v>-577569.418241746</v>
      </c>
      <c r="C133" s="211" t="n"/>
      <c r="D133" s="218">
        <f>(D129)</f>
        <v>-577569.418241746</v>
      </c>
      <c r="E133" s="211" t="n"/>
    </row>
    <row r="134">
      <c r="A134" s="163" t="inlineStr">
        <is>
          <t>Selisih masuk − keluar (kJ/h)</t>
        </is>
      </c>
      <c r="B134" s="217">
        <f>B133-D133</f>
        <v>0.0</v>
      </c>
      <c r="C134" s="210" t="n"/>
      <c r="D134" s="210" t="n"/>
      <c r="E134" s="211" t="n"/>
    </row>
    <row r="135">
      <c r="A135" s="163" t="inlineStr">
        <is>
          <t>Q (kW)</t>
        </is>
      </c>
      <c r="B135" s="217">
        <f>$B$131/3600</f>
        <v>0.0</v>
      </c>
      <c r="C135" s="210" t="n"/>
      <c r="D135" s="210" t="n"/>
      <c r="E135" s="211" t="n"/>
    </row>
    <row r="136">
      <c r="A136" s="163" t="inlineStr">
        <is>
          <t>W (kW)</t>
        </is>
      </c>
      <c r="B136" s="217">
        <f>$B$132/3600</f>
        <v>0.0</v>
      </c>
      <c r="C136" s="210" t="n"/>
      <c r="D136" s="210" t="n"/>
      <c r="E136" s="211" t="n"/>
    </row>
    <row r="139">
      <c r="A139" s="169" t="inlineStr">
        <is>
          <t>Neraca Energi V-102: Valve penurun tekanan etilena</t>
        </is>
      </c>
    </row>
    <row r="140">
      <c r="A140" s="187" t="inlineStr">
        <is>
          <t>Reference state: C₂H₄, CH₄, C₂H₆, C₂H₂ fasa gas @ 25°C, 1 bar</t>
        </is>
      </c>
    </row>
    <row r="141">
      <c r="A141" s="162" t="inlineStr">
        <is>
          <t>No. aliran PFD</t>
        </is>
      </c>
      <c r="B141" s="162" t="n">
        <v>5</v>
      </c>
      <c r="C141" s="211" t="n"/>
      <c r="D141" s="162" t="n">
        <v>6</v>
      </c>
      <c r="E141" s="211" t="n"/>
    </row>
    <row r="142">
      <c r="A142" s="162" t="inlineStr">
        <is>
          <t>Dari</t>
        </is>
      </c>
      <c r="B142" s="172" t="inlineStr">
        <is>
          <t>T-102</t>
        </is>
      </c>
      <c r="C142" s="211" t="n"/>
      <c r="D142" s="172" t="inlineStr">
        <is>
          <t>V-102</t>
        </is>
      </c>
      <c r="E142" s="211" t="n"/>
    </row>
    <row r="143">
      <c r="A143" s="162" t="inlineStr">
        <is>
          <t>Ke</t>
        </is>
      </c>
      <c r="B143" s="172" t="inlineStr">
        <is>
          <t>V-102</t>
        </is>
      </c>
      <c r="C143" s="211" t="n"/>
      <c r="D143" s="172" t="inlineStr">
        <is>
          <t>E-102</t>
        </is>
      </c>
      <c r="E143" s="211" t="n"/>
    </row>
    <row r="144">
      <c r="A144" s="162" t="inlineStr">
        <is>
          <t>T (K)</t>
        </is>
      </c>
      <c r="B144" s="185">
        <f>$D$118</f>
        <v>303.15</v>
      </c>
      <c r="C144" s="211" t="n"/>
      <c r="D144" s="185">
        <f>IFERROR(IF(D144&lt;100,$B$144,D144+(B159-D155)/(SUM(D150:D153)*('Data Termo'!$E$6+'Data Termo'!$F$6*D144+'Data Termo'!$G$6*D144^2+'Data Termo'!$H$6*D144^3+'Data Termo'!$I$6*D144^4))),$B$144)</f>
        <v>272.9207875273624</v>
      </c>
      <c r="E144" s="211" t="n"/>
    </row>
    <row r="145">
      <c r="A145" s="162" t="inlineStr">
        <is>
          <t>T (°C)</t>
        </is>
      </c>
      <c r="B145" s="185">
        <f>$D$119</f>
        <v>30.0</v>
      </c>
      <c r="C145" s="211" t="n"/>
      <c r="D145" s="185">
        <f>IF(ISNUMBER(D144),D144-273.15,"-")</f>
        <v>-0.2292124726375846</v>
      </c>
      <c r="E145" s="211" t="n"/>
    </row>
    <row r="146">
      <c r="A146" s="162" t="inlineStr">
        <is>
          <t>P (bar abs)</t>
        </is>
      </c>
      <c r="B146" s="190">
        <f>$D$120</f>
        <v>36.3</v>
      </c>
      <c r="C146" s="211" t="n"/>
      <c r="D146" s="190" t="n">
        <v>5.370225</v>
      </c>
      <c r="E146" s="211" t="n"/>
    </row>
    <row r="147">
      <c r="A147" s="162" t="inlineStr">
        <is>
          <t>Substance</t>
        </is>
      </c>
      <c r="B147" s="162" t="inlineStr">
        <is>
          <t>INLET</t>
        </is>
      </c>
      <c r="C147" s="211" t="n"/>
      <c r="D147" s="162" t="inlineStr">
        <is>
          <t>OUTLET</t>
        </is>
      </c>
      <c r="E147" s="211" t="n"/>
    </row>
    <row r="148">
      <c r="A148" s="212" t="n"/>
      <c r="B148" s="162" t="inlineStr">
        <is>
          <t>Aliran 5</t>
        </is>
      </c>
      <c r="C148" s="211" t="n"/>
      <c r="D148" s="162" t="inlineStr">
        <is>
          <t>Aliran 6</t>
        </is>
      </c>
      <c r="E148" s="211" t="n"/>
    </row>
    <row r="149">
      <c r="A149" s="213" t="n"/>
      <c r="B149" s="162" t="inlineStr">
        <is>
          <t>ṅᵢ (kmol/h)</t>
        </is>
      </c>
      <c r="C149" s="162" t="inlineStr">
        <is>
          <t>Ĥᵢ (kJ/kmol)</t>
        </is>
      </c>
      <c r="D149" s="162" t="inlineStr">
        <is>
          <t>ṅᵢ (kmol/h)</t>
        </is>
      </c>
      <c r="E149" s="162" t="inlineStr">
        <is>
          <t>Ĥᵢ (kJ/kmol)</t>
        </is>
      </c>
    </row>
    <row r="150">
      <c r="A150" s="163" t="inlineStr">
        <is>
          <t>C₂H₄ (g)</t>
        </is>
      </c>
      <c r="B150" s="216">
        <f>I21+'NME-2 Oksiklorinasi'!E20</f>
        <v>420.6434440993977</v>
      </c>
      <c r="C150" s="217">
        <f>('Data Termo'!$E$6*($B$144-298.15)+'Data Termo'!$F$6/2*($B$144^2-298.15^2)+'Data Termo'!$G$6/3*($B$144^3-298.15^3)+'Data Termo'!$H$6/4*($B$144^4-298.15^4)+'Data Termo'!$I$6/5*($B$144^5-298.15^5))</f>
        <v>220.58368938839305</v>
      </c>
      <c r="D150" s="216">
        <f>I21+'NME-2 Oksiklorinasi'!E20</f>
        <v>420.6434440993977</v>
      </c>
      <c r="E150" s="217">
        <f>('Data Termo'!$E$6*($D$144-298.15)+'Data Termo'!$F$6/2*($D$144^2-298.15^2)+'Data Termo'!$G$6/3*($D$144^3-298.15^3)+'Data Termo'!$H$6/4*($D$144^4-298.15^4)+'Data Termo'!$I$6/5*($D$144^5-298.15^5))</f>
        <v>-1084.1457396393514</v>
      </c>
    </row>
    <row r="151">
      <c r="A151" s="163" t="inlineStr">
        <is>
          <t>CH₄ (g)</t>
        </is>
      </c>
      <c r="B151" s="216">
        <f>I22+'NME-2 Oksiklorinasi'!E21</f>
        <v>0.17031229265255882</v>
      </c>
      <c r="C151" s="217">
        <f>('Data Termo'!$E$7*($B$144-298.15)+'Data Termo'!$F$7/2*($B$144^2-298.15^2)+'Data Termo'!$G$7/3*($B$144^3-298.15^3)+'Data Termo'!$H$7/4*($B$144^4-298.15^4)+'Data Termo'!$I$7/5*($B$144^5-298.15^5))</f>
        <v>182.1606378301505</v>
      </c>
      <c r="D151" s="216">
        <f>I22+'NME-2 Oksiklorinasi'!E21</f>
        <v>0.17031229265255882</v>
      </c>
      <c r="E151" s="217">
        <f>('Data Termo'!$E$7*($D$144-298.15)+'Data Termo'!$F$7/2*($D$144^2-298.15^2)+'Data Termo'!$G$7/3*($D$144^3-298.15^3)+'Data Termo'!$H$7/4*($D$144^4-298.15^4)+'Data Termo'!$I$7/5*($D$144^5-298.15^5))</f>
        <v>-905.1426883252273</v>
      </c>
    </row>
    <row r="152">
      <c r="A152" s="163" t="inlineStr">
        <is>
          <t>C₂H₆ (g)</t>
        </is>
      </c>
      <c r="B152" s="216">
        <f>I23+'NME-2 Oksiklorinasi'!E22</f>
        <v>0.0049586190845116096</v>
      </c>
      <c r="C152" s="217">
        <f>('Data Termo'!$E$8*($B$144-298.15)+'Data Termo'!$F$8/2*($B$144^2-298.15^2)+'Data Termo'!$G$8/3*($B$144^3-298.15^3)+'Data Termo'!$H$8/4*($B$144^4-298.15^4)+'Data Termo'!$I$8/5*($B$144^5-298.15^5))</f>
        <v>267.9199454406656</v>
      </c>
      <c r="D152" s="216">
        <f>I23+'NME-2 Oksiklorinasi'!E22</f>
        <v>0.0049586190845116096</v>
      </c>
      <c r="E152" s="217">
        <f>('Data Termo'!$E$8*($D$144-298.15)+'Data Termo'!$F$8/2*($D$144^2-298.15^2)+'Data Termo'!$G$8/3*($D$144^3-298.15^3)+'Data Termo'!$H$8/4*($D$144^4-298.15^4)+'Data Termo'!$I$8/5*($D$144^5-298.15^5))</f>
        <v>-1309.7378804551038</v>
      </c>
    </row>
    <row r="153">
      <c r="A153" s="163" t="inlineStr">
        <is>
          <t>C₂H₂ (g)</t>
        </is>
      </c>
      <c r="B153" s="216">
        <f>I24+'NME-2 Oksiklorinasi'!E23</f>
        <v>0.002193271289817931</v>
      </c>
      <c r="C153" s="217">
        <f>('Data Termo'!$E$9*($B$144-298.15)+'Data Termo'!$F$9/2*($B$144^2-298.15^2)+'Data Termo'!$G$9/3*($B$144^3-298.15^3)+'Data Termo'!$H$9/4*($B$144^4-298.15^4)+'Data Termo'!$I$9/5*($B$144^5-298.15^5))</f>
        <v>223.18996568090688</v>
      </c>
      <c r="D153" s="216">
        <f>I24+'NME-2 Oksiklorinasi'!E23</f>
        <v>0.002193271289817931</v>
      </c>
      <c r="E153" s="217">
        <f>('Data Termo'!$E$9*($D$144-298.15)+'Data Termo'!$F$9/2*($D$144^2-298.15^2)+'Data Termo'!$G$9/3*($D$144^3-298.15^3)+'Data Termo'!$H$9/4*($D$144^4-298.15^4)+'Data Termo'!$I$9/5*($D$144^5-298.15^5))</f>
        <v>-1103.3496812399683</v>
      </c>
    </row>
    <row r="154">
      <c r="A154" s="163" t="inlineStr">
        <is>
          <t>Koreksi gas nyata (kJ/h)</t>
        </is>
      </c>
      <c r="B154" s="217">
        <f>SUM(B150:B153)*('Data Termo'!$D$40*'Data Termo'!$D$30*($B$146/'Data Termo'!$D$31)*((0.083-0.422/($B$144/'Data Termo'!$D$30)^1.6)-($B$144/'Data Termo'!$D$30)*0.675/($B$144/'Data Termo'!$D$30)^2.6+'Data Termo'!$D$32*((0.139-0.172/($B$144/'Data Termo'!$D$30)^4.2)-($B$144/'Data Termo'!$D$30)*0.722/($B$144/'Data Termo'!$D$30)^5.2)))</f>
        <v>-670389.3432831898</v>
      </c>
      <c r="C154" s="211" t="n"/>
      <c r="D154" s="217">
        <f>SUM(D150:D153)*('Data Termo'!$D$40*'Data Termo'!$D$30*($D$146/'Data Termo'!$D$31)*((0.083-0.422/($D$144/'Data Termo'!$D$30)^1.6)-($D$144/'Data Termo'!$D$30)*0.675/($D$144/'Data Termo'!$D$30)^2.6+'Data Termo'!$D$32*((0.139-0.172/($D$144/'Data Termo'!$D$30)^4.2)-($D$144/'Data Termo'!$D$30)*0.722/($D$144/'Data Termo'!$D$30)^5.2)))</f>
        <v>-121367.54905129451</v>
      </c>
      <c r="E154" s="211" t="n"/>
    </row>
    <row r="155">
      <c r="A155" s="200" t="inlineStr">
        <is>
          <t>Sub Total ṅᵢĤᵢ (kJ/h)</t>
        </is>
      </c>
      <c r="B155" s="218">
        <f>SUMPRODUCT(B150:B153,C150:C153)+B154</f>
        <v>-577569.418241746</v>
      </c>
      <c r="C155" s="211" t="n"/>
      <c r="D155" s="218">
        <f>SUMPRODUCT(D150:D153,E150:E153)+D154</f>
        <v>-577569.4182417348</v>
      </c>
      <c r="E155" s="211" t="n"/>
    </row>
    <row r="156">
      <c r="A156" s="163" t="inlineStr">
        <is>
          <t>Heat of reaction / heat of mixing (kJ/h)</t>
        </is>
      </c>
      <c r="B156" s="219" t="inlineStr">
        <is>
          <t>-</t>
        </is>
      </c>
      <c r="C156" s="211" t="n"/>
      <c r="D156" s="220" t="inlineStr">
        <is>
          <t>-</t>
        </is>
      </c>
      <c r="E156" s="211" t="n"/>
    </row>
    <row r="157">
      <c r="A157" s="200" t="inlineStr">
        <is>
          <t>Q (kJ/h)</t>
        </is>
      </c>
      <c r="B157" s="218" t="n">
        <v>0</v>
      </c>
      <c r="C157" s="210" t="n"/>
      <c r="D157" s="210" t="n"/>
      <c r="E157" s="211" t="n"/>
    </row>
    <row r="158">
      <c r="A158" s="200" t="inlineStr">
        <is>
          <t>W (kJ/h)</t>
        </is>
      </c>
      <c r="B158" s="218" t="n">
        <v>0</v>
      </c>
      <c r="C158" s="210" t="n"/>
      <c r="D158" s="210" t="n"/>
      <c r="E158" s="211" t="n"/>
    </row>
    <row r="159">
      <c r="A159" s="200" t="inlineStr">
        <is>
          <t>TOTAL (kJ/h)</t>
        </is>
      </c>
      <c r="B159" s="218">
        <f>B155+$B$157+$B$158</f>
        <v>-577569.418241746</v>
      </c>
      <c r="C159" s="211" t="n"/>
      <c r="D159" s="218">
        <f>(D155)</f>
        <v>-577569.4182417348</v>
      </c>
      <c r="E159" s="211" t="n"/>
    </row>
    <row r="160">
      <c r="A160" s="163" t="inlineStr">
        <is>
          <t>Selisih masuk − keluar (kJ/h)</t>
        </is>
      </c>
      <c r="B160" s="217">
        <f>B159-D159</f>
        <v>-1.1175870895385742e-08</v>
      </c>
      <c r="C160" s="210" t="n"/>
      <c r="D160" s="210" t="n"/>
      <c r="E160" s="211" t="n"/>
    </row>
    <row r="161">
      <c r="A161" s="163" t="inlineStr">
        <is>
          <t>Q (kW)</t>
        </is>
      </c>
      <c r="B161" s="217">
        <f>$B$157/3600</f>
        <v>0.0</v>
      </c>
      <c r="C161" s="210" t="n"/>
      <c r="D161" s="210" t="n"/>
      <c r="E161" s="211" t="n"/>
    </row>
    <row r="162">
      <c r="A162" s="163" t="inlineStr">
        <is>
          <t>W (kW)</t>
        </is>
      </c>
      <c r="B162" s="217">
        <f>$B$158/3600</f>
        <v>0.0</v>
      </c>
      <c r="C162" s="210" t="n"/>
      <c r="D162" s="210" t="n"/>
      <c r="E162" s="211" t="n"/>
    </row>
    <row r="165">
      <c r="A165" s="169" t="inlineStr">
        <is>
          <t>Neraca Energi E-102: Pemanas etilena setelah ekspansi</t>
        </is>
      </c>
    </row>
    <row r="166">
      <c r="A166" s="187" t="inlineStr">
        <is>
          <t>Reference state: C₂H₄, CH₄, C₂H₆, C₂H₂ fasa gas @ 25°C, 1 bar</t>
        </is>
      </c>
    </row>
    <row r="167">
      <c r="A167" s="162" t="inlineStr">
        <is>
          <t>No. aliran PFD</t>
        </is>
      </c>
      <c r="B167" s="162" t="n">
        <v>6</v>
      </c>
      <c r="C167" s="211" t="n"/>
      <c r="D167" s="162" t="n">
        <v>7</v>
      </c>
      <c r="E167" s="211" t="n"/>
      <c r="F167" s="162" t="n">
        <v>9</v>
      </c>
      <c r="G167" s="211" t="n"/>
    </row>
    <row r="168">
      <c r="A168" s="162" t="inlineStr">
        <is>
          <t>Dari</t>
        </is>
      </c>
      <c r="B168" s="172" t="inlineStr">
        <is>
          <t>V-102</t>
        </is>
      </c>
      <c r="C168" s="211" t="n"/>
      <c r="D168" s="172" t="inlineStr">
        <is>
          <t>E-102</t>
        </is>
      </c>
      <c r="E168" s="211" t="n"/>
      <c r="F168" s="172" t="inlineStr">
        <is>
          <t>E-102</t>
        </is>
      </c>
      <c r="G168" s="211" t="n"/>
    </row>
    <row r="169">
      <c r="A169" s="162" t="inlineStr">
        <is>
          <t>Ke</t>
        </is>
      </c>
      <c r="B169" s="172" t="inlineStr">
        <is>
          <t>E-102</t>
        </is>
      </c>
      <c r="C169" s="211" t="n"/>
      <c r="D169" s="172" t="inlineStr">
        <is>
          <t>V-103</t>
        </is>
      </c>
      <c r="E169" s="211" t="n"/>
      <c r="F169" s="172" t="inlineStr">
        <is>
          <t>R-02</t>
        </is>
      </c>
      <c r="G169" s="211" t="n"/>
    </row>
    <row r="170">
      <c r="A170" s="162" t="inlineStr">
        <is>
          <t>T (K)</t>
        </is>
      </c>
      <c r="B170" s="185">
        <f>$D$144</f>
        <v>272.9207875273624</v>
      </c>
      <c r="C170" s="211" t="n"/>
      <c r="D170" s="185">
        <f>D171+273.15</f>
        <v>303.15</v>
      </c>
      <c r="E170" s="211" t="n"/>
      <c r="F170" s="185">
        <f>F171+273.15</f>
        <v>303.15</v>
      </c>
      <c r="G170" s="211" t="n"/>
    </row>
    <row r="171">
      <c r="A171" s="162" t="inlineStr">
        <is>
          <t>T (°C)</t>
        </is>
      </c>
      <c r="B171" s="185">
        <f>$D$145</f>
        <v>-0.2292124726375846</v>
      </c>
      <c r="C171" s="211" t="n"/>
      <c r="D171" s="185" t="n">
        <v>30</v>
      </c>
      <c r="E171" s="211" t="n"/>
      <c r="F171" s="185" t="n">
        <v>30</v>
      </c>
      <c r="G171" s="211" t="n"/>
    </row>
    <row r="172">
      <c r="A172" s="162" t="inlineStr">
        <is>
          <t>P (bar abs)</t>
        </is>
      </c>
      <c r="B172" s="190">
        <f>$D$146</f>
        <v>5.370225</v>
      </c>
      <c r="C172" s="211" t="n"/>
      <c r="D172" s="190" t="n">
        <v>5.370225</v>
      </c>
      <c r="E172" s="211" t="n"/>
      <c r="F172" s="190" t="n">
        <v>5.370225</v>
      </c>
      <c r="G172" s="211" t="n"/>
    </row>
    <row r="173">
      <c r="A173" s="162" t="inlineStr">
        <is>
          <t>Substance</t>
        </is>
      </c>
      <c r="B173" s="162" t="inlineStr">
        <is>
          <t>INLET</t>
        </is>
      </c>
      <c r="C173" s="211" t="n"/>
      <c r="D173" s="162" t="inlineStr">
        <is>
          <t>OUTLET</t>
        </is>
      </c>
      <c r="E173" s="210" t="n"/>
      <c r="F173" s="210" t="n"/>
      <c r="G173" s="211" t="n"/>
    </row>
    <row r="174">
      <c r="A174" s="212" t="n"/>
      <c r="B174" s="162" t="inlineStr">
        <is>
          <t>Aliran 6</t>
        </is>
      </c>
      <c r="C174" s="211" t="n"/>
      <c r="D174" s="162" t="inlineStr">
        <is>
          <t>Aliran 7</t>
        </is>
      </c>
      <c r="E174" s="211" t="n"/>
      <c r="F174" s="162" t="inlineStr">
        <is>
          <t>Aliran 9</t>
        </is>
      </c>
      <c r="G174" s="211" t="n"/>
    </row>
    <row r="175">
      <c r="A175" s="213" t="n"/>
      <c r="B175" s="162" t="inlineStr">
        <is>
          <t>ṅᵢ (kmol/h)</t>
        </is>
      </c>
      <c r="C175" s="162" t="inlineStr">
        <is>
          <t>Ĥᵢ (kJ/kmol)</t>
        </is>
      </c>
      <c r="D175" s="162" t="inlineStr">
        <is>
          <t>ṅᵢ (kmol/h)</t>
        </is>
      </c>
      <c r="E175" s="162" t="inlineStr">
        <is>
          <t>Ĥᵢ (kJ/kmol)</t>
        </is>
      </c>
      <c r="F175" s="162" t="inlineStr">
        <is>
          <t>ṅᵢ (kmol/h)</t>
        </is>
      </c>
      <c r="G175" s="162" t="inlineStr">
        <is>
          <t>Ĥᵢ (kJ/kmol)</t>
        </is>
      </c>
    </row>
    <row r="176">
      <c r="A176" s="163" t="inlineStr">
        <is>
          <t>C₂H₄ (g)</t>
        </is>
      </c>
      <c r="B176" s="216">
        <f>I21+'NME-2 Oksiklorinasi'!E20</f>
        <v>420.6434440993977</v>
      </c>
      <c r="C176" s="217">
        <f>('Data Termo'!$E$6*($B$170-298.15)+'Data Termo'!$F$6/2*($B$170^2-298.15^2)+'Data Termo'!$G$6/3*($B$170^3-298.15^3)+'Data Termo'!$H$6/4*($B$170^4-298.15^4)+'Data Termo'!$I$6/5*($B$170^5-298.15^5))</f>
        <v>-1084.1457396393514</v>
      </c>
      <c r="D176" s="216">
        <f>I21</f>
        <v>217.4040578931134</v>
      </c>
      <c r="E176" s="217">
        <f>('Data Termo'!$E$6*($D$170-298.15)+'Data Termo'!$F$6/2*($D$170^2-298.15^2)+'Data Termo'!$G$6/3*($D$170^3-298.15^3)+'Data Termo'!$H$6/4*($D$170^4-298.15^4)+'Data Termo'!$I$6/5*($D$170^5-298.15^5))</f>
        <v>220.58368938839305</v>
      </c>
      <c r="F176" s="216">
        <f>'NME-2 Oksiklorinasi'!E20</f>
        <v>203.23938620628428</v>
      </c>
      <c r="G176" s="217">
        <f>('Data Termo'!$E$6*($F$170-298.15)+'Data Termo'!$F$6/2*($F$170^2-298.15^2)+'Data Termo'!$G$6/3*($F$170^3-298.15^3)+'Data Termo'!$H$6/4*($F$170^4-298.15^4)+'Data Termo'!$I$6/5*($F$170^5-298.15^5))</f>
        <v>220.58368938839305</v>
      </c>
    </row>
    <row r="177">
      <c r="A177" s="163" t="inlineStr">
        <is>
          <t>CH₄ (g)</t>
        </is>
      </c>
      <c r="B177" s="216">
        <f>I22+'NME-2 Oksiklorinasi'!E21</f>
        <v>0.17031229265255882</v>
      </c>
      <c r="C177" s="217">
        <f>('Data Termo'!$E$7*($B$170-298.15)+'Data Termo'!$F$7/2*($B$170^2-298.15^2)+'Data Termo'!$G$7/3*($B$170^3-298.15^3)+'Data Termo'!$H$7/4*($B$170^4-298.15^4)+'Data Termo'!$I$7/5*($B$170^5-298.15^5))</f>
        <v>-905.1426883252273</v>
      </c>
      <c r="D177" s="216">
        <f>I22</f>
        <v>0.0880236790829347</v>
      </c>
      <c r="E177" s="217">
        <f>('Data Termo'!$E$7*($D$170-298.15)+'Data Termo'!$F$7/2*($D$170^2-298.15^2)+'Data Termo'!$G$7/3*($D$170^3-298.15^3)+'Data Termo'!$H$7/4*($D$170^4-298.15^4)+'Data Termo'!$I$7/5*($D$170^5-298.15^5))</f>
        <v>182.1606378301505</v>
      </c>
      <c r="F177" s="216">
        <f>'NME-2 Oksiklorinasi'!E21</f>
        <v>0.08228861356962411</v>
      </c>
      <c r="G177" s="217">
        <f>('Data Termo'!$E$7*($F$170-298.15)+'Data Termo'!$F$7/2*($F$170^2-298.15^2)+'Data Termo'!$G$7/3*($F$170^3-298.15^3)+'Data Termo'!$H$7/4*($F$170^4-298.15^4)+'Data Termo'!$I$7/5*($F$170^5-298.15^5))</f>
        <v>182.1606378301505</v>
      </c>
    </row>
    <row r="178">
      <c r="A178" s="163" t="inlineStr">
        <is>
          <t>C₂H₆ (g)</t>
        </is>
      </c>
      <c r="B178" s="216">
        <f>I23+'NME-2 Oksiklorinasi'!E22</f>
        <v>0.0049586190845116096</v>
      </c>
      <c r="C178" s="217">
        <f>('Data Termo'!$E$8*($B$170-298.15)+'Data Termo'!$F$8/2*($B$170^2-298.15^2)+'Data Termo'!$G$8/3*($B$170^3-298.15^3)+'Data Termo'!$H$8/4*($B$170^4-298.15^4)+'Data Termo'!$I$8/5*($B$170^5-298.15^5))</f>
        <v>-1309.7378804551038</v>
      </c>
      <c r="D178" s="216">
        <f>I23</f>
        <v>0.0025627973658952897</v>
      </c>
      <c r="E178" s="217">
        <f>('Data Termo'!$E$8*($D$170-298.15)+'Data Termo'!$F$8/2*($D$170^2-298.15^2)+'Data Termo'!$G$8/3*($D$170^3-298.15^3)+'Data Termo'!$H$8/4*($D$170^4-298.15^4)+'Data Termo'!$I$8/5*($D$170^5-298.15^5))</f>
        <v>267.9199454406656</v>
      </c>
      <c r="F178" s="216">
        <f>'NME-2 Oksiklorinasi'!E22</f>
        <v>0.00239582171861632</v>
      </c>
      <c r="G178" s="217">
        <f>('Data Termo'!$E$8*($F$170-298.15)+'Data Termo'!$F$8/2*($F$170^2-298.15^2)+'Data Termo'!$G$8/3*($F$170^3-298.15^3)+'Data Termo'!$H$8/4*($F$170^4-298.15^4)+'Data Termo'!$I$8/5*($F$170^5-298.15^5))</f>
        <v>267.9199454406656</v>
      </c>
    </row>
    <row r="179">
      <c r="A179" s="163" t="inlineStr">
        <is>
          <t>C₂H₂ (g)</t>
        </is>
      </c>
      <c r="B179" s="216">
        <f>I24+'NME-2 Oksiklorinasi'!E23</f>
        <v>0.002193271289817931</v>
      </c>
      <c r="C179" s="217">
        <f>('Data Termo'!$E$9*($B$170-298.15)+'Data Termo'!$F$9/2*($B$170^2-298.15^2)+'Data Termo'!$G$9/3*($B$170^3-298.15^3)+'Data Termo'!$H$9/4*($B$170^4-298.15^4)+'Data Termo'!$I$9/5*($B$170^5-298.15^5))</f>
        <v>-1103.3496812399683</v>
      </c>
      <c r="D179" s="216">
        <f>I24</f>
        <v>0.0011335635563933986</v>
      </c>
      <c r="E179" s="217">
        <f>('Data Termo'!$E$9*($D$170-298.15)+'Data Termo'!$F$9/2*($D$170^2-298.15^2)+'Data Termo'!$G$9/3*($D$170^3-298.15^3)+'Data Termo'!$H$9/4*($D$170^4-298.15^4)+'Data Termo'!$I$9/5*($D$170^5-298.15^5))</f>
        <v>223.18996568090688</v>
      </c>
      <c r="F179" s="216">
        <f>'NME-2 Oksiklorinasi'!E23</f>
        <v>0.0010597077334245327</v>
      </c>
      <c r="G179" s="217">
        <f>('Data Termo'!$E$9*($F$170-298.15)+'Data Termo'!$F$9/2*($F$170^2-298.15^2)+'Data Termo'!$G$9/3*($F$170^3-298.15^3)+'Data Termo'!$H$9/4*($F$170^4-298.15^4)+'Data Termo'!$I$9/5*($F$170^5-298.15^5))</f>
        <v>223.18996568090688</v>
      </c>
    </row>
    <row r="180">
      <c r="A180" s="163" t="inlineStr">
        <is>
          <t>Koreksi gas nyata (kJ/h)</t>
        </is>
      </c>
      <c r="B180" s="217">
        <f>SUM(B176:B179)*('Data Termo'!$D$40*'Data Termo'!$D$30*($B$172/'Data Termo'!$D$31)*((0.083-0.422/($B$170/'Data Termo'!$D$30)^1.6)-($B$170/'Data Termo'!$D$30)*0.675/($B$170/'Data Termo'!$D$30)^2.6+'Data Termo'!$D$32*((0.139-0.172/($B$170/'Data Termo'!$D$30)^4.2)-($B$170/'Data Termo'!$D$30)*0.722/($B$170/'Data Termo'!$D$30)^5.2)))</f>
        <v>-121367.54905129451</v>
      </c>
      <c r="C180" s="211" t="n"/>
      <c r="D180" s="217">
        <f>SUM(D176:D179)*('Data Termo'!$D$40*'Data Termo'!$D$30*($D$172/'Data Termo'!$D$31)*((0.083-0.422/($D$170/'Data Termo'!$D$30)^1.6)-($D$170/'Data Termo'!$D$30)*0.675/($D$170/'Data Termo'!$D$30)^2.6+'Data Termo'!$D$32*((0.139-0.172/($D$170/'Data Termo'!$D$30)^4.2)-($D$170/'Data Termo'!$D$30)*0.722/($D$170/'Data Termo'!$D$30)^5.2)))</f>
        <v>-51258.569313810825</v>
      </c>
      <c r="E180" s="211" t="n"/>
      <c r="F180" s="217">
        <f>SUM(F176:F179)*('Data Termo'!$D$40*'Data Termo'!$D$30*($F$172/'Data Termo'!$D$31)*((0.083-0.422/($F$170/'Data Termo'!$D$30)^1.6)-($F$170/'Data Termo'!$D$30)*0.675/($F$170/'Data Termo'!$D$30)^2.6+'Data Termo'!$D$32*((0.139-0.172/($F$170/'Data Termo'!$D$30)^4.2)-($F$170/'Data Termo'!$D$30)*0.722/($F$170/'Data Termo'!$D$30)^5.2)))</f>
        <v>-47918.88553558222</v>
      </c>
      <c r="G180" s="211" t="n"/>
    </row>
    <row r="181">
      <c r="A181" s="200" t="inlineStr">
        <is>
          <t>Sub Total ṅᵢĤᵢ (kJ/h)</t>
        </is>
      </c>
      <c r="B181" s="218">
        <f>SUMPRODUCT(B176:B179,C176:C179)+B180</f>
        <v>-577569.4182417348</v>
      </c>
      <c r="C181" s="211" t="n"/>
      <c r="D181" s="218">
        <f>SUMPRODUCT(D176:D179,E176:E179)+D180</f>
        <v>-3285.8060616724833</v>
      </c>
      <c r="E181" s="211" t="n"/>
      <c r="F181" s="218">
        <f>SUMPRODUCT(F176:F179,G176:G179)+F180</f>
        <v>-3071.723746276766</v>
      </c>
      <c r="G181" s="211" t="n"/>
    </row>
    <row r="182">
      <c r="A182" s="163" t="inlineStr">
        <is>
          <t>Heat of reaction / heat of mixing (kJ/h)</t>
        </is>
      </c>
      <c r="B182" s="219" t="inlineStr">
        <is>
          <t>-</t>
        </is>
      </c>
      <c r="C182" s="211" t="n"/>
      <c r="D182" s="220" t="inlineStr">
        <is>
          <t>-</t>
        </is>
      </c>
      <c r="E182" s="210" t="n"/>
      <c r="F182" s="210" t="n"/>
      <c r="G182" s="211" t="n"/>
    </row>
    <row r="183">
      <c r="A183" s="200" t="inlineStr">
        <is>
          <t>Q (kJ/h)</t>
        </is>
      </c>
      <c r="B183" s="218">
        <f>(D181+F181)-(B181)</f>
        <v>571211.8884337856</v>
      </c>
      <c r="C183" s="210" t="n"/>
      <c r="D183" s="210" t="n"/>
      <c r="E183" s="210" t="n"/>
      <c r="F183" s="210" t="n"/>
      <c r="G183" s="211" t="n"/>
    </row>
    <row r="184">
      <c r="A184" s="200" t="inlineStr">
        <is>
          <t>W (kJ/h)</t>
        </is>
      </c>
      <c r="B184" s="218" t="n">
        <v>0</v>
      </c>
      <c r="C184" s="210" t="n"/>
      <c r="D184" s="210" t="n"/>
      <c r="E184" s="210" t="n"/>
      <c r="F184" s="210" t="n"/>
      <c r="G184" s="211" t="n"/>
    </row>
    <row r="185">
      <c r="A185" s="200" t="inlineStr">
        <is>
          <t>TOTAL (kJ/h)</t>
        </is>
      </c>
      <c r="B185" s="218">
        <f>B181+$B$183+$B$184</f>
        <v>-6357.529807949206</v>
      </c>
      <c r="C185" s="211" t="n"/>
      <c r="D185" s="218">
        <f>(D181+F181)</f>
        <v>-6357.5298079492495</v>
      </c>
      <c r="E185" s="210" t="n"/>
      <c r="F185" s="210" t="n"/>
      <c r="G185" s="211" t="n"/>
    </row>
    <row r="186">
      <c r="A186" s="163" t="inlineStr">
        <is>
          <t>Selisih masuk − keluar (kJ/h)</t>
        </is>
      </c>
      <c r="B186" s="217">
        <f>B185-D185</f>
        <v>4.3655745685100555e-11</v>
      </c>
      <c r="C186" s="210" t="n"/>
      <c r="D186" s="210" t="n"/>
      <c r="E186" s="210" t="n"/>
      <c r="F186" s="210" t="n"/>
      <c r="G186" s="211" t="n"/>
    </row>
    <row r="187">
      <c r="A187" s="163" t="inlineStr">
        <is>
          <t>Q (kW)</t>
        </is>
      </c>
      <c r="B187" s="217">
        <f>$B$183/3600</f>
        <v>158.66996900938491</v>
      </c>
      <c r="C187" s="210" t="n"/>
      <c r="D187" s="210" t="n"/>
      <c r="E187" s="210" t="n"/>
      <c r="F187" s="210" t="n"/>
      <c r="G187" s="211" t="n"/>
    </row>
    <row r="188">
      <c r="A188" s="163" t="inlineStr">
        <is>
          <t>W (kW)</t>
        </is>
      </c>
      <c r="B188" s="217">
        <f>$B$184/3600</f>
        <v>0.0</v>
      </c>
      <c r="C188" s="210" t="n"/>
      <c r="D188" s="210" t="n"/>
      <c r="E188" s="210" t="n"/>
      <c r="F188" s="210" t="n"/>
      <c r="G188" s="211" t="n"/>
    </row>
    <row r="191">
      <c r="A191" s="169" t="inlineStr">
        <is>
          <t>Neraca Energi V-103: Valve etilena ke R-01</t>
        </is>
      </c>
    </row>
    <row r="192">
      <c r="A192" s="187" t="inlineStr">
        <is>
          <t>Reference state: C₂H₄, CH₄, C₂H₆, C₂H₂ fasa gas @ 25°C, 1 bar</t>
        </is>
      </c>
    </row>
    <row r="193">
      <c r="A193" s="162" t="inlineStr">
        <is>
          <t>No. aliran PFD</t>
        </is>
      </c>
      <c r="B193" s="162" t="n">
        <v>7</v>
      </c>
      <c r="C193" s="211" t="n"/>
      <c r="D193" s="162" t="n">
        <v>8</v>
      </c>
      <c r="E193" s="211" t="n"/>
    </row>
    <row r="194">
      <c r="A194" s="162" t="inlineStr">
        <is>
          <t>Dari</t>
        </is>
      </c>
      <c r="B194" s="172" t="inlineStr">
        <is>
          <t>E-102</t>
        </is>
      </c>
      <c r="C194" s="211" t="n"/>
      <c r="D194" s="172" t="inlineStr">
        <is>
          <t>V-103</t>
        </is>
      </c>
      <c r="E194" s="211" t="n"/>
    </row>
    <row r="195">
      <c r="A195" s="162" t="inlineStr">
        <is>
          <t>Ke</t>
        </is>
      </c>
      <c r="B195" s="172" t="inlineStr">
        <is>
          <t>V-103</t>
        </is>
      </c>
      <c r="C195" s="211" t="n"/>
      <c r="D195" s="172" t="inlineStr">
        <is>
          <t>R-01</t>
        </is>
      </c>
      <c r="E195" s="211" t="n"/>
    </row>
    <row r="196">
      <c r="A196" s="162" t="inlineStr">
        <is>
          <t>T (K)</t>
        </is>
      </c>
      <c r="B196" s="185">
        <f>$D$170</f>
        <v>303.15</v>
      </c>
      <c r="C196" s="211" t="n"/>
      <c r="D196" s="185">
        <f>IFERROR(IF(D196&lt;100,$B$196,D196+(B211-D207)/(SUM(D202:D205)*('Data Termo'!$E$6+'Data Termo'!$F$6*D196+'Data Termo'!$G$6*D196^2+'Data Termo'!$H$6*D196^3+'Data Termo'!$I$6*D196^4))),$B$196)</f>
        <v>298.84618164316123</v>
      </c>
      <c r="E196" s="211" t="n"/>
    </row>
    <row r="197">
      <c r="A197" s="162" t="inlineStr">
        <is>
          <t>T (°C)</t>
        </is>
      </c>
      <c r="B197" s="185">
        <f>$D$171</f>
        <v>30.0</v>
      </c>
      <c r="C197" s="211" t="n"/>
      <c r="D197" s="185">
        <f>IF(ISNUMBER(D196),D196-273.15,"-")</f>
        <v>25.696181643161253</v>
      </c>
      <c r="E197" s="211" t="n"/>
    </row>
    <row r="198">
      <c r="A198" s="162" t="inlineStr">
        <is>
          <t>P (bar abs)</t>
        </is>
      </c>
      <c r="B198" s="190">
        <f>$D$172</f>
        <v>5.370225</v>
      </c>
      <c r="C198" s="211" t="n"/>
      <c r="D198" s="190" t="n">
        <v>1.01325</v>
      </c>
      <c r="E198" s="211" t="n"/>
    </row>
    <row r="199">
      <c r="A199" s="162" t="inlineStr">
        <is>
          <t>Substance</t>
        </is>
      </c>
      <c r="B199" s="162" t="inlineStr">
        <is>
          <t>INLET</t>
        </is>
      </c>
      <c r="C199" s="211" t="n"/>
      <c r="D199" s="162" t="inlineStr">
        <is>
          <t>OUTLET</t>
        </is>
      </c>
      <c r="E199" s="211" t="n"/>
    </row>
    <row r="200">
      <c r="A200" s="212" t="n"/>
      <c r="B200" s="162" t="inlineStr">
        <is>
          <t>Aliran 7</t>
        </is>
      </c>
      <c r="C200" s="211" t="n"/>
      <c r="D200" s="162" t="inlineStr">
        <is>
          <t>Aliran 8</t>
        </is>
      </c>
      <c r="E200" s="211" t="n"/>
    </row>
    <row r="201">
      <c r="A201" s="213" t="n"/>
      <c r="B201" s="162" t="inlineStr">
        <is>
          <t>ṅᵢ (kmol/h)</t>
        </is>
      </c>
      <c r="C201" s="162" t="inlineStr">
        <is>
          <t>Ĥᵢ (kJ/kmol)</t>
        </is>
      </c>
      <c r="D201" s="162" t="inlineStr">
        <is>
          <t>ṅᵢ (kmol/h)</t>
        </is>
      </c>
      <c r="E201" s="162" t="inlineStr">
        <is>
          <t>Ĥᵢ (kJ/kmol)</t>
        </is>
      </c>
    </row>
    <row r="202">
      <c r="A202" s="163" t="inlineStr">
        <is>
          <t>C₂H₄ (g)</t>
        </is>
      </c>
      <c r="B202" s="216">
        <f>I21</f>
        <v>217.4040578931134</v>
      </c>
      <c r="C202" s="217">
        <f>('Data Termo'!$E$6*($B$196-298.15)+'Data Termo'!$F$6/2*($B$196^2-298.15^2)+'Data Termo'!$G$6/3*($B$196^3-298.15^3)+'Data Termo'!$H$6/4*($B$196^4-298.15^4)+'Data Termo'!$I$6/5*($B$196^5-298.15^5))</f>
        <v>220.58368938839305</v>
      </c>
      <c r="D202" s="216">
        <f>I21</f>
        <v>217.4040578931134</v>
      </c>
      <c r="E202" s="217">
        <f>('Data Termo'!$E$6*($D$196-298.15)+'Data Termo'!$F$6/2*($D$196^2-298.15^2)+'Data Termo'!$G$6/3*($D$196^3-298.15^3)+'Data Termo'!$H$6/4*($D$196^4-298.15^4)+'Data Termo'!$I$6/5*($D$196^5-298.15^5))</f>
        <v>30.59787083153016</v>
      </c>
    </row>
    <row r="203">
      <c r="A203" s="163" t="inlineStr">
        <is>
          <t>CH₄ (g)</t>
        </is>
      </c>
      <c r="B203" s="216">
        <f>I22</f>
        <v>0.0880236790829347</v>
      </c>
      <c r="C203" s="217">
        <f>('Data Termo'!$E$7*($B$196-298.15)+'Data Termo'!$F$7/2*($B$196^2-298.15^2)+'Data Termo'!$G$7/3*($B$196^3-298.15^3)+'Data Termo'!$H$7/4*($B$196^4-298.15^4)+'Data Termo'!$I$7/5*($B$196^5-298.15^5))</f>
        <v>182.1606378301505</v>
      </c>
      <c r="D203" s="216">
        <f>I22</f>
        <v>0.0880236790829347</v>
      </c>
      <c r="E203" s="217">
        <f>('Data Termo'!$E$7*($D$196-298.15)+'Data Termo'!$F$7/2*($D$196^2-298.15^2)+'Data Termo'!$G$7/3*($D$196^3-298.15^3)+'Data Termo'!$H$7/4*($D$196^4-298.15^4)+'Data Termo'!$I$7/5*($D$196^5-298.15^5))</f>
        <v>25.3063262574889</v>
      </c>
    </row>
    <row r="204">
      <c r="A204" s="163" t="inlineStr">
        <is>
          <t>C₂H₆ (g)</t>
        </is>
      </c>
      <c r="B204" s="216">
        <f>I23</f>
        <v>0.0025627973658952897</v>
      </c>
      <c r="C204" s="217">
        <f>('Data Termo'!$E$8*($B$196-298.15)+'Data Termo'!$F$8/2*($B$196^2-298.15^2)+'Data Termo'!$G$8/3*($B$196^3-298.15^3)+'Data Termo'!$H$8/4*($B$196^4-298.15^4)+'Data Termo'!$I$8/5*($B$196^5-298.15^5))</f>
        <v>267.9199454406656</v>
      </c>
      <c r="D204" s="216">
        <f>I23</f>
        <v>0.0025627973658952897</v>
      </c>
      <c r="E204" s="217">
        <f>('Data Termo'!$E$8*($D$196-298.15)+'Data Termo'!$F$8/2*($D$196^2-298.15^2)+'Data Termo'!$G$8/3*($D$196^3-298.15^3)+'Data Termo'!$H$8/4*($D$196^4-298.15^4)+'Data Termo'!$I$8/5*($D$196^5-298.15^5))</f>
        <v>37.13734793684736</v>
      </c>
    </row>
    <row r="205">
      <c r="A205" s="163" t="inlineStr">
        <is>
          <t>C₂H₂ (g)</t>
        </is>
      </c>
      <c r="B205" s="216">
        <f>I24</f>
        <v>0.0011335635563933986</v>
      </c>
      <c r="C205" s="217">
        <f>('Data Termo'!$E$9*($B$196-298.15)+'Data Termo'!$F$9/2*($B$196^2-298.15^2)+'Data Termo'!$G$9/3*($B$196^3-298.15^3)+'Data Termo'!$H$9/4*($B$196^4-298.15^4)+'Data Termo'!$I$9/5*($B$196^5-298.15^5))</f>
        <v>223.18996568090688</v>
      </c>
      <c r="D205" s="216">
        <f>I24</f>
        <v>0.0011335635563933986</v>
      </c>
      <c r="E205" s="217">
        <f>('Data Termo'!$E$9*($D$196-298.15)+'Data Termo'!$F$9/2*($D$196^2-298.15^2)+'Data Termo'!$G$9/3*($D$196^3-298.15^3)+'Data Termo'!$H$9/4*($D$196^4-298.15^4)+'Data Termo'!$I$9/5*($D$196^5-298.15^5))</f>
        <v>30.988230079295036</v>
      </c>
    </row>
    <row r="206">
      <c r="A206" s="163" t="inlineStr">
        <is>
          <t>Koreksi gas nyata (kJ/h)</t>
        </is>
      </c>
      <c r="B206" s="217">
        <f>SUM(B202:B205)*('Data Termo'!$D$40*'Data Termo'!$D$30*($B$198/'Data Termo'!$D$31)*((0.083-0.422/($B$196/'Data Termo'!$D$30)^1.6)-($B$196/'Data Termo'!$D$30)*0.675/($B$196/'Data Termo'!$D$30)^2.6+'Data Termo'!$D$32*((0.139-0.172/($B$196/'Data Termo'!$D$30)^4.2)-($B$196/'Data Termo'!$D$30)*0.722/($B$196/'Data Termo'!$D$30)^5.2)))</f>
        <v>-51258.569313810825</v>
      </c>
      <c r="C206" s="211" t="n"/>
      <c r="D206" s="217">
        <f>SUM(D202:D205)*('Data Termo'!$D$40*'Data Termo'!$D$30*($D$198/'Data Termo'!$D$31)*((0.083-0.422/($D$196/'Data Termo'!$D$30)^1.6)-($D$196/'Data Termo'!$D$30)*0.675/($D$196/'Data Termo'!$D$30)^2.6+'Data Termo'!$D$32*((0.139-0.172/($D$196/'Data Termo'!$D$30)^4.2)-($D$196/'Data Termo'!$D$30)*0.722/($D$196/'Data Termo'!$D$30)^5.2)))</f>
        <v>-9940.265201903387</v>
      </c>
      <c r="E206" s="211" t="n"/>
    </row>
    <row r="207">
      <c r="A207" s="200" t="inlineStr">
        <is>
          <t>Sub Total ṅᵢĤᵢ (kJ/h)</t>
        </is>
      </c>
      <c r="B207" s="218">
        <f>SUMPRODUCT(B202:B205,C202:C205)+B206</f>
        <v>-3285.8060616724833</v>
      </c>
      <c r="C207" s="211" t="n"/>
      <c r="D207" s="218">
        <f>SUMPRODUCT(D202:D205,E202:E205)+D206</f>
        <v>-3285.806061672377</v>
      </c>
      <c r="E207" s="211" t="n"/>
    </row>
    <row r="208">
      <c r="A208" s="163" t="inlineStr">
        <is>
          <t>Heat of reaction / heat of mixing (kJ/h)</t>
        </is>
      </c>
      <c r="B208" s="219" t="inlineStr">
        <is>
          <t>-</t>
        </is>
      </c>
      <c r="C208" s="211" t="n"/>
      <c r="D208" s="220" t="inlineStr">
        <is>
          <t>-</t>
        </is>
      </c>
      <c r="E208" s="211" t="n"/>
    </row>
    <row r="209">
      <c r="A209" s="200" t="inlineStr">
        <is>
          <t>Q (kJ/h)</t>
        </is>
      </c>
      <c r="B209" s="218" t="n">
        <v>0</v>
      </c>
      <c r="C209" s="210" t="n"/>
      <c r="D209" s="210" t="n"/>
      <c r="E209" s="211" t="n"/>
    </row>
    <row r="210">
      <c r="A210" s="200" t="inlineStr">
        <is>
          <t>W (kJ/h)</t>
        </is>
      </c>
      <c r="B210" s="218" t="n">
        <v>0</v>
      </c>
      <c r="C210" s="210" t="n"/>
      <c r="D210" s="210" t="n"/>
      <c r="E210" s="211" t="n"/>
    </row>
    <row r="211">
      <c r="A211" s="200" t="inlineStr">
        <is>
          <t>TOTAL (kJ/h)</t>
        </is>
      </c>
      <c r="B211" s="218">
        <f>B207+$B$209+$B$210</f>
        <v>-3285.8060616724833</v>
      </c>
      <c r="C211" s="211" t="n"/>
      <c r="D211" s="218">
        <f>(D207)</f>
        <v>-3285.806061672377</v>
      </c>
      <c r="E211" s="211" t="n"/>
    </row>
    <row r="212">
      <c r="A212" s="163" t="inlineStr">
        <is>
          <t>Selisih masuk − keluar (kJ/h)</t>
        </is>
      </c>
      <c r="B212" s="217">
        <f>B211-D211</f>
        <v>-1.064108801074326e-10</v>
      </c>
      <c r="C212" s="210" t="n"/>
      <c r="D212" s="210" t="n"/>
      <c r="E212" s="211" t="n"/>
    </row>
    <row r="213">
      <c r="A213" s="163" t="inlineStr">
        <is>
          <t>Q (kW)</t>
        </is>
      </c>
      <c r="B213" s="217">
        <f>$B$209/3600</f>
        <v>0.0</v>
      </c>
      <c r="C213" s="210" t="n"/>
      <c r="D213" s="210" t="n"/>
      <c r="E213" s="211" t="n"/>
    </row>
    <row r="214">
      <c r="A214" s="163" t="inlineStr">
        <is>
          <t>W (kW)</t>
        </is>
      </c>
      <c r="B214" s="217">
        <f>$B$210/3600</f>
        <v>0.0</v>
      </c>
      <c r="C214" s="210" t="n"/>
      <c r="D214" s="210" t="n"/>
      <c r="E214" s="211" t="n"/>
    </row>
    <row r="217">
      <c r="A217" s="169" t="inlineStr">
        <is>
          <t>Neraca Energi R-01 + E-103: Reaktor klorinasi langsung dan kondensor vent</t>
        </is>
      </c>
    </row>
    <row r="218">
      <c r="A218" s="187" t="inlineStr">
        <is>
          <t>Reference state: Cl₂, H₂O, Br₂, EDC, TCE fasa liquid @ 25°C, 1 bar; C₂H₄, CH₄, C₂H₆, C₂H₂, CₙHₘ (sebagai methane), CₓHᵧCl (sebagai metil chloride), NCl₃, H₂, O₂, N₂, CO₂, HCl fasa gas @ 25°C, 1 bar; FeCl₃ fasa solid @ 25°C, 1 bar</t>
        </is>
      </c>
    </row>
    <row r="219">
      <c r="A219" s="162" t="inlineStr">
        <is>
          <t>No. aliran PFD</t>
        </is>
      </c>
      <c r="B219" s="162" t="n">
        <v>3</v>
      </c>
      <c r="C219" s="211" t="n"/>
      <c r="D219" s="162" t="n">
        <v>8</v>
      </c>
      <c r="E219" s="211" t="n"/>
      <c r="F219" s="162" t="n">
        <v>10</v>
      </c>
      <c r="G219" s="211" t="n"/>
      <c r="H219" s="162" t="n">
        <v>13</v>
      </c>
      <c r="I219" s="211" t="n"/>
      <c r="J219" s="162" t="n">
        <v>14</v>
      </c>
      <c r="K219" s="211" t="n"/>
    </row>
    <row r="220">
      <c r="A220" s="162" t="inlineStr">
        <is>
          <t>Dari</t>
        </is>
      </c>
      <c r="B220" s="172" t="inlineStr">
        <is>
          <t>E-101</t>
        </is>
      </c>
      <c r="C220" s="211" t="n"/>
      <c r="D220" s="172" t="inlineStr">
        <is>
          <t>V-103</t>
        </is>
      </c>
      <c r="E220" s="211" t="n"/>
      <c r="F220" s="172" t="inlineStr">
        <is>
          <t>Make-up</t>
        </is>
      </c>
      <c r="G220" s="211" t="n"/>
      <c r="H220" s="172" t="inlineStr">
        <is>
          <t>E-103</t>
        </is>
      </c>
      <c r="I220" s="211" t="n"/>
      <c r="J220" s="172" t="inlineStr">
        <is>
          <t>R-01</t>
        </is>
      </c>
      <c r="K220" s="211" t="n"/>
    </row>
    <row r="221">
      <c r="A221" s="162" t="inlineStr">
        <is>
          <t>Ke</t>
        </is>
      </c>
      <c r="B221" s="172" t="inlineStr">
        <is>
          <t>R-01</t>
        </is>
      </c>
      <c r="C221" s="211" t="n"/>
      <c r="D221" s="172" t="inlineStr">
        <is>
          <t>R-01</t>
        </is>
      </c>
      <c r="E221" s="211" t="n"/>
      <c r="F221" s="172" t="inlineStr">
        <is>
          <t>R-01</t>
        </is>
      </c>
      <c r="G221" s="211" t="n"/>
      <c r="H221" s="172" t="inlineStr">
        <is>
          <t>UPL</t>
        </is>
      </c>
      <c r="I221" s="211" t="n"/>
      <c r="J221" s="172" t="inlineStr">
        <is>
          <t>P-101</t>
        </is>
      </c>
      <c r="K221" s="211" t="n"/>
    </row>
    <row r="222">
      <c r="A222" s="162" t="inlineStr">
        <is>
          <t>T (K)</t>
        </is>
      </c>
      <c r="B222" s="185">
        <f>$D$83</f>
        <v>250.12</v>
      </c>
      <c r="C222" s="211" t="n"/>
      <c r="D222" s="185">
        <f>$D$196</f>
        <v>298.84618164316123</v>
      </c>
      <c r="E222" s="211" t="n"/>
      <c r="F222" s="185">
        <f>F223+273.15</f>
        <v>303.15</v>
      </c>
      <c r="G222" s="211" t="n"/>
      <c r="H222" s="185">
        <f>H223+273.15</f>
        <v>278.15</v>
      </c>
      <c r="I222" s="211" t="n"/>
      <c r="J222" s="185">
        <f>J223+273.15</f>
        <v>338.15</v>
      </c>
      <c r="K222" s="211" t="n"/>
    </row>
    <row r="223">
      <c r="A223" s="162" t="inlineStr">
        <is>
          <t>T (°C)</t>
        </is>
      </c>
      <c r="B223" s="185">
        <f>$D$84</f>
        <v>-23.029999999999973</v>
      </c>
      <c r="C223" s="211" t="n"/>
      <c r="D223" s="185">
        <f>$D$197</f>
        <v>25.696181643161253</v>
      </c>
      <c r="E223" s="211" t="n"/>
      <c r="F223" s="185" t="n">
        <v>30</v>
      </c>
      <c r="G223" s="211" t="n"/>
      <c r="H223" s="185" t="n">
        <v>5</v>
      </c>
      <c r="I223" s="211" t="n"/>
      <c r="J223" s="185" t="n">
        <v>65</v>
      </c>
      <c r="K223" s="211" t="n"/>
    </row>
    <row r="224">
      <c r="A224" s="162" t="inlineStr">
        <is>
          <t>P (bar abs)</t>
        </is>
      </c>
      <c r="B224" s="190">
        <f>$D$85</f>
        <v>1.01325</v>
      </c>
      <c r="C224" s="211" t="n"/>
      <c r="D224" s="190">
        <f>$D$198</f>
        <v>1.01325</v>
      </c>
      <c r="E224" s="211" t="n"/>
      <c r="F224" s="190" t="n">
        <v>1.01325</v>
      </c>
      <c r="G224" s="211" t="n"/>
      <c r="H224" s="190" t="n">
        <v>1.01325</v>
      </c>
      <c r="I224" s="211" t="n"/>
      <c r="J224" s="190" t="n">
        <v>1.01325</v>
      </c>
      <c r="K224" s="211" t="n"/>
    </row>
    <row r="225">
      <c r="A225" s="162" t="inlineStr">
        <is>
          <t>Substance</t>
        </is>
      </c>
      <c r="B225" s="162" t="inlineStr">
        <is>
          <t>INLET</t>
        </is>
      </c>
      <c r="C225" s="210" t="n"/>
      <c r="D225" s="210" t="n"/>
      <c r="E225" s="210" t="n"/>
      <c r="F225" s="210" t="n"/>
      <c r="G225" s="211" t="n"/>
      <c r="H225" s="162" t="inlineStr">
        <is>
          <t>OUTLET</t>
        </is>
      </c>
      <c r="I225" s="210" t="n"/>
      <c r="J225" s="210" t="n"/>
      <c r="K225" s="211" t="n"/>
    </row>
    <row r="226">
      <c r="A226" s="212" t="n"/>
      <c r="B226" s="162" t="inlineStr">
        <is>
          <t>Aliran 3</t>
        </is>
      </c>
      <c r="C226" s="211" t="n"/>
      <c r="D226" s="162" t="inlineStr">
        <is>
          <t>Aliran 8</t>
        </is>
      </c>
      <c r="E226" s="211" t="n"/>
      <c r="F226" s="162" t="inlineStr">
        <is>
          <t>Aliran 10</t>
        </is>
      </c>
      <c r="G226" s="211" t="n"/>
      <c r="H226" s="162" t="inlineStr">
        <is>
          <t>Aliran 13</t>
        </is>
      </c>
      <c r="I226" s="211" t="n"/>
      <c r="J226" s="162" t="inlineStr">
        <is>
          <t>Aliran 14</t>
        </is>
      </c>
      <c r="K226" s="211" t="n"/>
    </row>
    <row r="227">
      <c r="A227" s="213" t="n"/>
      <c r="B227" s="162" t="inlineStr">
        <is>
          <t>ṅᵢ (kmol/h)</t>
        </is>
      </c>
      <c r="C227" s="162" t="inlineStr">
        <is>
          <t>Ĥᵢ (kJ/kmol)</t>
        </is>
      </c>
      <c r="D227" s="162" t="inlineStr">
        <is>
          <t>ṅᵢ (kmol/h)</t>
        </is>
      </c>
      <c r="E227" s="162" t="inlineStr">
        <is>
          <t>Ĥᵢ (kJ/kmol)</t>
        </is>
      </c>
      <c r="F227" s="162" t="inlineStr">
        <is>
          <t>ṅᵢ (kmol/h)</t>
        </is>
      </c>
      <c r="G227" s="162" t="inlineStr">
        <is>
          <t>Ĥᵢ (kJ/kmol)</t>
        </is>
      </c>
      <c r="H227" s="162" t="inlineStr">
        <is>
          <t>ṅᵢ (kmol/h)</t>
        </is>
      </c>
      <c r="I227" s="162" t="inlineStr">
        <is>
          <t>Ĥᵢ (kJ/kmol)</t>
        </is>
      </c>
      <c r="J227" s="162" t="inlineStr">
        <is>
          <t>ṅᵢ (kmol/h)</t>
        </is>
      </c>
      <c r="K227" s="162" t="inlineStr">
        <is>
          <t>Ĥᵢ (kJ/kmol)</t>
        </is>
      </c>
    </row>
    <row r="228">
      <c r="A228" s="163" t="inlineStr">
        <is>
          <t>C₂H₄ (g)</t>
        </is>
      </c>
      <c r="B228" s="216">
        <f>E21</f>
        <v>0.0</v>
      </c>
      <c r="C228" s="217">
        <f>('Data Termo'!$E$6*($B$222-298.15)+'Data Termo'!$F$6/2*($B$222^2-298.15^2)+'Data Termo'!$G$6/3*($B$222^3-298.15^3)+'Data Termo'!$H$6/4*($B$222^4-298.15^4)+'Data Termo'!$I$6/5*($B$222^5-298.15^5))</f>
        <v>-2024.0046503018466</v>
      </c>
      <c r="D228" s="216">
        <f>I21</f>
        <v>217.4040578931134</v>
      </c>
      <c r="E228" s="217">
        <f>('Data Termo'!$E$6*($D$222-298.15)+'Data Termo'!$F$6/2*($D$222^2-298.15^2)+'Data Termo'!$G$6/3*($D$222^3-298.15^3)+'Data Termo'!$H$6/4*($D$222^4-298.15^4)+'Data Termo'!$I$6/5*($D$222^5-298.15^5))</f>
        <v>30.59787083153016</v>
      </c>
      <c r="F228" s="216">
        <f>M21</f>
        <v>0.0</v>
      </c>
      <c r="G228" s="217">
        <f>('Data Termo'!$E$6*($F$222-298.15)+'Data Termo'!$F$6/2*($F$222^2-298.15^2)+'Data Termo'!$G$6/3*($F$222^3-298.15^3)+'Data Termo'!$H$6/4*($F$222^4-298.15^4)+'Data Termo'!$I$6/5*($F$222^5-298.15^5))</f>
        <v>220.58368938839305</v>
      </c>
      <c r="H228" s="216">
        <f>U21</f>
        <v>0.9359822716146198</v>
      </c>
      <c r="I228" s="217">
        <f>('Data Termo'!$E$6*($H$222-298.15)+'Data Termo'!$F$6/2*($H$222^2-298.15^2)+'Data Termo'!$G$6/3*($H$222^3-298.15^3)+'Data Termo'!$H$6/4*($H$222^4-298.15^4)+'Data Termo'!$I$6/5*($H$222^5-298.15^5))</f>
        <v>-863.3313099463433</v>
      </c>
      <c r="J228" s="216">
        <f>Q21</f>
        <v>0.0</v>
      </c>
      <c r="K228" s="217">
        <f>('Data Termo'!$E$6*($J$222-298.15)+'Data Termo'!$F$6/2*($J$222^2-298.15^2)+'Data Termo'!$G$6/3*($J$222^3-298.15^3)+'Data Termo'!$H$6/4*($J$222^4-298.15^4)+'Data Termo'!$I$6/5*($J$222^5-298.15^5))</f>
        <v>1819.8028948267956</v>
      </c>
    </row>
    <row r="229">
      <c r="A229" s="163" t="inlineStr">
        <is>
          <t>CH₄ (g)</t>
        </is>
      </c>
      <c r="B229" s="216">
        <f>E22</f>
        <v>0.0</v>
      </c>
      <c r="C229" s="217">
        <f>('Data Termo'!$E$7*($B$222-298.15)+'Data Termo'!$F$7/2*($B$222^2-298.15^2)+'Data Termo'!$G$7/3*($B$222^3-298.15^3)+'Data Termo'!$H$7/4*($B$222^4-298.15^4)+'Data Termo'!$I$7/5*($B$222^5-298.15^5))</f>
        <v>-1704.61916713568</v>
      </c>
      <c r="D229" s="216">
        <f>I22</f>
        <v>0.0880236790829347</v>
      </c>
      <c r="E229" s="217">
        <f>('Data Termo'!$E$7*($D$222-298.15)+'Data Termo'!$F$7/2*($D$222^2-298.15^2)+'Data Termo'!$G$7/3*($D$222^3-298.15^3)+'Data Termo'!$H$7/4*($D$222^4-298.15^4)+'Data Termo'!$I$7/5*($D$222^5-298.15^5))</f>
        <v>25.3063262574889</v>
      </c>
      <c r="F229" s="216">
        <f>M22</f>
        <v>0.0</v>
      </c>
      <c r="G229" s="217">
        <f>('Data Termo'!$E$7*($F$222-298.15)+'Data Termo'!$F$7/2*($F$222^2-298.15^2)+'Data Termo'!$G$7/3*($F$222^3-298.15^3)+'Data Termo'!$H$7/4*($F$222^4-298.15^4)+'Data Termo'!$I$7/5*($F$222^5-298.15^5))</f>
        <v>182.1606378301505</v>
      </c>
      <c r="H229" s="216">
        <f>U22</f>
        <v>0.0880236790829347</v>
      </c>
      <c r="I229" s="217">
        <f>('Data Termo'!$E$7*($H$222-298.15)+'Data Termo'!$F$7/2*($H$222^2-298.15^2)+'Data Termo'!$G$7/3*($H$222^3-298.15^3)+'Data Termo'!$H$7/4*($H$222^4-298.15^4)+'Data Termo'!$I$7/5*($H$222^5-298.15^5))</f>
        <v>-719.387799922693</v>
      </c>
      <c r="J229" s="216">
        <f>Q22</f>
        <v>0.0</v>
      </c>
      <c r="K229" s="217">
        <f>('Data Termo'!$E$7*($J$222-298.15)+'Data Termo'!$F$7/2*($J$222^2-298.15^2)+'Data Termo'!$G$7/3*($J$222^3-298.15^3)+'Data Termo'!$H$7/4*($J$222^4-298.15^4)+'Data Termo'!$I$7/5*($J$222^5-298.15^5))</f>
        <v>1485.2697289694295</v>
      </c>
    </row>
    <row r="230">
      <c r="A230" s="163" t="inlineStr">
        <is>
          <t>C₂H₆ (g)</t>
        </is>
      </c>
      <c r="B230" s="216">
        <f>E23</f>
        <v>0.0</v>
      </c>
      <c r="C230" s="217">
        <f>('Data Termo'!$E$8*($B$222-298.15)+'Data Termo'!$F$8/2*($B$222^2-298.15^2)+'Data Termo'!$G$8/3*($B$222^3-298.15^3)+'Data Termo'!$H$8/4*($B$222^4-298.15^4)+'Data Termo'!$I$8/5*($B$222^5-298.15^5))</f>
        <v>-2433.934820290162</v>
      </c>
      <c r="D230" s="216">
        <f>I23</f>
        <v>0.0025627973658952897</v>
      </c>
      <c r="E230" s="217">
        <f>('Data Termo'!$E$8*($D$222-298.15)+'Data Termo'!$F$8/2*($D$222^2-298.15^2)+'Data Termo'!$G$8/3*($D$222^3-298.15^3)+'Data Termo'!$H$8/4*($D$222^4-298.15^4)+'Data Termo'!$I$8/5*($D$222^5-298.15^5))</f>
        <v>37.13734793684736</v>
      </c>
      <c r="F230" s="216">
        <f>M23</f>
        <v>0.0</v>
      </c>
      <c r="G230" s="217">
        <f>('Data Termo'!$E$8*($F$222-298.15)+'Data Termo'!$F$8/2*($F$222^2-298.15^2)+'Data Termo'!$G$8/3*($F$222^3-298.15^3)+'Data Termo'!$H$8/4*($F$222^4-298.15^4)+'Data Termo'!$I$8/5*($F$222^5-298.15^5))</f>
        <v>267.9199454406656</v>
      </c>
      <c r="H230" s="216">
        <f>U23</f>
        <v>0.0025627973658952897</v>
      </c>
      <c r="I230" s="217">
        <f>('Data Termo'!$E$8*($H$222-298.15)+'Data Termo'!$F$8/2*($H$222^2-298.15^2)+'Data Termo'!$G$8/3*($H$222^3-298.15^3)+'Data Termo'!$H$8/4*($H$222^4-298.15^4)+'Data Termo'!$I$8/5*($H$222^5-298.15^5))</f>
        <v>-1044.0056148610129</v>
      </c>
      <c r="J230" s="216">
        <f>Q23</f>
        <v>0.0</v>
      </c>
      <c r="K230" s="217">
        <f>('Data Termo'!$E$8*($J$222-298.15)+'Data Termo'!$F$8/2*($J$222^2-298.15^2)+'Data Termo'!$G$8/3*($J$222^3-298.15^3)+'Data Termo'!$H$8/4*($J$222^4-298.15^4)+'Data Termo'!$I$8/5*($J$222^5-298.15^5))</f>
        <v>2222.104228968904</v>
      </c>
    </row>
    <row r="231">
      <c r="A231" s="163" t="inlineStr">
        <is>
          <t>C₂H₂ (g)</t>
        </is>
      </c>
      <c r="B231" s="216">
        <f>E24</f>
        <v>0.0</v>
      </c>
      <c r="C231" s="217">
        <f>('Data Termo'!$E$9*($B$222-298.15)+'Data Termo'!$F$9/2*($B$222^2-298.15^2)+'Data Termo'!$G$9/3*($B$222^3-298.15^3)+'Data Termo'!$H$9/4*($B$222^4-298.15^4)+'Data Termo'!$I$9/5*($B$222^5-298.15^5))</f>
        <v>-2066.345904453996</v>
      </c>
      <c r="D231" s="216">
        <f>I24</f>
        <v>0.0011335635563933986</v>
      </c>
      <c r="E231" s="217">
        <f>('Data Termo'!$E$9*($D$222-298.15)+'Data Termo'!$F$9/2*($D$222^2-298.15^2)+'Data Termo'!$G$9/3*($D$222^3-298.15^3)+'Data Termo'!$H$9/4*($D$222^4-298.15^4)+'Data Termo'!$I$9/5*($D$222^5-298.15^5))</f>
        <v>30.988230079295036</v>
      </c>
      <c r="F231" s="216">
        <f>M24</f>
        <v>0.0</v>
      </c>
      <c r="G231" s="217">
        <f>('Data Termo'!$E$9*($F$222-298.15)+'Data Termo'!$F$9/2*($F$222^2-298.15^2)+'Data Termo'!$G$9/3*($F$222^3-298.15^3)+'Data Termo'!$H$9/4*($F$222^4-298.15^4)+'Data Termo'!$I$9/5*($F$222^5-298.15^5))</f>
        <v>223.18996568090688</v>
      </c>
      <c r="H231" s="216">
        <f>U24</f>
        <v>0.0011335635563933986</v>
      </c>
      <c r="I231" s="217">
        <f>('Data Termo'!$E$9*($H$222-298.15)+'Data Termo'!$F$9/2*($H$222^2-298.15^2)+'Data Termo'!$G$9/3*($H$222^3-298.15^3)+'Data Termo'!$H$9/4*($H$222^4-298.15^4)+'Data Termo'!$I$9/5*($H$222^5-298.15^5))</f>
        <v>-877.8518951810073</v>
      </c>
      <c r="J231" s="216">
        <f>Q24</f>
        <v>0.0</v>
      </c>
      <c r="K231" s="217">
        <f>('Data Termo'!$E$9*($J$222-298.15)+'Data Termo'!$F$9/2*($J$222^2-298.15^2)+'Data Termo'!$G$9/3*($J$222^3-298.15^3)+'Data Termo'!$H$9/4*($J$222^4-298.15^4)+'Data Termo'!$I$9/5*($J$222^5-298.15^5))</f>
        <v>1825.389273341626</v>
      </c>
    </row>
    <row r="232">
      <c r="A232" s="163" t="inlineStr">
        <is>
          <t>Cl₂ (g)</t>
        </is>
      </c>
      <c r="B232" s="216">
        <f>E25</f>
        <v>216.5379062680412</v>
      </c>
      <c r="C232" s="217">
        <f>'Data Termo'!$V$10+('Data Termo'!$E$10*($B$222-298.15)+'Data Termo'!$F$10/2*($B$222^2-298.15^2)+'Data Termo'!$G$10/3*($B$222^3-298.15^3)+'Data Termo'!$H$10/4*($B$222^4-298.15^4)+'Data Termo'!$I$10/5*($B$222^5-298.15^5))</f>
        <v>15668.788371271143</v>
      </c>
      <c r="D232" s="216">
        <f>I25</f>
        <v>0.0</v>
      </c>
      <c r="E232" s="217">
        <f>'Data Termo'!$V$10+('Data Termo'!$E$10*($D$222-298.15)+'Data Termo'!$F$10/2*($D$222^2-298.15^2)+'Data Termo'!$G$10/3*($D$222^3-298.15^3)+'Data Termo'!$H$10/4*($D$222^4-298.15^4)+'Data Termo'!$I$10/5*($D$222^5-298.15^5))</f>
        <v>17294.39453637079</v>
      </c>
      <c r="F232" s="216">
        <f>M25</f>
        <v>0.0</v>
      </c>
      <c r="G232" s="217">
        <f>'Data Termo'!$V$10+('Data Termo'!$E$10*($F$222-298.15)+'Data Termo'!$F$10/2*($F$222^2-298.15^2)+'Data Termo'!$G$10/3*($F$222^3-298.15^3)+'Data Termo'!$H$10/4*($F$222^4-298.15^4)+'Data Termo'!$I$10/5*($F$222^5-298.15^5))</f>
        <v>17439.701955832425</v>
      </c>
      <c r="H232" s="216">
        <f>U25</f>
        <v>0.021653790626801735</v>
      </c>
      <c r="I232" s="217">
        <f>'Data Termo'!$V$10+('Data Termo'!$E$10*($H$222-298.15)+'Data Termo'!$F$10/2*($H$222^2-298.15^2)+'Data Termo'!$G$10/3*($H$222^3-298.15^3)+'Data Termo'!$H$10/4*($H$222^4-298.15^4)+'Data Termo'!$I$10/5*($H$222^5-298.15^5))</f>
        <v>16599.44518925739</v>
      </c>
      <c r="J232" s="172" t="inlineStr">
        <is>
          <t>-</t>
        </is>
      </c>
      <c r="K232" s="172" t="inlineStr">
        <is>
          <t>-</t>
        </is>
      </c>
    </row>
    <row r="233">
      <c r="A233" s="163" t="inlineStr">
        <is>
          <t>CₙHₘ (g)</t>
        </is>
      </c>
      <c r="B233" s="216">
        <f>E26</f>
        <v>0.0038339791506769674</v>
      </c>
      <c r="C233" s="217">
        <f>('Data Termo'!$E$11*($B$222-298.15)+'Data Termo'!$F$11/2*($B$222^2-298.15^2)+'Data Termo'!$G$11/3*($B$222^3-298.15^3)+'Data Termo'!$H$11/4*($B$222^4-298.15^4)+'Data Termo'!$I$11/5*($B$222^5-298.15^5))</f>
        <v>-1704.61916713568</v>
      </c>
      <c r="D233" s="216">
        <f>I26</f>
        <v>0.0</v>
      </c>
      <c r="E233" s="217">
        <f>('Data Termo'!$E$11*($D$222-298.15)+'Data Termo'!$F$11/2*($D$222^2-298.15^2)+'Data Termo'!$G$11/3*($D$222^3-298.15^3)+'Data Termo'!$H$11/4*($D$222^4-298.15^4)+'Data Termo'!$I$11/5*($D$222^5-298.15^5))</f>
        <v>25.3063262574889</v>
      </c>
      <c r="F233" s="216">
        <f>M26</f>
        <v>0.0</v>
      </c>
      <c r="G233" s="217">
        <f>('Data Termo'!$E$11*($F$222-298.15)+'Data Termo'!$F$11/2*($F$222^2-298.15^2)+'Data Termo'!$G$11/3*($F$222^3-298.15^3)+'Data Termo'!$H$11/4*($F$222^4-298.15^4)+'Data Termo'!$I$11/5*($F$222^5-298.15^5))</f>
        <v>182.1606378301505</v>
      </c>
      <c r="H233" s="216">
        <f>U26</f>
        <v>0.0038339791506769674</v>
      </c>
      <c r="I233" s="217">
        <f>('Data Termo'!$E$11*($H$222-298.15)+'Data Termo'!$F$11/2*($H$222^2-298.15^2)+'Data Termo'!$G$11/3*($H$222^3-298.15^3)+'Data Termo'!$H$11/4*($H$222^4-298.15^4)+'Data Termo'!$I$11/5*($H$222^5-298.15^5))</f>
        <v>-719.387799922693</v>
      </c>
      <c r="J233" s="216">
        <f>Q26</f>
        <v>0.0</v>
      </c>
      <c r="K233" s="217">
        <f>('Data Termo'!$E$11*($J$222-298.15)+'Data Termo'!$F$11/2*($J$222^2-298.15^2)+'Data Termo'!$G$11/3*($J$222^3-298.15^3)+'Data Termo'!$H$11/4*($J$222^4-298.15^4)+'Data Termo'!$I$11/5*($J$222^5-298.15^5))</f>
        <v>1485.2697289694295</v>
      </c>
    </row>
    <row r="234">
      <c r="A234" s="163" t="inlineStr">
        <is>
          <t>H₂O (l)</t>
        </is>
      </c>
      <c r="B234" s="172" t="inlineStr">
        <is>
          <t>-</t>
        </is>
      </c>
      <c r="C234" s="172" t="inlineStr">
        <is>
          <t>-</t>
        </is>
      </c>
      <c r="D234" s="172" t="inlineStr">
        <is>
          <t>-</t>
        </is>
      </c>
      <c r="E234" s="172" t="inlineStr">
        <is>
          <t>-</t>
        </is>
      </c>
      <c r="F234" s="172" t="inlineStr">
        <is>
          <t>-</t>
        </is>
      </c>
      <c r="G234" s="172" t="inlineStr">
        <is>
          <t>-</t>
        </is>
      </c>
      <c r="H234" s="172" t="inlineStr">
        <is>
          <t>-</t>
        </is>
      </c>
      <c r="I234" s="172" t="inlineStr">
        <is>
          <t>-</t>
        </is>
      </c>
      <c r="J234" s="216">
        <f>Q27</f>
        <v>0.010242885514456384</v>
      </c>
      <c r="K234" s="217">
        <f>('Data Termo'!$J$12*($J$222-298.15)+'Data Termo'!$K$12/2*($J$222^2-298.15^2)+'Data Termo'!$L$12/3*($J$222^3-298.15^3)+'Data Termo'!$M$12/4*($J$222^4-298.15^4))</f>
        <v>3009.605037083963</v>
      </c>
    </row>
    <row r="235">
      <c r="A235" s="163" t="inlineStr">
        <is>
          <t>H₂O (g)</t>
        </is>
      </c>
      <c r="B235" s="216">
        <f>E27</f>
        <v>0.010242885514456384</v>
      </c>
      <c r="C235" s="217">
        <f>'Data Termo'!$V$12+('Data Termo'!$E$12*($B$222-298.15)+'Data Termo'!$F$12/2*($B$222^2-298.15^2)+'Data Termo'!$G$12/3*($B$222^3-298.15^3)+'Data Termo'!$H$12/4*($B$222^4-298.15^4)+'Data Termo'!$I$12/5*($B$222^5-298.15^5))</f>
        <v>41082.556857610034</v>
      </c>
      <c r="D235" s="216">
        <f>I27</f>
        <v>0.0</v>
      </c>
      <c r="E235" s="217">
        <f>'Data Termo'!$V$12+('Data Termo'!$E$12*($D$222-298.15)+'Data Termo'!$F$12/2*($D$222^2-298.15^2)+'Data Termo'!$G$12/3*($D$222^3-298.15^3)+'Data Termo'!$H$12/4*($D$222^4-298.15^4)+'Data Termo'!$I$12/5*($D$222^5-298.15^5))</f>
        <v>42716.398060430096</v>
      </c>
      <c r="F235" s="216">
        <f>M27</f>
        <v>0.0</v>
      </c>
      <c r="G235" s="217">
        <f>'Data Termo'!$V$12+('Data Termo'!$E$12*($F$222-298.15)+'Data Termo'!$F$12/2*($F$222^2-298.15^2)+'Data Termo'!$G$12/3*($F$222^3-298.15^3)+'Data Termo'!$H$12/4*($F$222^4-298.15^4)+'Data Termo'!$I$12/5*($F$222^5-298.15^5))</f>
        <v>42861.233354024735</v>
      </c>
      <c r="H235" s="216">
        <f>U27</f>
        <v>0.0</v>
      </c>
      <c r="I235" s="217">
        <f>'Data Termo'!$V$12+('Data Termo'!$E$12*($H$222-298.15)+'Data Termo'!$F$12/2*($H$222^2-298.15^2)+'Data Termo'!$G$12/3*($H$222^3-298.15^3)+'Data Termo'!$H$12/4*($H$222^4-298.15^4)+'Data Termo'!$I$12/5*($H$222^5-298.15^5))</f>
        <v>42021.1819704618</v>
      </c>
      <c r="J235" s="172" t="inlineStr">
        <is>
          <t>-</t>
        </is>
      </c>
      <c r="K235" s="172" t="inlineStr">
        <is>
          <t>-</t>
        </is>
      </c>
    </row>
    <row r="236">
      <c r="A236" s="163" t="inlineStr">
        <is>
          <t>CₓHᵧCl (g)</t>
        </is>
      </c>
      <c r="B236" s="216">
        <f>E28</f>
        <v>0.0024365602723146326</v>
      </c>
      <c r="C236" s="217">
        <f>('Data Termo'!$E$13*($B$222-298.15)+'Data Termo'!$F$13/2*($B$222^2-298.15^2)+'Data Termo'!$G$13/3*($B$222^3-298.15^3)+'Data Termo'!$H$13/4*($B$222^4-298.15^4)+'Data Termo'!$I$13/5*($B$222^5-298.15^5))</f>
        <v>-1931.722020497658</v>
      </c>
      <c r="D236" s="216">
        <f>I28</f>
        <v>0.0</v>
      </c>
      <c r="E236" s="217">
        <f>('Data Termo'!$E$13*($D$222-298.15)+'Data Termo'!$F$13/2*($D$222^2-298.15^2)+'Data Termo'!$G$13/3*($D$222^3-298.15^3)+'Data Termo'!$H$13/4*($D$222^4-298.15^4)+'Data Termo'!$I$13/5*($D$222^5-298.15^5))</f>
        <v>29.036048571486624</v>
      </c>
      <c r="F236" s="216">
        <f>M28</f>
        <v>0.0</v>
      </c>
      <c r="G236" s="217">
        <f>('Data Termo'!$E$13*($F$222-298.15)+'Data Termo'!$F$13/2*($F$222^2-298.15^2)+'Data Termo'!$G$13/3*($F$222^3-298.15^3)+'Data Termo'!$H$13/4*($F$222^4-298.15^4)+'Data Termo'!$I$13/5*($F$222^5-298.15^5))</f>
        <v>209.20475882812178</v>
      </c>
      <c r="H236" s="216">
        <f>U28</f>
        <v>0.0024365602723146326</v>
      </c>
      <c r="I236" s="217">
        <f>('Data Termo'!$E$13*($H$222-298.15)+'Data Termo'!$F$13/2*($H$222^2-298.15^2)+'Data Termo'!$G$13/3*($H$222^3-298.15^3)+'Data Termo'!$H$13/4*($H$222^4-298.15^4)+'Data Termo'!$I$13/5*($H$222^5-298.15^5))</f>
        <v>-821.404893944015</v>
      </c>
      <c r="J236" s="216">
        <f>Q28</f>
        <v>0.0</v>
      </c>
      <c r="K236" s="217">
        <f>('Data Termo'!$E$13*($J$222-298.15)+'Data Termo'!$F$13/2*($J$222^2-298.15^2)+'Data Termo'!$G$13/3*($J$222^3-298.15^3)+'Data Termo'!$H$13/4*($J$222^4-298.15^4)+'Data Termo'!$I$13/5*($J$222^5-298.15^5))</f>
        <v>1717.396564619801</v>
      </c>
    </row>
    <row r="237">
      <c r="A237" s="163" t="inlineStr">
        <is>
          <t>Br₂ (l)</t>
        </is>
      </c>
      <c r="B237" s="172" t="inlineStr">
        <is>
          <t>-</t>
        </is>
      </c>
      <c r="C237" s="172" t="inlineStr">
        <is>
          <t>-</t>
        </is>
      </c>
      <c r="D237" s="172" t="inlineStr">
        <is>
          <t>-</t>
        </is>
      </c>
      <c r="E237" s="172" t="inlineStr">
        <is>
          <t>-</t>
        </is>
      </c>
      <c r="F237" s="172" t="inlineStr">
        <is>
          <t>-</t>
        </is>
      </c>
      <c r="G237" s="172" t="inlineStr">
        <is>
          <t>-</t>
        </is>
      </c>
      <c r="H237" s="172" t="inlineStr">
        <is>
          <t>-</t>
        </is>
      </c>
      <c r="I237" s="172" t="inlineStr">
        <is>
          <t>-</t>
        </is>
      </c>
      <c r="J237" s="216">
        <f>Q29</f>
        <v>0.008660028716159318</v>
      </c>
      <c r="K237" s="217">
        <f>('Data Termo'!$J$14*($J$222-298.15)+'Data Termo'!$K$14/2*($J$222^2-298.15^2)+'Data Termo'!$L$14/3*($J$222^3-298.15^3)+'Data Termo'!$M$14/4*($J$222^4-298.15^4))</f>
        <v>3087.491356446486</v>
      </c>
    </row>
    <row r="238">
      <c r="A238" s="163" t="inlineStr">
        <is>
          <t>Br₂ (g)</t>
        </is>
      </c>
      <c r="B238" s="216">
        <f>E29</f>
        <v>0.008660028716159318</v>
      </c>
      <c r="C238" s="217">
        <f>'Data Termo'!$V$14+('Data Termo'!$E$14*($B$222-298.15)+'Data Termo'!$F$14/2*($B$222^2-298.15^2)+'Data Termo'!$G$14/3*($B$222^3-298.15^3)+'Data Termo'!$H$14/4*($B$222^4-298.15^4)+'Data Termo'!$I$14/5*($B$222^5-298.15^5))</f>
        <v>29765.26306062586</v>
      </c>
      <c r="D238" s="216">
        <f>I29</f>
        <v>0.0</v>
      </c>
      <c r="E238" s="217">
        <f>'Data Termo'!$V$14+('Data Termo'!$E$14*($D$222-298.15)+'Data Termo'!$F$14/2*($D$222^2-298.15^2)+'Data Termo'!$G$14/3*($D$222^3-298.15^3)+'Data Termo'!$H$14/4*($D$222^4-298.15^4)+'Data Termo'!$I$14/5*($D$222^5-298.15^5))</f>
        <v>31492.919318554763</v>
      </c>
      <c r="F238" s="216">
        <f>M29</f>
        <v>0.0</v>
      </c>
      <c r="G238" s="217">
        <f>'Data Termo'!$V$14+('Data Termo'!$E$14*($F$222-298.15)+'Data Termo'!$F$14/2*($F$222^2-298.15^2)+'Data Termo'!$G$14/3*($F$222^3-298.15^3)+'Data Termo'!$H$14/4*($F$222^4-298.15^4)+'Data Termo'!$I$14/5*($F$222^5-298.15^5))</f>
        <v>31647.18005027984</v>
      </c>
      <c r="H238" s="216">
        <f>U29</f>
        <v>0.0</v>
      </c>
      <c r="I238" s="217">
        <f>'Data Termo'!$V$14+('Data Termo'!$E$14*($H$222-298.15)+'Data Termo'!$F$14/2*($H$222^2-298.15^2)+'Data Termo'!$G$14/3*($H$222^3-298.15^3)+'Data Termo'!$H$14/4*($H$222^4-298.15^4)+'Data Termo'!$I$14/5*($H$222^5-298.15^5))</f>
        <v>30754.688341775553</v>
      </c>
      <c r="J238" s="172" t="inlineStr">
        <is>
          <t>-</t>
        </is>
      </c>
      <c r="K238" s="172" t="inlineStr">
        <is>
          <t>-</t>
        </is>
      </c>
    </row>
    <row r="239">
      <c r="A239" s="163" t="inlineStr">
        <is>
          <t>NCl₃ (l)</t>
        </is>
      </c>
      <c r="B239" s="172" t="inlineStr">
        <is>
          <t>-</t>
        </is>
      </c>
      <c r="C239" s="172" t="inlineStr">
        <is>
          <t>-</t>
        </is>
      </c>
      <c r="D239" s="172" t="inlineStr">
        <is>
          <t>-</t>
        </is>
      </c>
      <c r="E239" s="172" t="inlineStr">
        <is>
          <t>-</t>
        </is>
      </c>
      <c r="F239" s="172" t="inlineStr">
        <is>
          <t>-</t>
        </is>
      </c>
      <c r="G239" s="172" t="inlineStr">
        <is>
          <t>-</t>
        </is>
      </c>
      <c r="H239" s="172" t="inlineStr">
        <is>
          <t>-</t>
        </is>
      </c>
      <c r="I239" s="172" t="inlineStr">
        <is>
          <t>-</t>
        </is>
      </c>
      <c r="J239" s="216">
        <f>Q30</f>
        <v>0.0006387709001195385</v>
      </c>
      <c r="K239" s="217">
        <f>-'Data Termo'!$V$15+('Data Termo'!$J$15*($J$222-298.15)+'Data Termo'!$K$15/2*($J$222^2-298.15^2)+'Data Termo'!$L$15/3*($J$222^3-298.15^3)+'Data Termo'!$M$15/4*($J$222^4-298.15^4))</f>
        <v>-28565.999016796683</v>
      </c>
    </row>
    <row r="240">
      <c r="A240" s="163" t="inlineStr">
        <is>
          <t>NCl₃ (g)</t>
        </is>
      </c>
      <c r="B240" s="216">
        <f>E30</f>
        <v>0.0006387709001195385</v>
      </c>
      <c r="C240" s="217">
        <f>-'Data Termo'!$V$15+('Data Termo'!$J$15*($B$222-298.15)+'Data Termo'!$K$15/2*($B$222^2-298.15^2)+'Data Termo'!$L$15/3*($B$222^3-298.15^3)+'Data Termo'!$M$15/4*($B$222^4-298.15^4))+('Data Termo'!$Q$15*1000*MAX(0,1-$B$222/'Data Termo'!$R$15)^'Data Termo'!$S$15)</f>
        <v>-2857.040982313629</v>
      </c>
      <c r="D240" s="216">
        <f>I30</f>
        <v>0.0</v>
      </c>
      <c r="E240" s="217">
        <f>-'Data Termo'!$V$15+('Data Termo'!$J$15*($D$222-298.15)+'Data Termo'!$K$15/2*($D$222^2-298.15^2)+'Data Termo'!$L$15/3*($D$222^3-298.15^3)+'Data Termo'!$M$15/4*($D$222^4-298.15^4))+('Data Termo'!$Q$15*1000*MAX(0,1-$D$222/'Data Termo'!$R$15)^'Data Termo'!$S$15)</f>
        <v>39.264018594811205</v>
      </c>
      <c r="F240" s="216">
        <f>M30</f>
        <v>0.0</v>
      </c>
      <c r="G240" s="217">
        <f>-'Data Termo'!$V$15+('Data Termo'!$J$15*($F$222-298.15)+'Data Termo'!$K$15/2*($F$222^2-298.15^2)+'Data Termo'!$L$15/3*($F$222^3-298.15^3)+'Data Termo'!$M$15/4*($F$222^4-298.15^4))+('Data Termo'!$Q$15*1000*MAX(0,1-$F$222/'Data Termo'!$R$15)^'Data Termo'!$S$15)</f>
        <v>280.9004755289134</v>
      </c>
      <c r="H240" s="216">
        <f>U30</f>
        <v>0.0</v>
      </c>
      <c r="I240" s="217">
        <f>-'Data Termo'!$V$15+('Data Termo'!$J$15*($H$222-298.15)+'Data Termo'!$K$15/2*($H$222^2-298.15^2)+'Data Termo'!$L$15/3*($H$222^3-298.15^3)+'Data Termo'!$M$15/4*($H$222^4-298.15^4))+('Data Termo'!$Q$15*1000*MAX(0,1-$H$222/'Data Termo'!$R$15)^'Data Termo'!$S$15)</f>
        <v>-1151.3994652797046</v>
      </c>
      <c r="J240" s="172" t="inlineStr">
        <is>
          <t>-</t>
        </is>
      </c>
      <c r="K240" s="172" t="inlineStr">
        <is>
          <t>-</t>
        </is>
      </c>
    </row>
    <row r="241">
      <c r="A241" s="163" t="inlineStr">
        <is>
          <t>H₂ (g)</t>
        </is>
      </c>
      <c r="B241" s="216">
        <f>E31</f>
        <v>0.2288263672407388</v>
      </c>
      <c r="C241" s="217">
        <f>('Data Termo'!$E$16*($B$222-298.15)+'Data Termo'!$F$16/2*($B$222^2-298.15^2)+'Data Termo'!$G$16/3*($B$222^3-298.15^3)+'Data Termo'!$H$16/4*($B$222^4-298.15^4)+'Data Termo'!$I$16/5*($B$222^5-298.15^5))</f>
        <v>-1375.4693250940338</v>
      </c>
      <c r="D241" s="216">
        <f>I31</f>
        <v>0.0</v>
      </c>
      <c r="E241" s="217">
        <f>('Data Termo'!$E$16*($D$222-298.15)+'Data Termo'!$F$16/2*($D$222^2-298.15^2)+'Data Termo'!$G$16/3*($D$222^3-298.15^3)+'Data Termo'!$H$16/4*($D$222^4-298.15^4)+'Data Termo'!$I$16/5*($D$222^5-298.15^5))</f>
        <v>20.02615101541964</v>
      </c>
      <c r="F241" s="216">
        <f>M31</f>
        <v>0.0</v>
      </c>
      <c r="G241" s="217">
        <f>('Data Termo'!$E$16*($F$222-298.15)+'Data Termo'!$F$16/2*($F$222^2-298.15^2)+'Data Termo'!$G$16/3*($F$222^3-298.15^3)+'Data Termo'!$H$16/4*($F$222^4-298.15^4)+'Data Termo'!$I$16/5*($F$222^5-298.15^5))</f>
        <v>143.87915687151903</v>
      </c>
      <c r="H241" s="216">
        <f>U31</f>
        <v>0.2288263672407388</v>
      </c>
      <c r="I241" s="217">
        <f>('Data Termo'!$E$16*($H$222-298.15)+'Data Termo'!$F$16/2*($H$222^2-298.15^2)+'Data Termo'!$G$16/3*($H$222^3-298.15^3)+'Data Termo'!$H$16/4*($H$222^4-298.15^4)+'Data Termo'!$I$16/5*($H$222^5-298.15^5))</f>
        <v>-574.2878696859578</v>
      </c>
      <c r="J241" s="216">
        <f>Q31</f>
        <v>0.0</v>
      </c>
      <c r="K241" s="217">
        <f>('Data Termo'!$E$16*($J$222-298.15)+'Data Termo'!$F$16/2*($J$222^2-298.15^2)+'Data Termo'!$G$16/3*($J$222^3-298.15^3)+'Data Termo'!$H$16/4*($J$222^4-298.15^4)+'Data Termo'!$I$16/5*($J$222^5-298.15^5))</f>
        <v>1154.0730845971636</v>
      </c>
    </row>
    <row r="242">
      <c r="A242" s="163" t="inlineStr">
        <is>
          <t>O₂ (g)</t>
        </is>
      </c>
      <c r="B242" s="216">
        <f>E32</f>
        <v>0.08649906991293405</v>
      </c>
      <c r="C242" s="217">
        <f>('Data Termo'!$E$17*($B$222-298.15)+'Data Termo'!$F$17/2*($B$222^2-298.15^2)+'Data Termo'!$G$17/3*($B$222^3-298.15^3)+'Data Termo'!$H$17/4*($B$222^4-298.15^4)+'Data Termo'!$I$17/5*($B$222^5-298.15^5))</f>
        <v>-1408.6688626001057</v>
      </c>
      <c r="D242" s="216">
        <f>I32</f>
        <v>0.0</v>
      </c>
      <c r="E242" s="217">
        <f>('Data Termo'!$E$17*($D$222-298.15)+'Data Termo'!$F$17/2*($D$222^2-298.15^2)+'Data Termo'!$G$17/3*($D$222^3-298.15^3)+'Data Termo'!$H$17/4*($D$222^4-298.15^4)+'Data Termo'!$I$17/5*($D$222^5-298.15^5))</f>
        <v>20.513105294929208</v>
      </c>
      <c r="F242" s="216">
        <f>M32</f>
        <v>0.0</v>
      </c>
      <c r="G242" s="217">
        <f>('Data Termo'!$E$17*($F$222-298.15)+'Data Termo'!$F$17/2*($F$222^2-298.15^2)+'Data Termo'!$G$17/3*($F$222^3-298.15^3)+'Data Termo'!$H$17/4*($F$222^4-298.15^4)+'Data Termo'!$I$17/5*($F$222^5-298.15^5))</f>
        <v>147.3914273715615</v>
      </c>
      <c r="H242" s="216">
        <f>U32</f>
        <v>0.08649906991293405</v>
      </c>
      <c r="I242" s="217">
        <f>('Data Termo'!$E$17*($H$222-298.15)+'Data Termo'!$F$17/2*($H$222^2-298.15^2)+'Data Termo'!$G$17/3*($H$222^3-298.15^3)+'Data Termo'!$H$17/4*($H$222^4-298.15^4)+'Data Termo'!$I$17/5*($H$222^5-298.15^5))</f>
        <v>-588.0889604089421</v>
      </c>
      <c r="J242" s="216">
        <f>Q32</f>
        <v>0.0</v>
      </c>
      <c r="K242" s="217">
        <f>('Data Termo'!$E$17*($J$222-298.15)+'Data Termo'!$F$17/2*($J$222^2-298.15^2)+'Data Termo'!$G$17/3*($J$222^3-298.15^3)+'Data Termo'!$H$17/4*($J$222^4-298.15^4)+'Data Termo'!$I$17/5*($J$222^5-298.15^5))</f>
        <v>1183.6364015022941</v>
      </c>
    </row>
    <row r="243">
      <c r="A243" s="163" t="inlineStr">
        <is>
          <t>N₂ (g)</t>
        </is>
      </c>
      <c r="B243" s="216">
        <f>E33</f>
        <v>0.3293452961785746</v>
      </c>
      <c r="C243" s="217">
        <f>('Data Termo'!$E$18*($B$222-298.15)+'Data Termo'!$F$18/2*($B$222^2-298.15^2)+'Data Termo'!$G$18/3*($B$222^3-298.15^3)+'Data Termo'!$H$18/4*($B$222^4-298.15^4)+'Data Termo'!$I$18/5*($B$222^5-298.15^5))</f>
        <v>-1394.9270651533782</v>
      </c>
      <c r="D243" s="216">
        <f>I33</f>
        <v>0.0</v>
      </c>
      <c r="E243" s="217">
        <f>('Data Termo'!$E$18*($D$222-298.15)+'Data Termo'!$F$18/2*($D$222^2-298.15^2)+'Data Termo'!$G$18/3*($D$222^3-298.15^3)+'Data Termo'!$H$18/4*($D$222^4-298.15^4)+'Data Termo'!$I$18/5*($D$222^5-298.15^5))</f>
        <v>20.238442103954668</v>
      </c>
      <c r="F243" s="216">
        <f>M33</f>
        <v>0.0</v>
      </c>
      <c r="G243" s="217">
        <f>('Data Termo'!$E$18*($F$222-298.15)+'Data Termo'!$F$18/2*($F$222^2-298.15^2)+'Data Termo'!$G$18/3*($F$222^3-298.15^3)+'Data Termo'!$H$18/4*($F$222^4-298.15^4)+'Data Termo'!$I$18/5*($F$222^5-298.15^5))</f>
        <v>145.36791939601756</v>
      </c>
      <c r="H243" s="216">
        <f>U33</f>
        <v>0.3293452961785746</v>
      </c>
      <c r="I243" s="217">
        <f>('Data Termo'!$E$18*($H$222-298.15)+'Data Termo'!$F$18/2*($H$222^2-298.15^2)+'Data Termo'!$G$18/3*($H$222^3-298.15^3)+'Data Termo'!$H$18/4*($H$222^4-298.15^4)+'Data Termo'!$I$18/5*($H$222^5-298.15^5))</f>
        <v>-581.1511111423398</v>
      </c>
      <c r="J243" s="216">
        <f>Q33</f>
        <v>0.0</v>
      </c>
      <c r="K243" s="217">
        <f>('Data Termo'!$E$18*($J$222-298.15)+'Data Termo'!$F$18/2*($J$222^2-298.15^2)+'Data Termo'!$G$18/3*($J$222^3-298.15^3)+'Data Termo'!$H$18/4*($J$222^4-298.15^4)+'Data Termo'!$I$18/5*($J$222^5-298.15^5))</f>
        <v>1164.0168646312147</v>
      </c>
    </row>
    <row r="244">
      <c r="A244" s="163" t="inlineStr">
        <is>
          <t>CO₂ (g)</t>
        </is>
      </c>
      <c r="B244" s="216">
        <f>E34</f>
        <v>0.20964051640869322</v>
      </c>
      <c r="C244" s="217">
        <f>('Data Termo'!$E$19*($B$222-298.15)+'Data Termo'!$F$19/2*($B$222^2-298.15^2)+'Data Termo'!$G$19/3*($B$222^3-298.15^3)+'Data Termo'!$H$19/4*($B$222^4-298.15^4)+'Data Termo'!$I$19/5*($B$222^5-298.15^5))</f>
        <v>-1808.087575767796</v>
      </c>
      <c r="D244" s="216">
        <f>I34</f>
        <v>0.0</v>
      </c>
      <c r="E244" s="217">
        <f>('Data Termo'!$E$19*($D$222-298.15)+'Data Termo'!$F$19/2*($D$222^2-298.15^2)+'Data Termo'!$G$19/3*($D$222^3-298.15^3)+'Data Termo'!$H$19/4*($D$222^4-298.15^4)+'Data Termo'!$I$19/5*($D$222^5-298.15^5))</f>
        <v>26.753914716290478</v>
      </c>
      <c r="F244" s="216">
        <f>M34</f>
        <v>0.0</v>
      </c>
      <c r="G244" s="217">
        <f>('Data Termo'!$E$19*($F$222-298.15)+'Data Termo'!$F$19/2*($F$222^2-298.15^2)+'Data Termo'!$G$19/3*($F$222^3-298.15^3)+'Data Termo'!$H$19/4*($F$222^4-298.15^4)+'Data Termo'!$I$19/5*($F$222^5-298.15^5))</f>
        <v>192.48781180015672</v>
      </c>
      <c r="H244" s="216">
        <f>U34</f>
        <v>0.20964051640869322</v>
      </c>
      <c r="I244" s="217">
        <f>('Data Termo'!$E$19*($H$222-298.15)+'Data Termo'!$F$19/2*($H$222^2-298.15^2)+'Data Termo'!$G$19/3*($H$222^3-298.15^3)+'Data Termo'!$H$19/4*($H$222^4-298.15^4)+'Data Termo'!$I$19/5*($H$222^5-298.15^5))</f>
        <v>-761.9886124930578</v>
      </c>
      <c r="J244" s="216">
        <f>Q34</f>
        <v>0.0</v>
      </c>
      <c r="K244" s="217">
        <f>('Data Termo'!$E$19*($J$222-298.15)+'Data Termo'!$F$19/2*($J$222^2-298.15^2)+'Data Termo'!$G$19/3*($J$222^3-298.15^3)+'Data Termo'!$H$19/4*($J$222^4-298.15^4)+'Data Termo'!$I$19/5*($J$222^5-298.15^5))</f>
        <v>1561.7478733642956</v>
      </c>
    </row>
    <row r="245">
      <c r="A245" s="163" t="inlineStr">
        <is>
          <t>EDC (l)</t>
        </is>
      </c>
      <c r="B245" s="172" t="inlineStr">
        <is>
          <t>-</t>
        </is>
      </c>
      <c r="C245" s="172" t="inlineStr">
        <is>
          <t>-</t>
        </is>
      </c>
      <c r="D245" s="172" t="inlineStr">
        <is>
          <t>-</t>
        </is>
      </c>
      <c r="E245" s="172" t="inlineStr">
        <is>
          <t>-</t>
        </is>
      </c>
      <c r="F245" s="172" t="inlineStr">
        <is>
          <t>-</t>
        </is>
      </c>
      <c r="G245" s="172" t="inlineStr">
        <is>
          <t>-</t>
        </is>
      </c>
      <c r="H245" s="172" t="inlineStr">
        <is>
          <t>-</t>
        </is>
      </c>
      <c r="I245" s="172" t="inlineStr">
        <is>
          <t>-</t>
        </is>
      </c>
      <c r="J245" s="216">
        <f>Q35</f>
        <v>215.97061771148134</v>
      </c>
      <c r="K245" s="217">
        <f>('Data Termo'!$J$20*($J$222-298.15)+'Data Termo'!$K$20/2*($J$222^2-298.15^2)+'Data Termo'!$L$20/3*($J$222^3-298.15^3)+'Data Termo'!$M$20/4*($J$222^4-298.15^4))</f>
        <v>5269.57917885534</v>
      </c>
    </row>
    <row r="246">
      <c r="A246" s="163" t="inlineStr">
        <is>
          <t>EDC (g)</t>
        </is>
      </c>
      <c r="B246" s="216">
        <f>E35</f>
        <v>0.0</v>
      </c>
      <c r="C246" s="217">
        <f>'Data Termo'!$V$20+('Data Termo'!$E$20*($B$222-298.15)+'Data Termo'!$F$20/2*($B$222^2-298.15^2)+'Data Termo'!$G$20/3*($B$222^3-298.15^3)+'Data Termo'!$H$20/4*($B$222^4-298.15^4)+'Data Termo'!$I$20/5*($B$222^5-298.15^5))</f>
        <v>31402.161217841636</v>
      </c>
      <c r="D246" s="216">
        <f>I35</f>
        <v>0.0</v>
      </c>
      <c r="E246" s="217">
        <f>'Data Termo'!$V$20+('Data Termo'!$E$20*($D$222-298.15)+'Data Termo'!$F$20/2*($D$222^2-298.15^2)+'Data Termo'!$G$20/3*($D$222^3-298.15^3)+'Data Termo'!$H$20/4*($D$222^4-298.15^4)+'Data Termo'!$I$20/5*($D$222^5-298.15^5))</f>
        <v>35106.06153140566</v>
      </c>
      <c r="F246" s="216">
        <f>M35</f>
        <v>0.0</v>
      </c>
      <c r="G246" s="217">
        <f>'Data Termo'!$V$20+('Data Termo'!$E$20*($F$222-298.15)+'Data Termo'!$F$20/2*($F$222^2-298.15^2)+'Data Termo'!$G$20/3*($F$222^3-298.15^3)+'Data Termo'!$H$20/4*($F$222^4-298.15^4)+'Data Termo'!$I$20/5*($F$222^5-298.15^5))</f>
        <v>35448.41352208502</v>
      </c>
      <c r="H246" s="216">
        <f>U35</f>
        <v>0.4492810541017718</v>
      </c>
      <c r="I246" s="217">
        <f>'Data Termo'!$V$20+('Data Termo'!$E$20*($H$222-298.15)+'Data Termo'!$F$20/2*($H$222^2-298.15^2)+'Data Termo'!$G$20/3*($H$222^3-298.15^3)+'Data Termo'!$H$20/4*($H$222^4-298.15^4)+'Data Termo'!$I$20/5*($H$222^5-298.15^5))</f>
        <v>33494.01356026648</v>
      </c>
      <c r="J246" s="172" t="inlineStr">
        <is>
          <t>-</t>
        </is>
      </c>
      <c r="K246" s="172" t="inlineStr">
        <is>
          <t>-</t>
        </is>
      </c>
    </row>
    <row r="247">
      <c r="A247" s="163" t="inlineStr">
        <is>
          <t>TCE (l)</t>
        </is>
      </c>
      <c r="B247" s="172" t="inlineStr">
        <is>
          <t>-</t>
        </is>
      </c>
      <c r="C247" s="172" t="inlineStr">
        <is>
          <t>-</t>
        </is>
      </c>
      <c r="D247" s="172" t="inlineStr">
        <is>
          <t>-</t>
        </is>
      </c>
      <c r="E247" s="172" t="inlineStr">
        <is>
          <t>-</t>
        </is>
      </c>
      <c r="F247" s="172" t="inlineStr">
        <is>
          <t>-</t>
        </is>
      </c>
      <c r="G247" s="172" t="inlineStr">
        <is>
          <t>-</t>
        </is>
      </c>
      <c r="H247" s="172" t="inlineStr">
        <is>
          <t>-</t>
        </is>
      </c>
      <c r="I247" s="172" t="inlineStr">
        <is>
          <t>-</t>
        </is>
      </c>
      <c r="J247" s="216">
        <f>Q36</f>
        <v>0.04817685591565345</v>
      </c>
      <c r="K247" s="217">
        <f>('Data Termo'!$J$21*($J$222-298.15)+'Data Termo'!$K$21/2*($J$222^2-298.15^2)+'Data Termo'!$L$21/3*($J$222^3-298.15^3)+'Data Termo'!$M$21/4*($J$222^4-298.15^4))</f>
        <v>6194.006533172773</v>
      </c>
    </row>
    <row r="248">
      <c r="A248" s="163" t="inlineStr">
        <is>
          <t>HCl (g)</t>
        </is>
      </c>
      <c r="B248" s="216">
        <f>E37</f>
        <v>0.0</v>
      </c>
      <c r="C248" s="217">
        <f>('Data Termo'!$E$22*($B$222-298.15)+'Data Termo'!$F$22/2*($B$222^2-298.15^2)+'Data Termo'!$G$22/3*($B$222^3-298.15^3)+'Data Termo'!$H$22/4*($B$222^4-298.15^4)+'Data Termo'!$I$22/5*($B$222^5-298.15^5))</f>
        <v>-1396.3015996978943</v>
      </c>
      <c r="D248" s="216">
        <f>I37</f>
        <v>0.0</v>
      </c>
      <c r="E248" s="217">
        <f>('Data Termo'!$E$22*($D$222-298.15)+'Data Termo'!$F$22/2*($D$222^2-298.15^2)+'Data Termo'!$G$22/3*($D$222^3-298.15^3)+'Data Termo'!$H$22/4*($D$222^4-298.15^4)+'Data Termo'!$I$22/5*($D$222^5-298.15^5))</f>
        <v>20.244704497237123</v>
      </c>
      <c r="F248" s="216">
        <f>M37</f>
        <v>0.0</v>
      </c>
      <c r="G248" s="217">
        <f>('Data Termo'!$E$22*($F$222-298.15)+'Data Termo'!$F$22/2*($F$222^2-298.15^2)+'Data Termo'!$G$22/3*($F$222^3-298.15^3)+'Data Termo'!$H$22/4*($F$222^4-298.15^4)+'Data Termo'!$I$22/5*($F$222^5-298.15^5))</f>
        <v>145.40334800705287</v>
      </c>
      <c r="H248" s="216">
        <f>U37</f>
        <v>0.04817685591565345</v>
      </c>
      <c r="I248" s="217">
        <f>('Data Termo'!$E$22*($H$222-298.15)+'Data Termo'!$F$22/2*($H$222^2-298.15^2)+'Data Termo'!$G$22/3*($H$222^3-298.15^3)+'Data Termo'!$H$22/4*($H$222^4-298.15^4)+'Data Termo'!$I$22/5*($H$222^5-298.15^5))</f>
        <v>-581.5071242494005</v>
      </c>
      <c r="J248" s="216">
        <f>Q37</f>
        <v>0.0</v>
      </c>
      <c r="K248" s="217">
        <f>('Data Termo'!$E$22*($J$222-298.15)+'Data Termo'!$F$22/2*($J$222^2-298.15^2)+'Data Termo'!$G$22/3*($J$222^3-298.15^3)+'Data Termo'!$H$22/4*($J$222^4-298.15^4)+'Data Termo'!$I$22/5*($J$222^5-298.15^5))</f>
        <v>1163.643842862243</v>
      </c>
    </row>
    <row r="249">
      <c r="A249" s="163" t="inlineStr">
        <is>
          <t>FeCl₃ (s)</t>
        </is>
      </c>
      <c r="B249" s="216">
        <f>E38</f>
        <v>0.0</v>
      </c>
      <c r="C249" s="217">
        <f>('Data Termo'!$N$23*($B$222-298.15)+'Data Termo'!$O$23/2*($B$222^2-298.15^2)+'Data Termo'!$P$23/3*($B$222^3-298.15^3))</f>
        <v>-4500.151851180913</v>
      </c>
      <c r="D249" s="216">
        <f>I38</f>
        <v>0.0</v>
      </c>
      <c r="E249" s="217">
        <f>('Data Termo'!$N$23*($D$222-298.15)+'Data Termo'!$O$23/2*($D$222^2-298.15^2)+'Data Termo'!$P$23/3*($D$222^3-298.15^3))</f>
        <v>67.79010933256512</v>
      </c>
      <c r="F249" s="216">
        <f>M38</f>
        <v>0.02642235069805515</v>
      </c>
      <c r="G249" s="217">
        <f>('Data Termo'!$N$23*($F$222-298.15)+'Data Termo'!$O$23/2*($F$222^2-298.15^2)+'Data Termo'!$P$23/3*($F$222^3-298.15^3))</f>
        <v>488.4169920772915</v>
      </c>
      <c r="H249" s="216">
        <f>U38</f>
        <v>0.0</v>
      </c>
      <c r="I249" s="217">
        <f>('Data Termo'!$N$23*($H$222-298.15)+'Data Termo'!$O$23/2*($H$222^2-298.15^2)+'Data Termo'!$P$23/3*($H$222^3-298.15^3))</f>
        <v>-1917.027794559167</v>
      </c>
      <c r="J249" s="216">
        <f>Q38</f>
        <v>0.02642235069805515</v>
      </c>
      <c r="K249" s="217">
        <f>('Data Termo'!$N$23*($J$222-298.15)+'Data Termo'!$O$23/2*($J$222^2-298.15^2)+'Data Termo'!$P$23/3*($J$222^3-298.15^3))</f>
        <v>4004.1226231183327</v>
      </c>
    </row>
    <row r="250">
      <c r="A250" s="163" t="inlineStr">
        <is>
          <t>Koreksi gas nyata (kJ/h)</t>
        </is>
      </c>
      <c r="B250" s="217" t="n">
        <v>0</v>
      </c>
      <c r="C250" s="211" t="n"/>
      <c r="D250" s="217">
        <f>SUM(D228:D249)*('Data Termo'!$D$40*'Data Termo'!$D$30*($D$224/'Data Termo'!$D$31)*((0.083-0.422/($D$222/'Data Termo'!$D$30)^1.6)-($D$222/'Data Termo'!$D$30)*0.675/($D$222/'Data Termo'!$D$30)^2.6+'Data Termo'!$D$32*((0.139-0.172/($D$222/'Data Termo'!$D$30)^4.2)-($D$222/'Data Termo'!$D$30)*0.722/($D$222/'Data Termo'!$D$30)^5.2)))</f>
        <v>-9940.265201903387</v>
      </c>
      <c r="E250" s="211" t="n"/>
      <c r="F250" s="217" t="n">
        <v>0</v>
      </c>
      <c r="G250" s="211" t="n"/>
      <c r="H250" s="217" t="n">
        <v>0</v>
      </c>
      <c r="I250" s="211" t="n"/>
      <c r="J250" s="217" t="n">
        <v>0</v>
      </c>
      <c r="K250" s="211" t="n"/>
    </row>
    <row r="251">
      <c r="A251" s="200" t="inlineStr">
        <is>
          <t>Sub Total ṅᵢĤᵢ (kJ/h)</t>
        </is>
      </c>
      <c r="B251" s="218">
        <f>SUMPRODUCT(B228:B249,C228:C249)+B250</f>
        <v>3392277.0791294896</v>
      </c>
      <c r="C251" s="211" t="n"/>
      <c r="D251" s="218">
        <f>SUMPRODUCT(D228:D249,E228:E249)+D250</f>
        <v>-3285.806061672377</v>
      </c>
      <c r="E251" s="211" t="n"/>
      <c r="F251" s="218">
        <f>SUMPRODUCT(F228:F249,G228:G249)+F250</f>
        <v>12.90512505155542</v>
      </c>
      <c r="G251" s="211" t="n"/>
      <c r="H251" s="218">
        <f>SUMPRODUCT(H228:H249,I228:I249)+H250</f>
        <v>13966.410860459122</v>
      </c>
      <c r="I251" s="211" t="n"/>
      <c r="J251" s="218">
        <f>SUMPRODUCT(J228:J249,K228:K249)+J250</f>
        <v>1138517.7941041652</v>
      </c>
      <c r="K251" s="211" t="n"/>
    </row>
    <row r="252">
      <c r="A252" s="163" t="inlineStr">
        <is>
          <t>Heat of reaction / heat of mixing (kJ/h)</t>
        </is>
      </c>
      <c r="B252" s="219" t="inlineStr">
        <is>
          <t>-</t>
        </is>
      </c>
      <c r="C252" s="210" t="n"/>
      <c r="D252" s="210" t="n"/>
      <c r="E252" s="210" t="n"/>
      <c r="F252" s="210" t="n"/>
      <c r="G252" s="211" t="n"/>
      <c r="H252" s="217">
        <f>(($B$6*E25-Q36)*'Termodinamika'!$F$105+Q36*'Termodinamika'!$F$106)*1000</f>
        <v>-43899369.763335355</v>
      </c>
      <c r="I252" s="210" t="n"/>
      <c r="J252" s="210" t="n"/>
      <c r="K252" s="211" t="n"/>
    </row>
    <row r="253">
      <c r="A253" s="200" t="inlineStr">
        <is>
          <t>Q (kJ/h)</t>
        </is>
      </c>
      <c r="B253" s="218">
        <f>(H251+J251+$H$252)-(B251+D251+F251)</f>
        <v>-46135889.7365636</v>
      </c>
      <c r="C253" s="210" t="n"/>
      <c r="D253" s="210" t="n"/>
      <c r="E253" s="210" t="n"/>
      <c r="F253" s="210" t="n"/>
      <c r="G253" s="210" t="n"/>
      <c r="H253" s="210" t="n"/>
      <c r="I253" s="210" t="n"/>
      <c r="J253" s="210" t="n"/>
      <c r="K253" s="211" t="n"/>
    </row>
    <row r="254">
      <c r="A254" s="200" t="inlineStr">
        <is>
          <t>W (kJ/h)</t>
        </is>
      </c>
      <c r="B254" s="218" t="n">
        <v>0</v>
      </c>
      <c r="C254" s="210" t="n"/>
      <c r="D254" s="210" t="n"/>
      <c r="E254" s="210" t="n"/>
      <c r="F254" s="210" t="n"/>
      <c r="G254" s="210" t="n"/>
      <c r="H254" s="210" t="n"/>
      <c r="I254" s="210" t="n"/>
      <c r="J254" s="210" t="n"/>
      <c r="K254" s="211" t="n"/>
    </row>
    <row r="255">
      <c r="A255" s="200" t="inlineStr">
        <is>
          <t>TOTAL (kJ/h)</t>
        </is>
      </c>
      <c r="B255" s="218">
        <f>B251+D251+F251+$B$253+$B$254</f>
        <v>-42746885.55837073</v>
      </c>
      <c r="C255" s="210" t="n"/>
      <c r="D255" s="210" t="n"/>
      <c r="E255" s="210" t="n"/>
      <c r="F255" s="210" t="n"/>
      <c r="G255" s="211" t="n"/>
      <c r="H255" s="218">
        <f>(H251+J251+$H$252)</f>
        <v>-42746885.55837073</v>
      </c>
      <c r="I255" s="210" t="n"/>
      <c r="J255" s="210" t="n"/>
      <c r="K255" s="211" t="n"/>
    </row>
    <row r="256">
      <c r="A256" s="163" t="inlineStr">
        <is>
          <t>Selisih masuk − keluar (kJ/h)</t>
        </is>
      </c>
      <c r="B256" s="217">
        <f>B255-H255</f>
        <v>0.0</v>
      </c>
      <c r="C256" s="210" t="n"/>
      <c r="D256" s="210" t="n"/>
      <c r="E256" s="210" t="n"/>
      <c r="F256" s="210" t="n"/>
      <c r="G256" s="210" t="n"/>
      <c r="H256" s="210" t="n"/>
      <c r="I256" s="210" t="n"/>
      <c r="J256" s="210" t="n"/>
      <c r="K256" s="211" t="n"/>
    </row>
    <row r="257">
      <c r="A257" s="163" t="inlineStr">
        <is>
          <t>Q (kW)</t>
        </is>
      </c>
      <c r="B257" s="217">
        <f>$B$253/3600</f>
        <v>-12815.524926823222</v>
      </c>
      <c r="C257" s="210" t="n"/>
      <c r="D257" s="210" t="n"/>
      <c r="E257" s="210" t="n"/>
      <c r="F257" s="210" t="n"/>
      <c r="G257" s="210" t="n"/>
      <c r="H257" s="210" t="n"/>
      <c r="I257" s="210" t="n"/>
      <c r="J257" s="210" t="n"/>
      <c r="K257" s="211" t="n"/>
    </row>
    <row r="258">
      <c r="A258" s="163" t="inlineStr">
        <is>
          <t>W (kW)</t>
        </is>
      </c>
      <c r="B258" s="217">
        <f>$B$254/3600</f>
        <v>0.0</v>
      </c>
      <c r="C258" s="210" t="n"/>
      <c r="D258" s="210" t="n"/>
      <c r="E258" s="210" t="n"/>
      <c r="F258" s="210" t="n"/>
      <c r="G258" s="210" t="n"/>
      <c r="H258" s="210" t="n"/>
      <c r="I258" s="210" t="n"/>
      <c r="J258" s="210" t="n"/>
      <c r="K258" s="211" t="n"/>
    </row>
  </sheetData>
  <mergeCells count="264">
    <mergeCell ref="B257:K257"/>
    <mergeCell ref="D172:E172"/>
    <mergeCell ref="F172:G172"/>
    <mergeCell ref="B254:K254"/>
    <mergeCell ref="B74:E74"/>
    <mergeCell ref="D174:E174"/>
    <mergeCell ref="F221:G221"/>
    <mergeCell ref="B225:G225"/>
    <mergeCell ref="B141:C141"/>
    <mergeCell ref="F174:G174"/>
    <mergeCell ref="H221:I221"/>
    <mergeCell ref="C7:L7"/>
    <mergeCell ref="D84:E84"/>
    <mergeCell ref="B115:C115"/>
    <mergeCell ref="B155:C155"/>
    <mergeCell ref="D155:E155"/>
    <mergeCell ref="F168:G168"/>
    <mergeCell ref="D173:G173"/>
    <mergeCell ref="A121:A123"/>
    <mergeCell ref="B193:C193"/>
    <mergeCell ref="B256:K256"/>
    <mergeCell ref="F223:G223"/>
    <mergeCell ref="B110:E110"/>
    <mergeCell ref="H223:I223"/>
    <mergeCell ref="B86:C86"/>
    <mergeCell ref="D86:E86"/>
    <mergeCell ref="B109:E109"/>
    <mergeCell ref="D141:E141"/>
    <mergeCell ref="B187:G187"/>
    <mergeCell ref="N18:U18"/>
    <mergeCell ref="A173:A175"/>
    <mergeCell ref="J19:M19"/>
    <mergeCell ref="B69:C69"/>
    <mergeCell ref="B182:C182"/>
    <mergeCell ref="F224:G224"/>
    <mergeCell ref="D72:E72"/>
    <mergeCell ref="D56:E56"/>
    <mergeCell ref="D193:E193"/>
    <mergeCell ref="B211:C211"/>
    <mergeCell ref="B49:C49"/>
    <mergeCell ref="B136:E136"/>
    <mergeCell ref="B55:C55"/>
    <mergeCell ref="F170:G170"/>
    <mergeCell ref="B104:C104"/>
    <mergeCell ref="B51:C51"/>
    <mergeCell ref="D226:E226"/>
    <mergeCell ref="D51:E51"/>
    <mergeCell ref="F226:G226"/>
    <mergeCell ref="B197:C197"/>
    <mergeCell ref="B154:C154"/>
    <mergeCell ref="D148:E148"/>
    <mergeCell ref="B206:C206"/>
    <mergeCell ref="B43:M43"/>
    <mergeCell ref="B129:C129"/>
    <mergeCell ref="B200:C200"/>
    <mergeCell ref="D115:E115"/>
    <mergeCell ref="F171:G171"/>
    <mergeCell ref="B156:C156"/>
    <mergeCell ref="H220:I220"/>
    <mergeCell ref="A199:A201"/>
    <mergeCell ref="B180:C180"/>
    <mergeCell ref="J220:K220"/>
    <mergeCell ref="B220:C220"/>
    <mergeCell ref="B223:C223"/>
    <mergeCell ref="C13:L13"/>
    <mergeCell ref="B212:E212"/>
    <mergeCell ref="B130:C130"/>
    <mergeCell ref="B195:C195"/>
    <mergeCell ref="B106:E106"/>
    <mergeCell ref="D195:E195"/>
    <mergeCell ref="B117:C117"/>
    <mergeCell ref="H222:I222"/>
    <mergeCell ref="F251:G251"/>
    <mergeCell ref="B255:G255"/>
    <mergeCell ref="J222:K222"/>
    <mergeCell ref="D198:E198"/>
    <mergeCell ref="B209:E209"/>
    <mergeCell ref="H251:I251"/>
    <mergeCell ref="C15:L15"/>
    <mergeCell ref="F19:I19"/>
    <mergeCell ref="B183:G183"/>
    <mergeCell ref="B250:C250"/>
    <mergeCell ref="B53:C53"/>
    <mergeCell ref="D197:E197"/>
    <mergeCell ref="D53:E53"/>
    <mergeCell ref="B119:C119"/>
    <mergeCell ref="R19:U19"/>
    <mergeCell ref="B131:E131"/>
    <mergeCell ref="D206:E206"/>
    <mergeCell ref="A225:A227"/>
    <mergeCell ref="B116:C116"/>
    <mergeCell ref="D181:E181"/>
    <mergeCell ref="B103:C103"/>
    <mergeCell ref="B196:C196"/>
    <mergeCell ref="B174:C174"/>
    <mergeCell ref="D103:E103"/>
    <mergeCell ref="D221:E221"/>
    <mergeCell ref="B168:C168"/>
    <mergeCell ref="D168:E168"/>
    <mergeCell ref="B84:C84"/>
    <mergeCell ref="C10:L10"/>
    <mergeCell ref="C16:L16"/>
    <mergeCell ref="B118:C118"/>
    <mergeCell ref="D118:E118"/>
    <mergeCell ref="D180:E180"/>
    <mergeCell ref="D167:E167"/>
    <mergeCell ref="D223:E223"/>
    <mergeCell ref="F167:G167"/>
    <mergeCell ref="B132:E132"/>
    <mergeCell ref="B142:C142"/>
    <mergeCell ref="C9:L9"/>
    <mergeCell ref="B80:C80"/>
    <mergeCell ref="D142:E142"/>
    <mergeCell ref="B169:C169"/>
    <mergeCell ref="A55:A57"/>
    <mergeCell ref="D129:E129"/>
    <mergeCell ref="D169:E169"/>
    <mergeCell ref="B258:K258"/>
    <mergeCell ref="A18:A20"/>
    <mergeCell ref="C11:L11"/>
    <mergeCell ref="B144:C144"/>
    <mergeCell ref="D144:E144"/>
    <mergeCell ref="J219:K219"/>
    <mergeCell ref="B224:C224"/>
    <mergeCell ref="B54:C54"/>
    <mergeCell ref="B72:C72"/>
    <mergeCell ref="B158:E158"/>
    <mergeCell ref="B185:C185"/>
    <mergeCell ref="B199:C199"/>
    <mergeCell ref="B81:C81"/>
    <mergeCell ref="D128:E128"/>
    <mergeCell ref="B194:C194"/>
    <mergeCell ref="D81:E81"/>
    <mergeCell ref="B121:C121"/>
    <mergeCell ref="D199:E199"/>
    <mergeCell ref="B208:C208"/>
    <mergeCell ref="D208:E208"/>
    <mergeCell ref="B122:C122"/>
    <mergeCell ref="B56:C56"/>
    <mergeCell ref="B160:E160"/>
    <mergeCell ref="B52:C52"/>
    <mergeCell ref="D170:E170"/>
    <mergeCell ref="D52:E52"/>
    <mergeCell ref="H225:K225"/>
    <mergeCell ref="H226:I226"/>
    <mergeCell ref="B120:C120"/>
    <mergeCell ref="D49:E49"/>
    <mergeCell ref="J226:K226"/>
    <mergeCell ref="D120:E120"/>
    <mergeCell ref="B107:C107"/>
    <mergeCell ref="D194:E194"/>
    <mergeCell ref="D107:E107"/>
    <mergeCell ref="B134:E134"/>
    <mergeCell ref="D116:E116"/>
    <mergeCell ref="C6:L6"/>
    <mergeCell ref="B170:C170"/>
    <mergeCell ref="H250:I250"/>
    <mergeCell ref="B148:C148"/>
    <mergeCell ref="B82:C82"/>
    <mergeCell ref="F181:G181"/>
    <mergeCell ref="C14:L14"/>
    <mergeCell ref="J250:K250"/>
    <mergeCell ref="B171:C171"/>
    <mergeCell ref="B71:E71"/>
    <mergeCell ref="D156:E156"/>
    <mergeCell ref="D171:E171"/>
    <mergeCell ref="B105:E105"/>
    <mergeCell ref="B214:E214"/>
    <mergeCell ref="F180:G180"/>
    <mergeCell ref="B44:U44"/>
    <mergeCell ref="B146:C146"/>
    <mergeCell ref="B172:C172"/>
    <mergeCell ref="B210:E210"/>
    <mergeCell ref="D146:E146"/>
    <mergeCell ref="J221:K221"/>
    <mergeCell ref="H252:K252"/>
    <mergeCell ref="D220:E220"/>
    <mergeCell ref="F220:G220"/>
    <mergeCell ref="B83:C83"/>
    <mergeCell ref="B143:C143"/>
    <mergeCell ref="D83:E83"/>
    <mergeCell ref="D196:E196"/>
    <mergeCell ref="D143:E143"/>
    <mergeCell ref="D117:E117"/>
    <mergeCell ref="J223:K223"/>
    <mergeCell ref="D55:E55"/>
    <mergeCell ref="B252:G252"/>
    <mergeCell ref="B157:E157"/>
    <mergeCell ref="B251:C251"/>
    <mergeCell ref="B133:C133"/>
    <mergeCell ref="F222:G222"/>
    <mergeCell ref="D251:E251"/>
    <mergeCell ref="D133:E133"/>
    <mergeCell ref="B5:L5"/>
    <mergeCell ref="B85:C85"/>
    <mergeCell ref="B184:G184"/>
    <mergeCell ref="B198:C198"/>
    <mergeCell ref="D85:E85"/>
    <mergeCell ref="D207:E207"/>
    <mergeCell ref="B19:E19"/>
    <mergeCell ref="D54:E54"/>
    <mergeCell ref="B173:C173"/>
    <mergeCell ref="N19:Q19"/>
    <mergeCell ref="D69:E69"/>
    <mergeCell ref="B108:E108"/>
    <mergeCell ref="D222:E222"/>
    <mergeCell ref="H224:I224"/>
    <mergeCell ref="J224:K224"/>
    <mergeCell ref="C8:L8"/>
    <mergeCell ref="D119:E119"/>
    <mergeCell ref="B159:C159"/>
    <mergeCell ref="A147:A149"/>
    <mergeCell ref="D159:E159"/>
    <mergeCell ref="D80:E80"/>
    <mergeCell ref="B213:E213"/>
    <mergeCell ref="B167:C167"/>
    <mergeCell ref="B219:C219"/>
    <mergeCell ref="D219:E219"/>
    <mergeCell ref="N43:U43"/>
    <mergeCell ref="B75:E75"/>
    <mergeCell ref="D104:E104"/>
    <mergeCell ref="B135:E135"/>
    <mergeCell ref="F169:G169"/>
    <mergeCell ref="D182:G182"/>
    <mergeCell ref="B186:G186"/>
    <mergeCell ref="B145:C145"/>
    <mergeCell ref="D145:E145"/>
    <mergeCell ref="B181:C181"/>
    <mergeCell ref="D154:E154"/>
    <mergeCell ref="F219:G219"/>
    <mergeCell ref="H219:I219"/>
    <mergeCell ref="D200:E200"/>
    <mergeCell ref="B87:C87"/>
    <mergeCell ref="B147:C147"/>
    <mergeCell ref="D87:E87"/>
    <mergeCell ref="D147:E147"/>
    <mergeCell ref="H255:K255"/>
    <mergeCell ref="B70:E70"/>
    <mergeCell ref="B128:C128"/>
    <mergeCell ref="D122:E122"/>
    <mergeCell ref="B161:E161"/>
    <mergeCell ref="B188:G188"/>
    <mergeCell ref="B226:C226"/>
    <mergeCell ref="D224:E224"/>
    <mergeCell ref="D250:E250"/>
    <mergeCell ref="D211:E211"/>
    <mergeCell ref="B253:K253"/>
    <mergeCell ref="D121:E121"/>
    <mergeCell ref="D185:G185"/>
    <mergeCell ref="B68:C68"/>
    <mergeCell ref="D130:E130"/>
    <mergeCell ref="D68:E68"/>
    <mergeCell ref="B222:C222"/>
    <mergeCell ref="D82:E82"/>
    <mergeCell ref="B73:E73"/>
    <mergeCell ref="J251:K251"/>
    <mergeCell ref="B162:E162"/>
    <mergeCell ref="A86:A88"/>
    <mergeCell ref="B207:C207"/>
    <mergeCell ref="B50:C50"/>
    <mergeCell ref="B18:M18"/>
    <mergeCell ref="B221:C221"/>
    <mergeCell ref="D50:E50"/>
    <mergeCell ref="F250:G25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3:Q153"/>
  <sheetViews>
    <sheetView tabSelected="0" zoomScale="85"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</cols>
  <sheetData>
    <row r="3">
      <c r="A3" s="169" t="inlineStr">
        <is>
          <t>Neraca Massa dan Energi</t>
        </is>
      </c>
    </row>
    <row r="4">
      <c r="A4" s="169" t="inlineStr">
        <is>
          <t>NM Blok 2: Oksiklorinasi (R-02)</t>
        </is>
      </c>
    </row>
    <row r="5">
      <c r="A5" s="202" t="inlineStr">
        <is>
          <t>Tujuan:</t>
        </is>
      </c>
      <c r="B5" s="187" t="inlineStr">
        <is>
          <t>Mereaksikan etilena, HCl daur ulang, dan oksigen (udara) menjadi EDC</t>
        </is>
      </c>
    </row>
    <row r="6">
      <c r="A6" s="202" t="inlineStr">
        <is>
          <t>Unjuk Kerja</t>
        </is>
      </c>
      <c r="B6" s="221" t="n">
        <v>2</v>
      </c>
      <c r="C6" s="187" t="inlineStr">
        <is>
          <t>Rasio mol HCl/C₂H₄</t>
        </is>
      </c>
    </row>
    <row r="7">
      <c r="B7" s="221" t="n">
        <v>0.8</v>
      </c>
      <c r="C7" s="187" t="inlineStr">
        <is>
          <t>Rasio mol O₂/C₂H₄</t>
        </is>
      </c>
    </row>
    <row r="8">
      <c r="B8" s="222" t="n">
        <v>0.995</v>
      </c>
      <c r="C8" s="187" t="inlineStr">
        <is>
          <t>Konversi C₂H₄</t>
        </is>
      </c>
    </row>
    <row r="9">
      <c r="B9" s="222" t="n">
        <v>0.982</v>
      </c>
      <c r="C9" s="187" t="inlineStr">
        <is>
          <t>Efisiensi C₂H₄ menjadi EDC (mol EDC/mol C₂H₄ umpan)</t>
        </is>
      </c>
    </row>
    <row r="10">
      <c r="B10" s="222" t="n">
        <v>0.986</v>
      </c>
      <c r="C10" s="187" t="inlineStr">
        <is>
          <t>Konversi HCl</t>
        </is>
      </c>
    </row>
    <row r="11">
      <c r="B11" s="223" t="n">
        <v>0.21</v>
      </c>
      <c r="C11" s="187" t="inlineStr">
        <is>
          <t>Fraksi mol O₂ dalam udara</t>
        </is>
      </c>
    </row>
    <row r="12">
      <c r="B12" s="223" t="n">
        <v>0.75</v>
      </c>
      <c r="C12" s="187" t="inlineStr">
        <is>
          <t>Efisiensi isentropik kompresor K-101</t>
        </is>
      </c>
    </row>
    <row r="13">
      <c r="B13" s="207" t="n">
        <v>11</v>
      </c>
      <c r="C13" s="187" t="inlineStr">
        <is>
          <t>Superheat uap HCl keluar E-109 (K)</t>
        </is>
      </c>
    </row>
    <row r="15">
      <c r="A15" s="202" t="inlineStr">
        <is>
          <t>Basis Perhitungan</t>
        </is>
      </c>
      <c r="B15" s="209">
        <f>'NME-1 Klorinasi Langsung'!$B$16</f>
        <v>6100.572183061604</v>
      </c>
      <c r="C15" s="187" t="inlineStr">
        <is>
          <t>kg/h aliran etilena ke R-01 (NME-1)</t>
        </is>
      </c>
    </row>
    <row r="17">
      <c r="A17" s="162" t="inlineStr">
        <is>
          <t>Substance</t>
        </is>
      </c>
      <c r="B17" s="162" t="inlineStr">
        <is>
          <t>Inlet</t>
        </is>
      </c>
      <c r="C17" s="210" t="n"/>
      <c r="D17" s="210" t="n"/>
      <c r="E17" s="210" t="n"/>
      <c r="F17" s="210" t="n"/>
      <c r="G17" s="210" t="n"/>
      <c r="H17" s="210" t="n"/>
      <c r="I17" s="210" t="n"/>
      <c r="J17" s="210" t="n"/>
      <c r="K17" s="210" t="n"/>
      <c r="L17" s="210" t="n"/>
      <c r="M17" s="211" t="n"/>
      <c r="N17" s="162" t="inlineStr">
        <is>
          <t>Outlet</t>
        </is>
      </c>
      <c r="O17" s="210" t="n"/>
      <c r="P17" s="210" t="n"/>
      <c r="Q17" s="211" t="n"/>
    </row>
    <row r="18">
      <c r="A18" s="212" t="n"/>
      <c r="B18" s="162" t="inlineStr">
        <is>
          <t>Aliran 9</t>
        </is>
      </c>
      <c r="C18" s="210" t="n"/>
      <c r="D18" s="210" t="n"/>
      <c r="E18" s="211" t="n"/>
      <c r="F18" s="162" t="inlineStr">
        <is>
          <t>Aliran 44</t>
        </is>
      </c>
      <c r="G18" s="210" t="n"/>
      <c r="H18" s="210" t="n"/>
      <c r="I18" s="211" t="n"/>
      <c r="J18" s="162" t="inlineStr">
        <is>
          <t>Aliran 17</t>
        </is>
      </c>
      <c r="K18" s="210" t="n"/>
      <c r="L18" s="210" t="n"/>
      <c r="M18" s="211" t="n"/>
      <c r="N18" s="162" t="inlineStr">
        <is>
          <t>Aliran 18</t>
        </is>
      </c>
      <c r="O18" s="210" t="n"/>
      <c r="P18" s="210" t="n"/>
      <c r="Q18" s="211" t="n"/>
    </row>
    <row r="19">
      <c r="A19" s="213" t="n"/>
      <c r="B19" s="214" t="inlineStr">
        <is>
          <t>ẋᵢ</t>
        </is>
      </c>
      <c r="C19" s="214" t="inlineStr">
        <is>
          <t>ṁᵢ (kg/h)</t>
        </is>
      </c>
      <c r="D19" s="214" t="inlineStr">
        <is>
          <t>ẏᵢ</t>
        </is>
      </c>
      <c r="E19" s="214" t="inlineStr">
        <is>
          <t>ṅᵢ (kmol/h)</t>
        </is>
      </c>
      <c r="F19" s="214" t="inlineStr">
        <is>
          <t>ẋᵢ</t>
        </is>
      </c>
      <c r="G19" s="214" t="inlineStr">
        <is>
          <t>ṁᵢ (kg/h)</t>
        </is>
      </c>
      <c r="H19" s="214" t="inlineStr">
        <is>
          <t>ẏᵢ</t>
        </is>
      </c>
      <c r="I19" s="214" t="inlineStr">
        <is>
          <t>ṅᵢ (kmol/h)</t>
        </is>
      </c>
      <c r="J19" s="214" t="inlineStr">
        <is>
          <t>ẋᵢ</t>
        </is>
      </c>
      <c r="K19" s="214" t="inlineStr">
        <is>
          <t>ṁᵢ (kg/h)</t>
        </is>
      </c>
      <c r="L19" s="214" t="inlineStr">
        <is>
          <t>ẏᵢ</t>
        </is>
      </c>
      <c r="M19" s="214" t="inlineStr">
        <is>
          <t>ṅᵢ (kmol/h)</t>
        </is>
      </c>
      <c r="N19" s="214" t="inlineStr">
        <is>
          <t>ẋᵢ</t>
        </is>
      </c>
      <c r="O19" s="214" t="inlineStr">
        <is>
          <t>ṁᵢ (kg/h)</t>
        </is>
      </c>
      <c r="P19" s="214" t="inlineStr">
        <is>
          <t>ẏᵢ</t>
        </is>
      </c>
      <c r="Q19" s="214" t="inlineStr">
        <is>
          <t>ṅᵢ (kmol/h)</t>
        </is>
      </c>
    </row>
    <row r="20">
      <c r="A20" s="163" t="inlineStr">
        <is>
          <t>C₂H₄</t>
        </is>
      </c>
      <c r="B20" s="189">
        <f>C20/C$41</f>
        <v>0.9997510491011944</v>
      </c>
      <c r="C20" s="215">
        <f>E20*'Data Komponen'!$D$3</f>
        <v>5701.6777406310985</v>
      </c>
      <c r="D20" s="189">
        <f>E20/E$41</f>
        <v>0.9995782904805011</v>
      </c>
      <c r="E20" s="216">
        <f>I36/$B$6</f>
        <v>203.23938620628428</v>
      </c>
      <c r="F20" s="189">
        <f>G20/G$41</f>
        <v>0.0</v>
      </c>
      <c r="G20" s="215">
        <f>I20*'Data Komponen'!$D$3</f>
        <v>0.0</v>
      </c>
      <c r="H20" s="189">
        <f>I20/I$41</f>
        <v>0.0</v>
      </c>
      <c r="I20" s="216">
        <f>'NME-7 Kolom HCl'!I15</f>
        <v>0.0</v>
      </c>
      <c r="J20" s="189">
        <f>K20/K$41</f>
        <v>0.0</v>
      </c>
      <c r="K20" s="215">
        <f>M20*'Data Komponen'!$D$3</f>
        <v>0.0</v>
      </c>
      <c r="L20" s="189">
        <f>M20/M$41</f>
        <v>0.0</v>
      </c>
      <c r="M20" s="216">
        <f>0</f>
        <v>0.0</v>
      </c>
      <c r="N20" s="189">
        <f>O20/O$41</f>
        <v>0.0006617075120989801</v>
      </c>
      <c r="O20" s="215">
        <f>Q20*'Data Komponen'!$D$3</f>
        <v>28.508388703155518</v>
      </c>
      <c r="P20" s="189">
        <f>Q20/Q$41</f>
        <v>0.0009355629731163276</v>
      </c>
      <c r="Q20" s="216">
        <f>E20*(1-$B$8)</f>
        <v>1.0161969310314223</v>
      </c>
    </row>
    <row r="21">
      <c r="A21" s="163" t="inlineStr">
        <is>
          <t>CH₄</t>
        </is>
      </c>
      <c r="B21" s="189">
        <f>C21/C$41</f>
        <v>0.0002314805629951287</v>
      </c>
      <c r="C21" s="215">
        <f>E21*'Data Komponen'!$D$4</f>
        <v>1.3201562274974794</v>
      </c>
      <c r="D21" s="189">
        <f>E21/E$41</f>
        <v>0.0004047144267324701</v>
      </c>
      <c r="E21" s="216">
        <f>(E20*'Data Komponen'!$D$3/'T-102'!$X$3)*'T-102'!$X$4/'Data Komponen'!$D$4</f>
        <v>0.08228861356962411</v>
      </c>
      <c r="F21" s="189">
        <f>G21/G$41</f>
        <v>0.0</v>
      </c>
      <c r="G21" s="215">
        <f>I21*'Data Komponen'!$D$4</f>
        <v>0.0</v>
      </c>
      <c r="H21" s="189">
        <f>I21/I$41</f>
        <v>0.0</v>
      </c>
      <c r="I21" s="216">
        <f>'NME-7 Kolom HCl'!I16</f>
        <v>0.0</v>
      </c>
      <c r="J21" s="189">
        <f>K21/K$41</f>
        <v>0.0</v>
      </c>
      <c r="K21" s="215">
        <f>M21*'Data Komponen'!$D$4</f>
        <v>0.0</v>
      </c>
      <c r="L21" s="189">
        <f>M21/M$41</f>
        <v>0.0</v>
      </c>
      <c r="M21" s="216">
        <f>0</f>
        <v>0.0</v>
      </c>
      <c r="N21" s="189">
        <f>O21/O$41</f>
        <v>3.064211386954467e-05</v>
      </c>
      <c r="O21" s="215">
        <f>Q21*'Data Komponen'!$D$4</f>
        <v>1.3201562274974794</v>
      </c>
      <c r="P21" s="189">
        <f>Q21/Q$41</f>
        <v>7.575911480728293e-05</v>
      </c>
      <c r="Q21" s="216">
        <f>E21+I21+M21</f>
        <v>0.08228861356962411</v>
      </c>
    </row>
    <row r="22">
      <c r="A22" s="163" t="inlineStr">
        <is>
          <t>C₂H₆</t>
        </is>
      </c>
      <c r="B22" s="189">
        <f>C22/C$41</f>
        <v>1.2632145720107967e-05</v>
      </c>
      <c r="C22" s="215">
        <f>E22*'Data Komponen'!$D$5</f>
        <v>0.07204235907879274</v>
      </c>
      <c r="D22" s="189">
        <f>E22/E$41</f>
        <v>1.1783205128162842e-05</v>
      </c>
      <c r="E22" s="216">
        <f>(E20*'Data Komponen'!$D$3/'T-102'!$X$3)*'T-102'!$X$5/'Data Komponen'!$D$5</f>
        <v>0.00239582171861632</v>
      </c>
      <c r="F22" s="189">
        <f>G22/G$41</f>
        <v>0.0</v>
      </c>
      <c r="G22" s="215">
        <f>I22*'Data Komponen'!$D$5</f>
        <v>0.0</v>
      </c>
      <c r="H22" s="189">
        <f>I22/I$41</f>
        <v>0.0</v>
      </c>
      <c r="I22" s="216">
        <f>'NME-7 Kolom HCl'!I17</f>
        <v>0.0</v>
      </c>
      <c r="J22" s="189">
        <f>K22/K$41</f>
        <v>0.0</v>
      </c>
      <c r="K22" s="215">
        <f>M22*'Data Komponen'!$D$5</f>
        <v>0.0</v>
      </c>
      <c r="L22" s="189">
        <f>M22/M$41</f>
        <v>0.0</v>
      </c>
      <c r="M22" s="216">
        <f>0</f>
        <v>0.0</v>
      </c>
      <c r="N22" s="189">
        <f>O22/O$41</f>
        <v>1.6721734324638537e-06</v>
      </c>
      <c r="O22" s="215">
        <f>Q22*'Data Komponen'!$D$5</f>
        <v>0.07204235907879274</v>
      </c>
      <c r="P22" s="189">
        <f>Q22/Q$41</f>
        <v>2.2057162560512053e-06</v>
      </c>
      <c r="Q22" s="216">
        <f>E22+I22+M22</f>
        <v>0.00239582171861632</v>
      </c>
    </row>
    <row r="23">
      <c r="A23" s="163" t="inlineStr">
        <is>
          <t>C₂H₂</t>
        </is>
      </c>
      <c r="B23" s="189">
        <f>C23/C$41</f>
        <v>4.8381900903201335e-06</v>
      </c>
      <c r="C23" s="215">
        <f>E23*'Data Komponen'!$D$6</f>
        <v>0.027592669962907983</v>
      </c>
      <c r="D23" s="189">
        <f>E23/E$41</f>
        <v>5.2118876383061426e-06</v>
      </c>
      <c r="E23" s="216">
        <f>(E20*'Data Komponen'!$D$3/'T-102'!$X$3)*'T-102'!$X$6/'Data Komponen'!$D$6</f>
        <v>0.0010597077334245327</v>
      </c>
      <c r="F23" s="189">
        <f>G23/G$41</f>
        <v>0.0</v>
      </c>
      <c r="G23" s="215">
        <f>I23*'Data Komponen'!$D$6</f>
        <v>0.0</v>
      </c>
      <c r="H23" s="189">
        <f>I23/I$41</f>
        <v>0.0</v>
      </c>
      <c r="I23" s="216">
        <f>'NME-7 Kolom HCl'!I18</f>
        <v>0.0</v>
      </c>
      <c r="J23" s="189">
        <f>K23/K$41</f>
        <v>0.0</v>
      </c>
      <c r="K23" s="215">
        <f>M23*'Data Komponen'!$D$6</f>
        <v>0.0</v>
      </c>
      <c r="L23" s="189">
        <f>M23/M$41</f>
        <v>0.0</v>
      </c>
      <c r="M23" s="216">
        <f>0</f>
        <v>0.0</v>
      </c>
      <c r="N23" s="189">
        <f>O23/O$41</f>
        <v>6.404527868424615e-07</v>
      </c>
      <c r="O23" s="215">
        <f>Q23*'Data Komponen'!$D$6</f>
        <v>0.027592669962907983</v>
      </c>
      <c r="P23" s="189">
        <f>Q23/Q$41</f>
        <v>9.756212476559469e-07</v>
      </c>
      <c r="Q23" s="216">
        <f>E23+I23+M23</f>
        <v>0.0010597077334245327</v>
      </c>
    </row>
    <row r="24">
      <c r="A24" s="163" t="inlineStr">
        <is>
          <t>Cl₂</t>
        </is>
      </c>
      <c r="B24" s="189">
        <f>C24/C$41</f>
        <v>0.0</v>
      </c>
      <c r="C24" s="215">
        <f>E24*'Data Komponen'!$D$7</f>
        <v>0.0</v>
      </c>
      <c r="D24" s="189">
        <f>E24/E$41</f>
        <v>0.0</v>
      </c>
      <c r="E24" s="216">
        <f>0</f>
        <v>0.0</v>
      </c>
      <c r="F24" s="189">
        <f>G24/G$41</f>
        <v>0.014588687507313361</v>
      </c>
      <c r="G24" s="215">
        <f>I24*'Data Komponen'!$D$7</f>
        <v>219.45229882203654</v>
      </c>
      <c r="H24" s="189">
        <f>I24/I$41</f>
        <v>0.007555925784002804</v>
      </c>
      <c r="I24" s="216">
        <f>'NME-7 Kolom HCl'!I19</f>
        <v>3.095018670362267</v>
      </c>
      <c r="J24" s="189">
        <f>K24/K$41</f>
        <v>0.0</v>
      </c>
      <c r="K24" s="215">
        <f>M24*'Data Komponen'!$D$7</f>
        <v>0.0</v>
      </c>
      <c r="L24" s="189">
        <f>M24/M$41</f>
        <v>0.0</v>
      </c>
      <c r="M24" s="216">
        <f>0</f>
        <v>0.0</v>
      </c>
      <c r="N24" s="189">
        <f>O24/O$41</f>
        <v>0.005093701934190987</v>
      </c>
      <c r="O24" s="215">
        <f>Q24*'Data Komponen'!$D$7</f>
        <v>219.45229882203654</v>
      </c>
      <c r="P24" s="189">
        <f>Q24/Q$41</f>
        <v>0.002849432802513679</v>
      </c>
      <c r="Q24" s="216">
        <f>E24+I24+M24</f>
        <v>3.095018670362267</v>
      </c>
    </row>
    <row r="25">
      <c r="A25" s="163" t="inlineStr">
        <is>
          <t>CₙHₘ</t>
        </is>
      </c>
      <c r="B25" s="189">
        <f>C25/C$41</f>
        <v>0.0</v>
      </c>
      <c r="C25" s="215">
        <f>E25*'Data Komponen'!$D$8</f>
        <v>0.0</v>
      </c>
      <c r="D25" s="189">
        <f>E25/E$41</f>
        <v>0.0</v>
      </c>
      <c r="E25" s="216">
        <f>0</f>
        <v>0.0</v>
      </c>
      <c r="F25" s="189">
        <f>G25/G$41</f>
        <v>0.0</v>
      </c>
      <c r="G25" s="215">
        <f>I25*'Data Komponen'!$D$8</f>
        <v>0.0</v>
      </c>
      <c r="H25" s="189">
        <f>I25/I$41</f>
        <v>0.0</v>
      </c>
      <c r="I25" s="216">
        <f>'NME-7 Kolom HCl'!I20</f>
        <v>0.0</v>
      </c>
      <c r="J25" s="189">
        <f>K25/K$41</f>
        <v>0.0</v>
      </c>
      <c r="K25" s="215">
        <f>M25*'Data Komponen'!$D$8</f>
        <v>0.0</v>
      </c>
      <c r="L25" s="189">
        <f>M25/M$41</f>
        <v>0.0</v>
      </c>
      <c r="M25" s="216">
        <f>0</f>
        <v>0.0</v>
      </c>
      <c r="N25" s="189">
        <f>O25/O$41</f>
        <v>0.0</v>
      </c>
      <c r="O25" s="215">
        <f>Q25*'Data Komponen'!$D$8</f>
        <v>0.0</v>
      </c>
      <c r="P25" s="189">
        <f>Q25/Q$41</f>
        <v>0.0</v>
      </c>
      <c r="Q25" s="216">
        <f>0</f>
        <v>0.0</v>
      </c>
    </row>
    <row r="26">
      <c r="A26" s="163" t="inlineStr">
        <is>
          <t>H₂O</t>
        </is>
      </c>
      <c r="B26" s="189">
        <f>C26/C$41</f>
        <v>0.0</v>
      </c>
      <c r="C26" s="215">
        <f>E26*'Data Komponen'!$D$9</f>
        <v>0.0</v>
      </c>
      <c r="D26" s="189">
        <f>E26/E$41</f>
        <v>0.0</v>
      </c>
      <c r="E26" s="216">
        <f>0</f>
        <v>0.0</v>
      </c>
      <c r="F26" s="189">
        <f>G26/G$41</f>
        <v>0.0</v>
      </c>
      <c r="G26" s="215">
        <f>I26*'Data Komponen'!$D$9</f>
        <v>0.0</v>
      </c>
      <c r="H26" s="189">
        <f>I26/I$41</f>
        <v>0.0</v>
      </c>
      <c r="I26" s="216">
        <f>'NME-7 Kolom HCl'!I21</f>
        <v>0.0</v>
      </c>
      <c r="J26" s="189">
        <f>K26/K$41</f>
        <v>0.0</v>
      </c>
      <c r="K26" s="215">
        <f>M26*'Data Komponen'!$D$9</f>
        <v>0.0</v>
      </c>
      <c r="L26" s="189">
        <f>M26/M$41</f>
        <v>0.0</v>
      </c>
      <c r="M26" s="216">
        <f>0</f>
        <v>0.0</v>
      </c>
      <c r="N26" s="189">
        <f>O26/O$41</f>
        <v>0.08430381082070455</v>
      </c>
      <c r="O26" s="215">
        <f>Q26*'Data Komponen'!$D$9</f>
        <v>3632.0666821664117</v>
      </c>
      <c r="P26" s="189">
        <f>Q26/Q$41</f>
        <v>0.18561569386629198</v>
      </c>
      <c r="Q26" s="216">
        <f>Q34+Q33</f>
        <v>201.61347111664787</v>
      </c>
    </row>
    <row r="27">
      <c r="A27" s="163" t="inlineStr">
        <is>
          <t>CₓHᵧCl</t>
        </is>
      </c>
      <c r="B27" s="189">
        <f>C27/C$41</f>
        <v>0.0</v>
      </c>
      <c r="C27" s="215">
        <f>E27*'Data Komponen'!$D$10</f>
        <v>0.0</v>
      </c>
      <c r="D27" s="189">
        <f>E27/E$41</f>
        <v>0.0</v>
      </c>
      <c r="E27" s="216">
        <f>0</f>
        <v>0.0</v>
      </c>
      <c r="F27" s="189">
        <f>G27/G$41</f>
        <v>0.0</v>
      </c>
      <c r="G27" s="215">
        <f>I27*'Data Komponen'!$D$10</f>
        <v>0.0</v>
      </c>
      <c r="H27" s="189">
        <f>I27/I$41</f>
        <v>0.0</v>
      </c>
      <c r="I27" s="216">
        <f>'NME-7 Kolom HCl'!I22</f>
        <v>0.0</v>
      </c>
      <c r="J27" s="189">
        <f>K27/K$41</f>
        <v>0.0</v>
      </c>
      <c r="K27" s="215">
        <f>M27*'Data Komponen'!$D$10</f>
        <v>0.0</v>
      </c>
      <c r="L27" s="189">
        <f>M27/M$41</f>
        <v>0.0</v>
      </c>
      <c r="M27" s="216">
        <f>0</f>
        <v>0.0</v>
      </c>
      <c r="N27" s="189">
        <f>O27/O$41</f>
        <v>0.0</v>
      </c>
      <c r="O27" s="215">
        <f>Q27*'Data Komponen'!$D$10</f>
        <v>0.0</v>
      </c>
      <c r="P27" s="189">
        <f>Q27/Q$41</f>
        <v>0.0</v>
      </c>
      <c r="Q27" s="216">
        <f>0</f>
        <v>0.0</v>
      </c>
    </row>
    <row r="28">
      <c r="A28" s="163" t="inlineStr">
        <is>
          <t>Br₂</t>
        </is>
      </c>
      <c r="B28" s="189">
        <f>C28/C$41</f>
        <v>0.0</v>
      </c>
      <c r="C28" s="215">
        <f>E28*'Data Komponen'!$D$11</f>
        <v>0.0</v>
      </c>
      <c r="D28" s="189">
        <f>E28/E$41</f>
        <v>0.0</v>
      </c>
      <c r="E28" s="216">
        <f>0</f>
        <v>0.0</v>
      </c>
      <c r="F28" s="189">
        <f>G28/G$41</f>
        <v>0.0</v>
      </c>
      <c r="G28" s="215">
        <f>I28*'Data Komponen'!$D$11</f>
        <v>0.0</v>
      </c>
      <c r="H28" s="189">
        <f>I28/I$41</f>
        <v>0.0</v>
      </c>
      <c r="I28" s="216">
        <f>'NME-7 Kolom HCl'!I23</f>
        <v>0.0</v>
      </c>
      <c r="J28" s="189">
        <f>K28/K$41</f>
        <v>0.0</v>
      </c>
      <c r="K28" s="215">
        <f>M28*'Data Komponen'!$D$11</f>
        <v>0.0</v>
      </c>
      <c r="L28" s="189">
        <f>M28/M$41</f>
        <v>0.0</v>
      </c>
      <c r="M28" s="216">
        <f>0</f>
        <v>0.0</v>
      </c>
      <c r="N28" s="189">
        <f>O28/O$41</f>
        <v>0.0</v>
      </c>
      <c r="O28" s="215">
        <f>Q28*'Data Komponen'!$D$11</f>
        <v>0.0</v>
      </c>
      <c r="P28" s="189">
        <f>Q28/Q$41</f>
        <v>0.0</v>
      </c>
      <c r="Q28" s="216">
        <f>0</f>
        <v>0.0</v>
      </c>
    </row>
    <row r="29">
      <c r="A29" s="163" t="inlineStr">
        <is>
          <t>NCl₃</t>
        </is>
      </c>
      <c r="B29" s="189">
        <f>C29/C$41</f>
        <v>0.0</v>
      </c>
      <c r="C29" s="215">
        <f>E29*'Data Komponen'!$D$12</f>
        <v>0.0</v>
      </c>
      <c r="D29" s="189">
        <f>E29/E$41</f>
        <v>0.0</v>
      </c>
      <c r="E29" s="216">
        <f>0</f>
        <v>0.0</v>
      </c>
      <c r="F29" s="189">
        <f>G29/G$41</f>
        <v>0.0</v>
      </c>
      <c r="G29" s="215">
        <f>I29*'Data Komponen'!$D$12</f>
        <v>0.0</v>
      </c>
      <c r="H29" s="189">
        <f>I29/I$41</f>
        <v>0.0</v>
      </c>
      <c r="I29" s="216">
        <f>'NME-7 Kolom HCl'!I24</f>
        <v>0.0</v>
      </c>
      <c r="J29" s="189">
        <f>K29/K$41</f>
        <v>0.0</v>
      </c>
      <c r="K29" s="215">
        <f>M29*'Data Komponen'!$D$12</f>
        <v>0.0</v>
      </c>
      <c r="L29" s="189">
        <f>M29/M$41</f>
        <v>0.0</v>
      </c>
      <c r="M29" s="216">
        <f>0</f>
        <v>0.0</v>
      </c>
      <c r="N29" s="189">
        <f>O29/O$41</f>
        <v>0.0</v>
      </c>
      <c r="O29" s="215">
        <f>Q29*'Data Komponen'!$D$12</f>
        <v>0.0</v>
      </c>
      <c r="P29" s="189">
        <f>Q29/Q$41</f>
        <v>0.0</v>
      </c>
      <c r="Q29" s="216">
        <f>0</f>
        <v>0.0</v>
      </c>
    </row>
    <row r="30">
      <c r="A30" s="163" t="inlineStr">
        <is>
          <t>H₂</t>
        </is>
      </c>
      <c r="B30" s="189">
        <f>C30/C$41</f>
        <v>0.0</v>
      </c>
      <c r="C30" s="215">
        <f>E30*'Data Komponen'!$D$13</f>
        <v>0.0</v>
      </c>
      <c r="D30" s="189">
        <f>E30/E$41</f>
        <v>0.0</v>
      </c>
      <c r="E30" s="216">
        <f>0</f>
        <v>0.0</v>
      </c>
      <c r="F30" s="189">
        <f>G30/G$41</f>
        <v>0.0</v>
      </c>
      <c r="G30" s="215">
        <f>I30*'Data Komponen'!$D$13</f>
        <v>0.0</v>
      </c>
      <c r="H30" s="189">
        <f>I30/I$41</f>
        <v>0.0</v>
      </c>
      <c r="I30" s="216">
        <f>'NME-7 Kolom HCl'!I25</f>
        <v>0.0</v>
      </c>
      <c r="J30" s="189">
        <f>K30/K$41</f>
        <v>0.0</v>
      </c>
      <c r="K30" s="215">
        <f>M30*'Data Komponen'!$D$13</f>
        <v>0.0</v>
      </c>
      <c r="L30" s="189">
        <f>M30/M$41</f>
        <v>0.0</v>
      </c>
      <c r="M30" s="216">
        <f>0</f>
        <v>0.0</v>
      </c>
      <c r="N30" s="189">
        <f>O30/O$41</f>
        <v>0.0</v>
      </c>
      <c r="O30" s="215">
        <f>Q30*'Data Komponen'!$D$13</f>
        <v>0.0</v>
      </c>
      <c r="P30" s="189">
        <f>Q30/Q$41</f>
        <v>0.0</v>
      </c>
      <c r="Q30" s="216">
        <f>0</f>
        <v>0.0</v>
      </c>
    </row>
    <row r="31">
      <c r="A31" s="163" t="inlineStr">
        <is>
          <t>O₂</t>
        </is>
      </c>
      <c r="B31" s="189">
        <f>C31/C$41</f>
        <v>0.0</v>
      </c>
      <c r="C31" s="215">
        <f>E31*'Data Komponen'!$D$14</f>
        <v>0.0</v>
      </c>
      <c r="D31" s="189">
        <f>E31/E$41</f>
        <v>0.0</v>
      </c>
      <c r="E31" s="216">
        <f>0</f>
        <v>0.0</v>
      </c>
      <c r="F31" s="189">
        <f>G31/G$41</f>
        <v>0.0</v>
      </c>
      <c r="G31" s="215">
        <f>I31*'Data Komponen'!$D$14</f>
        <v>0.0</v>
      </c>
      <c r="H31" s="189">
        <f>I31/I$41</f>
        <v>0.0</v>
      </c>
      <c r="I31" s="216">
        <f>'NME-7 Kolom HCl'!I26</f>
        <v>0.0</v>
      </c>
      <c r="J31" s="189">
        <f>K31/K$41</f>
        <v>0.23291480147032056</v>
      </c>
      <c r="K31" s="215">
        <f>M31*'Data Komponen'!$D$14</f>
        <v>5202.765695371912</v>
      </c>
      <c r="L31" s="189">
        <f>M31/M$41</f>
        <v>0.20999999999999996</v>
      </c>
      <c r="M31" s="216">
        <f>$B$7*E20</f>
        <v>162.59150896502743</v>
      </c>
      <c r="N31" s="189">
        <f>O31/O$41</f>
        <v>0.04437976567916967</v>
      </c>
      <c r="O31" s="215">
        <f>Q31*'Data Komponen'!$D$14</f>
        <v>1912.016393048713</v>
      </c>
      <c r="P31" s="189">
        <f>Q31/Q$41</f>
        <v>0.055011102819226644</v>
      </c>
      <c r="Q31" s="216">
        <f>M31-0.5*Q34-1.5*Q33</f>
        <v>59.75237954463306</v>
      </c>
    </row>
    <row r="32">
      <c r="A32" s="163" t="inlineStr">
        <is>
          <t>N₂</t>
        </is>
      </c>
      <c r="B32" s="189">
        <f>C32/C$41</f>
        <v>0.0</v>
      </c>
      <c r="C32" s="215">
        <f>E32*'Data Komponen'!$D$15</f>
        <v>0.0</v>
      </c>
      <c r="D32" s="189">
        <f>E32/E$41</f>
        <v>0.0</v>
      </c>
      <c r="E32" s="216">
        <f>0</f>
        <v>0.0</v>
      </c>
      <c r="F32" s="189">
        <f>G32/G$41</f>
        <v>0.0</v>
      </c>
      <c r="G32" s="215">
        <f>I32*'Data Komponen'!$D$15</f>
        <v>0.0</v>
      </c>
      <c r="H32" s="189">
        <f>I32/I$41</f>
        <v>0.0</v>
      </c>
      <c r="I32" s="216">
        <f>'NME-7 Kolom HCl'!I27</f>
        <v>0.0</v>
      </c>
      <c r="J32" s="189">
        <f>K32/K$41</f>
        <v>0.7670851985296794</v>
      </c>
      <c r="K32" s="215">
        <f>M32*'Data Komponen'!$D$15</f>
        <v>17134.868763788385</v>
      </c>
      <c r="L32" s="189">
        <f>M32/M$41</f>
        <v>0.79</v>
      </c>
      <c r="M32" s="216">
        <f>M31*(1-$B$11)/$B$11</f>
        <v>611.6537718208176</v>
      </c>
      <c r="N32" s="189">
        <f>O32/O$41</f>
        <v>0.3977170192917264</v>
      </c>
      <c r="O32" s="215">
        <f>Q32*'Data Komponen'!$D$15</f>
        <v>17134.868763788385</v>
      </c>
      <c r="P32" s="189">
        <f>Q32/Q$41</f>
        <v>0.5631198085804939</v>
      </c>
      <c r="Q32" s="216">
        <f>E32+I32+M32</f>
        <v>611.6537718208176</v>
      </c>
    </row>
    <row r="33">
      <c r="A33" s="163" t="inlineStr">
        <is>
          <t>CO₂</t>
        </is>
      </c>
      <c r="B33" s="189">
        <f>C33/C$41</f>
        <v>0.0</v>
      </c>
      <c r="C33" s="215">
        <f>E33*'Data Komponen'!$D$16</f>
        <v>0.0</v>
      </c>
      <c r="D33" s="189">
        <f>E33/E$41</f>
        <v>0.0</v>
      </c>
      <c r="E33" s="216">
        <f>0</f>
        <v>0.0</v>
      </c>
      <c r="F33" s="189">
        <f>G33/G$41</f>
        <v>0.0</v>
      </c>
      <c r="G33" s="215">
        <f>I33*'Data Komponen'!$D$16</f>
        <v>0.0</v>
      </c>
      <c r="H33" s="189">
        <f>I33/I$41</f>
        <v>0.0</v>
      </c>
      <c r="I33" s="216">
        <f>'NME-7 Kolom HCl'!I28</f>
        <v>0.0</v>
      </c>
      <c r="J33" s="189">
        <f>K33/K$41</f>
        <v>0.0</v>
      </c>
      <c r="K33" s="215">
        <f>M33*'Data Komponen'!$D$16</f>
        <v>0.0</v>
      </c>
      <c r="L33" s="189">
        <f>M33/M$41</f>
        <v>0.0</v>
      </c>
      <c r="M33" s="216">
        <f>0</f>
        <v>0.0</v>
      </c>
      <c r="N33" s="189">
        <f>O33/O$41</f>
        <v>0.0020761208817006356</v>
      </c>
      <c r="O33" s="215">
        <f>Q33*'Data Komponen'!$D$16</f>
        <v>89.44565386981179</v>
      </c>
      <c r="P33" s="189">
        <f>Q33/Q$41</f>
        <v>0.0018711259462415668</v>
      </c>
      <c r="Q33" s="216">
        <f>2*($B$8*E20-Q34-Q38)</f>
        <v>2.0323938620725244</v>
      </c>
    </row>
    <row r="34">
      <c r="A34" s="163" t="inlineStr">
        <is>
          <t>EDC</t>
        </is>
      </c>
      <c r="B34" s="189">
        <f>C34/C$41</f>
        <v>0.0</v>
      </c>
      <c r="C34" s="215">
        <f>E34*'Data Komponen'!$D$17</f>
        <v>0.0</v>
      </c>
      <c r="D34" s="189">
        <f>E34/E$41</f>
        <v>0.0</v>
      </c>
      <c r="E34" s="216">
        <f>0</f>
        <v>0.0</v>
      </c>
      <c r="F34" s="189">
        <f>G34/G$41</f>
        <v>0.0</v>
      </c>
      <c r="G34" s="215">
        <f>I34*'Data Komponen'!$D$17</f>
        <v>0.0</v>
      </c>
      <c r="H34" s="189">
        <f>I34/I$41</f>
        <v>0.0</v>
      </c>
      <c r="I34" s="216">
        <f>'NME-7 Kolom HCl'!I29</f>
        <v>0.0</v>
      </c>
      <c r="J34" s="189">
        <f>K34/K$41</f>
        <v>0.0</v>
      </c>
      <c r="K34" s="215">
        <f>M34*'Data Komponen'!$D$17</f>
        <v>0.0</v>
      </c>
      <c r="L34" s="189">
        <f>M34/M$41</f>
        <v>0.0</v>
      </c>
      <c r="M34" s="216">
        <f>0</f>
        <v>0.0</v>
      </c>
      <c r="N34" s="189">
        <f>O34/O$41</f>
        <v>0.4584247468695122</v>
      </c>
      <c r="O34" s="215">
        <f>Q34*'Data Komponen'!$D$17</f>
        <v>19750.34382403511</v>
      </c>
      <c r="P34" s="189">
        <f>Q34/Q$41</f>
        <v>0.18374456792004656</v>
      </c>
      <c r="Q34" s="216">
        <f>$B$9*E20</f>
        <v>199.58107725457117</v>
      </c>
    </row>
    <row r="35">
      <c r="A35" s="163" t="inlineStr">
        <is>
          <t>TCE</t>
        </is>
      </c>
      <c r="B35" s="189">
        <f>C35/C$41</f>
        <v>0.0</v>
      </c>
      <c r="C35" s="215">
        <f>E35*'Data Komponen'!$D$18</f>
        <v>0.0</v>
      </c>
      <c r="D35" s="189">
        <f>E35/E$41</f>
        <v>0.0</v>
      </c>
      <c r="E35" s="216">
        <f>0</f>
        <v>0.0</v>
      </c>
      <c r="F35" s="189">
        <f>G35/G$41</f>
        <v>0.0</v>
      </c>
      <c r="G35" s="215">
        <f>I35*'Data Komponen'!$D$18</f>
        <v>0.0</v>
      </c>
      <c r="H35" s="189">
        <f>I35/I$41</f>
        <v>0.0</v>
      </c>
      <c r="I35" s="216">
        <f>'NME-7 Kolom HCl'!I30</f>
        <v>0.0</v>
      </c>
      <c r="J35" s="189">
        <f>K35/K$41</f>
        <v>0.0</v>
      </c>
      <c r="K35" s="215">
        <f>M35*'Data Komponen'!$D$18</f>
        <v>0.0</v>
      </c>
      <c r="L35" s="189">
        <f>M35/M$41</f>
        <v>0.0</v>
      </c>
      <c r="M35" s="216">
        <f>0</f>
        <v>0.0</v>
      </c>
      <c r="N35" s="189">
        <f>O35/O$41</f>
        <v>0.0</v>
      </c>
      <c r="O35" s="215">
        <f>Q35*'Data Komponen'!$D$18</f>
        <v>0.0</v>
      </c>
      <c r="P35" s="189">
        <f>Q35/Q$41</f>
        <v>0.0</v>
      </c>
      <c r="Q35" s="216">
        <f>0</f>
        <v>0.0</v>
      </c>
    </row>
    <row r="36">
      <c r="A36" s="163" t="inlineStr">
        <is>
          <t>HCl</t>
        </is>
      </c>
      <c r="B36" s="189">
        <f>C36/C$41</f>
        <v>0.0</v>
      </c>
      <c r="C36" s="215">
        <f>E36*'Data Komponen'!$D$19</f>
        <v>0.0</v>
      </c>
      <c r="D36" s="189">
        <f>E36/E$41</f>
        <v>0.0</v>
      </c>
      <c r="E36" s="216">
        <f>0</f>
        <v>0.0</v>
      </c>
      <c r="F36" s="189">
        <f>G36/G$41</f>
        <v>0.9852411288573419</v>
      </c>
      <c r="G36" s="215">
        <f>I36*'Data Komponen'!$D$19</f>
        <v>14820.622520934352</v>
      </c>
      <c r="H36" s="189">
        <f>I36/I$41</f>
        <v>0.9923440742159972</v>
      </c>
      <c r="I36" s="216">
        <f>'NME-7 Kolom HCl'!I31</f>
        <v>406.4787724125601</v>
      </c>
      <c r="J36" s="189">
        <f>K36/K$41</f>
        <v>0.0</v>
      </c>
      <c r="K36" s="215">
        <f>M36*'Data Komponen'!$D$19</f>
        <v>0.0</v>
      </c>
      <c r="L36" s="189">
        <f>M36/M$41</f>
        <v>0.0</v>
      </c>
      <c r="M36" s="216">
        <f>0</f>
        <v>0.0</v>
      </c>
      <c r="N36" s="189">
        <f>O36/O$41</f>
        <v>0.004816015489854791</v>
      </c>
      <c r="O36" s="215">
        <f>Q36*'Data Komponen'!$D$19</f>
        <v>207.48871529308113</v>
      </c>
      <c r="P36" s="189">
        <f>Q36/Q$41</f>
        <v>0.005239152649451326</v>
      </c>
      <c r="Q36" s="216">
        <f>I36*(1-$B$10)</f>
        <v>5.690702813775847</v>
      </c>
    </row>
    <row r="37">
      <c r="A37" s="163" t="inlineStr">
        <is>
          <t>FeCl₃</t>
        </is>
      </c>
      <c r="B37" s="189">
        <f>C37/C$41</f>
        <v>0.0</v>
      </c>
      <c r="C37" s="215">
        <f>E37*'Data Komponen'!$D$20</f>
        <v>0.0</v>
      </c>
      <c r="D37" s="189">
        <f>E37/E$41</f>
        <v>0.0</v>
      </c>
      <c r="E37" s="216">
        <f>0</f>
        <v>0.0</v>
      </c>
      <c r="F37" s="189">
        <f>G37/G$41</f>
        <v>0.0</v>
      </c>
      <c r="G37" s="215">
        <f>I37*'Data Komponen'!$D$20</f>
        <v>0.0</v>
      </c>
      <c r="H37" s="189">
        <f>I37/I$41</f>
        <v>0.0</v>
      </c>
      <c r="I37" s="216">
        <f>'NME-7 Kolom HCl'!I32</f>
        <v>0.0</v>
      </c>
      <c r="J37" s="189">
        <f>K37/K$41</f>
        <v>0.0</v>
      </c>
      <c r="K37" s="215">
        <f>M37*'Data Komponen'!$D$20</f>
        <v>0.0</v>
      </c>
      <c r="L37" s="189">
        <f>M37/M$41</f>
        <v>0.0</v>
      </c>
      <c r="M37" s="216">
        <f>0</f>
        <v>0.0</v>
      </c>
      <c r="N37" s="189">
        <f>O37/O$41</f>
        <v>0.0</v>
      </c>
      <c r="O37" s="215">
        <f>Q37*'Data Komponen'!$D$20</f>
        <v>0.0</v>
      </c>
      <c r="P37" s="189">
        <f>Q37/Q$41</f>
        <v>0.0</v>
      </c>
      <c r="Q37" s="216">
        <f>0</f>
        <v>0.0</v>
      </c>
    </row>
    <row r="38">
      <c r="A38" s="163" t="inlineStr">
        <is>
          <t>C₂H₅Cl</t>
        </is>
      </c>
      <c r="B38" s="189">
        <f>C38/C$41</f>
        <v>0.0</v>
      </c>
      <c r="C38" s="215">
        <f>E38*'Data Komponen'!$D$21</f>
        <v>0.0</v>
      </c>
      <c r="D38" s="189">
        <f>E38/E$41</f>
        <v>0.0</v>
      </c>
      <c r="E38" s="216">
        <f>0</f>
        <v>0.0</v>
      </c>
      <c r="F38" s="189">
        <f>G38/G$41</f>
        <v>0.0</v>
      </c>
      <c r="G38" s="215">
        <f>I38*'Data Komponen'!$D$21</f>
        <v>0.0</v>
      </c>
      <c r="H38" s="189">
        <f>I38/I$41</f>
        <v>0.0</v>
      </c>
      <c r="I38" s="216">
        <f>'NME-7 Kolom HCl'!I33</f>
        <v>0.0</v>
      </c>
      <c r="J38" s="189">
        <f>K38/K$41</f>
        <v>0.0</v>
      </c>
      <c r="K38" s="215">
        <f>M38*'Data Komponen'!$D$21</f>
        <v>0.0</v>
      </c>
      <c r="L38" s="189">
        <f>M38/M$41</f>
        <v>0.0</v>
      </c>
      <c r="M38" s="216">
        <f>0</f>
        <v>0.0</v>
      </c>
      <c r="N38" s="189">
        <f>O38/O$41</f>
        <v>0.0024347364450186845</v>
      </c>
      <c r="O38" s="215">
        <f>Q38*'Data Komponen'!$D$21</f>
        <v>104.89591200824856</v>
      </c>
      <c r="P38" s="189">
        <f>Q38/Q$41</f>
        <v>0.0014969007569784326</v>
      </c>
      <c r="Q38" s="216">
        <f>$B$10*I36-2*Q34</f>
        <v>1.6259150896419214</v>
      </c>
    </row>
    <row r="39">
      <c r="A39" s="163" t="inlineStr">
        <is>
          <t>VCM</t>
        </is>
      </c>
      <c r="B39" s="189">
        <f>C39/C$41</f>
        <v>0.0</v>
      </c>
      <c r="C39" s="215">
        <f>E39*'Data Komponen'!$D$22</f>
        <v>0.0</v>
      </c>
      <c r="D39" s="189">
        <f>E39/E$41</f>
        <v>0.0</v>
      </c>
      <c r="E39" s="216">
        <f>0</f>
        <v>0.0</v>
      </c>
      <c r="F39" s="189">
        <f>G39/G$41</f>
        <v>0.00017018363534467224</v>
      </c>
      <c r="G39" s="215">
        <f>I39*'Data Komponen'!$D$22</f>
        <v>2.56001028053807</v>
      </c>
      <c r="H39" s="189">
        <f>I39/I$41</f>
        <v>9.999999999999874e-05</v>
      </c>
      <c r="I39" s="216">
        <f>'NME-7 Kolom HCl'!I34</f>
        <v>0.0409614752558173</v>
      </c>
      <c r="J39" s="189">
        <f>K39/K$41</f>
        <v>0.0</v>
      </c>
      <c r="K39" s="215">
        <f>M39*'Data Komponen'!$D$22</f>
        <v>0.0</v>
      </c>
      <c r="L39" s="189">
        <f>M39/M$41</f>
        <v>0.0</v>
      </c>
      <c r="M39" s="216">
        <f>0</f>
        <v>0.0</v>
      </c>
      <c r="N39" s="189">
        <f>O39/O$41</f>
        <v>5.942033593414406e-05</v>
      </c>
      <c r="O39" s="215">
        <f>Q39*'Data Komponen'!$D$22</f>
        <v>2.56001028053807</v>
      </c>
      <c r="P39" s="189">
        <f>Q39/Q$41</f>
        <v>3.7711233328236e-05</v>
      </c>
      <c r="Q39" s="216">
        <f>E39+I39+M39</f>
        <v>0.0409614752558173</v>
      </c>
    </row>
    <row r="40">
      <c r="A40" s="163" t="inlineStr">
        <is>
          <t>C₄H₈Cl₂ (berat)</t>
        </is>
      </c>
      <c r="B40" s="189">
        <f>C40/C$41</f>
        <v>0.0</v>
      </c>
      <c r="C40" s="215">
        <f>E40*'Data Komponen'!$D$23</f>
        <v>0.0</v>
      </c>
      <c r="D40" s="189">
        <f>E40/E$41</f>
        <v>0.0</v>
      </c>
      <c r="E40" s="216">
        <f>0</f>
        <v>0.0</v>
      </c>
      <c r="F40" s="189">
        <f>G40/G$41</f>
        <v>0.0</v>
      </c>
      <c r="G40" s="215">
        <f>I40*'Data Komponen'!$D$23</f>
        <v>0.0</v>
      </c>
      <c r="H40" s="189">
        <f>I40/I$41</f>
        <v>0.0</v>
      </c>
      <c r="I40" s="216">
        <f>'NME-7 Kolom HCl'!I35</f>
        <v>0.0</v>
      </c>
      <c r="J40" s="189">
        <f>K40/K$41</f>
        <v>0.0</v>
      </c>
      <c r="K40" s="215">
        <f>M40*'Data Komponen'!$D$23</f>
        <v>0.0</v>
      </c>
      <c r="L40" s="189">
        <f>M40/M$41</f>
        <v>0.0</v>
      </c>
      <c r="M40" s="216">
        <f>0</f>
        <v>0.0</v>
      </c>
      <c r="N40" s="189">
        <f>O40/O$41</f>
        <v>0.0</v>
      </c>
      <c r="O40" s="215">
        <f>Q40*'Data Komponen'!$D$23</f>
        <v>0.0</v>
      </c>
      <c r="P40" s="189">
        <f>Q40/Q$41</f>
        <v>0.0</v>
      </c>
      <c r="Q40" s="216">
        <f>0</f>
        <v>0.0</v>
      </c>
    </row>
    <row r="41">
      <c r="A41" s="162" t="inlineStr">
        <is>
          <t>Sub Total</t>
        </is>
      </c>
      <c r="B41" s="189">
        <f>SUM(B20:B40)</f>
        <v>1.0</v>
      </c>
      <c r="C41" s="215">
        <f>SUM(C20:C40)</f>
        <v>5703.097531887638</v>
      </c>
      <c r="D41" s="189">
        <f>SUM(D20:D40)</f>
        <v>1.0</v>
      </c>
      <c r="E41" s="216">
        <f>SUM(E20:E40)</f>
        <v>203.32513034930594</v>
      </c>
      <c r="F41" s="189">
        <f>SUM(F20:F40)</f>
        <v>1.0</v>
      </c>
      <c r="G41" s="215">
        <f>SUM(G20:G40)</f>
        <v>15042.634830036926</v>
      </c>
      <c r="H41" s="189">
        <f>SUM(H20:H40)</f>
        <v>1.0</v>
      </c>
      <c r="I41" s="216">
        <f>SUM(I20:I40)</f>
        <v>409.61475255817817</v>
      </c>
      <c r="J41" s="189">
        <f>SUM(J20:J40)</f>
        <v>1.0</v>
      </c>
      <c r="K41" s="215">
        <f>SUM(K20:K40)</f>
        <v>22337.634459160297</v>
      </c>
      <c r="L41" s="189">
        <f>SUM(L20:L40)</f>
        <v>1.0</v>
      </c>
      <c r="M41" s="216">
        <f>SUM(M20:M40)</f>
        <v>774.245280785845</v>
      </c>
      <c r="N41" s="189">
        <f>SUM(N20:N40)</f>
        <v>0.9999999999999998</v>
      </c>
      <c r="O41" s="215">
        <f>SUM(O20:O40)</f>
        <v>43083.06643327203</v>
      </c>
      <c r="P41" s="189">
        <f>SUM(P20:P40)</f>
        <v>0.9999999999999996</v>
      </c>
      <c r="Q41" s="216">
        <f>SUM(Q20:Q40)</f>
        <v>1086.1876327218315</v>
      </c>
    </row>
    <row r="42">
      <c r="A42" s="162" t="inlineStr">
        <is>
          <t>TOTAL MASSA</t>
        </is>
      </c>
      <c r="B42" s="215">
        <f>C41+G41+K41</f>
        <v>43083.36682108486</v>
      </c>
      <c r="C42" s="210" t="n"/>
      <c r="D42" s="210" t="n"/>
      <c r="E42" s="210" t="n"/>
      <c r="F42" s="210" t="n"/>
      <c r="G42" s="210" t="n"/>
      <c r="H42" s="210" t="n"/>
      <c r="I42" s="210" t="n"/>
      <c r="J42" s="210" t="n"/>
      <c r="K42" s="210" t="n"/>
      <c r="L42" s="210" t="n"/>
      <c r="M42" s="211" t="n"/>
      <c r="N42" s="215">
        <f>O41</f>
        <v>43083.06643327203</v>
      </c>
      <c r="O42" s="210" t="n"/>
      <c r="P42" s="210" t="n"/>
      <c r="Q42" s="211" t="n"/>
    </row>
    <row r="43">
      <c r="A43" s="162" t="inlineStr">
        <is>
          <t>Selisih (Inlet − Outlet), kg/h</t>
        </is>
      </c>
      <c r="B43" s="215">
        <f>B42-N42</f>
        <v>0.3003878128292854</v>
      </c>
      <c r="C43" s="210" t="n"/>
      <c r="D43" s="210" t="n"/>
      <c r="E43" s="210" t="n"/>
      <c r="F43" s="210" t="n"/>
      <c r="G43" s="210" t="n"/>
      <c r="H43" s="210" t="n"/>
      <c r="I43" s="210" t="n"/>
      <c r="J43" s="210" t="n"/>
      <c r="K43" s="210" t="n"/>
      <c r="L43" s="210" t="n"/>
      <c r="M43" s="210" t="n"/>
      <c r="N43" s="210" t="n"/>
      <c r="O43" s="210" t="n"/>
      <c r="P43" s="210" t="n"/>
      <c r="Q43" s="211" t="n"/>
    </row>
    <row r="46">
      <c r="A46" s="169" t="inlineStr">
        <is>
          <t>Neraca Energi K-101: Kompresor udara</t>
        </is>
      </c>
    </row>
    <row r="47">
      <c r="A47" s="187" t="inlineStr">
        <is>
          <t>Reference state: O₂, N₂ fasa gas @ 25°C, 1 bar</t>
        </is>
      </c>
    </row>
    <row r="48">
      <c r="A48" s="162" t="inlineStr">
        <is>
          <t>No. aliran PFD</t>
        </is>
      </c>
      <c r="B48" s="162" t="n">
        <v>16</v>
      </c>
      <c r="C48" s="211" t="n"/>
      <c r="D48" s="162" t="n">
        <v>17</v>
      </c>
      <c r="E48" s="211" t="n"/>
    </row>
    <row r="49">
      <c r="A49" s="162" t="inlineStr">
        <is>
          <t>Dari</t>
        </is>
      </c>
      <c r="B49" s="172" t="inlineStr">
        <is>
          <t>Udara</t>
        </is>
      </c>
      <c r="C49" s="211" t="n"/>
      <c r="D49" s="172" t="inlineStr">
        <is>
          <t>K-101</t>
        </is>
      </c>
      <c r="E49" s="211" t="n"/>
    </row>
    <row r="50">
      <c r="A50" s="162" t="inlineStr">
        <is>
          <t>Ke</t>
        </is>
      </c>
      <c r="B50" s="172" t="inlineStr">
        <is>
          <t>K-101</t>
        </is>
      </c>
      <c r="C50" s="211" t="n"/>
      <c r="D50" s="172" t="inlineStr">
        <is>
          <t>R-02</t>
        </is>
      </c>
      <c r="E50" s="211" t="n"/>
    </row>
    <row r="51">
      <c r="A51" s="162" t="inlineStr">
        <is>
          <t>T (K)</t>
        </is>
      </c>
      <c r="B51" s="185">
        <f>B52+273.15</f>
        <v>303.15</v>
      </c>
      <c r="C51" s="211" t="n"/>
      <c r="D51" s="185">
        <f>IFERROR(IF(D51&lt;100,$B$51,D51+(B64-D60)/(SUM(D58:D59)*29.5)),$B$51)</f>
        <v>545.1214721407605</v>
      </c>
      <c r="E51" s="211" t="n"/>
    </row>
    <row r="52">
      <c r="A52" s="162" t="inlineStr">
        <is>
          <t>T (°C)</t>
        </is>
      </c>
      <c r="B52" s="185" t="n">
        <v>30</v>
      </c>
      <c r="C52" s="211" t="n"/>
      <c r="D52" s="185">
        <f>IF(ISNUMBER(D51),D51-273.15,"-")</f>
        <v>271.9714721407605</v>
      </c>
      <c r="E52" s="211" t="n"/>
    </row>
    <row r="53">
      <c r="A53" s="162" t="inlineStr">
        <is>
          <t>P (bar abs)</t>
        </is>
      </c>
      <c r="B53" s="190" t="n">
        <v>1.01325</v>
      </c>
      <c r="C53" s="211" t="n"/>
      <c r="D53" s="190" t="n">
        <v>5.370225</v>
      </c>
      <c r="E53" s="211" t="n"/>
    </row>
    <row r="54">
      <c r="A54" s="162" t="inlineStr">
        <is>
          <t>T isentropik (K)</t>
        </is>
      </c>
      <c r="B54" s="172" t="inlineStr">
        <is>
          <t>-</t>
        </is>
      </c>
      <c r="C54" s="211" t="n"/>
      <c r="D54" s="185">
        <f>IFERROR(IF($D$54&lt;100,$B$51*($D$53/$B$53)^('Data Termo'!$D$40/29.1),$B$51*($D$53/$B$53)^('Data Termo'!$D$40/((B58*('Data Termo'!$E$17+'Data Termo'!$F$17*(($B$51+$D$54)/2)+'Data Termo'!$G$17*(($B$51+$D$54)/2)^2+'Data Termo'!$H$17*(($B$51+$D$54)/2)^3+'Data Termo'!$I$17*(($B$51+$D$54)/2)^4)+B59*('Data Termo'!$E$18+'Data Termo'!$F$18*(($B$51+$D$54)/2)+'Data Termo'!$G$18*(($B$51+$D$54)/2)^2+'Data Termo'!$H$18*(($B$51+$D$54)/2)^3+'Data Termo'!$I$18*(($B$51+$D$54)/2)^4))/(B58+B59)))),$B$51*($D$53/$B$53)^('Data Termo'!$D$40/29.1))</f>
        <v>485.4831271609324</v>
      </c>
      <c r="E54" s="211" t="n"/>
    </row>
    <row r="55">
      <c r="A55" s="162" t="inlineStr">
        <is>
          <t>Substance</t>
        </is>
      </c>
      <c r="B55" s="162" t="inlineStr">
        <is>
          <t>INLET</t>
        </is>
      </c>
      <c r="C55" s="211" t="n"/>
      <c r="D55" s="162" t="inlineStr">
        <is>
          <t>OUTLET</t>
        </is>
      </c>
      <c r="E55" s="211" t="n"/>
    </row>
    <row r="56">
      <c r="A56" s="212" t="n"/>
      <c r="B56" s="162" t="inlineStr">
        <is>
          <t>Aliran 16</t>
        </is>
      </c>
      <c r="C56" s="211" t="n"/>
      <c r="D56" s="162" t="inlineStr">
        <is>
          <t>Aliran 17</t>
        </is>
      </c>
      <c r="E56" s="211" t="n"/>
    </row>
    <row r="57">
      <c r="A57" s="213" t="n"/>
      <c r="B57" s="162" t="inlineStr">
        <is>
          <t>ṅᵢ (kmol/h)</t>
        </is>
      </c>
      <c r="C57" s="162" t="inlineStr">
        <is>
          <t>Ĥᵢ (kJ/kmol)</t>
        </is>
      </c>
      <c r="D57" s="162" t="inlineStr">
        <is>
          <t>ṅᵢ (kmol/h)</t>
        </is>
      </c>
      <c r="E57" s="162" t="inlineStr">
        <is>
          <t>Ĥᵢ (kJ/kmol)</t>
        </is>
      </c>
    </row>
    <row r="58">
      <c r="A58" s="163" t="inlineStr">
        <is>
          <t>O₂ (g)</t>
        </is>
      </c>
      <c r="B58" s="216">
        <f>M31</f>
        <v>162.59150896502743</v>
      </c>
      <c r="C58" s="217">
        <f>('Data Termo'!$E$17*($B$51-298.15)+'Data Termo'!$F$17/2*($B$51^2-298.15^2)+'Data Termo'!$G$17/3*($B$51^3-298.15^3)+'Data Termo'!$H$17/4*($B$51^4-298.15^4)+'Data Termo'!$I$17/5*($B$51^5-298.15^5))</f>
        <v>147.3914273715615</v>
      </c>
      <c r="D58" s="216">
        <f>M31</f>
        <v>162.59150896502743</v>
      </c>
      <c r="E58" s="217">
        <f>('Data Termo'!$E$17*($D$51-298.15)+'Data Termo'!$F$17/2*($D$51^2-298.15^2)+'Data Termo'!$G$17/3*($D$51^3-298.15^3)+'Data Termo'!$H$17/4*($D$51^4-298.15^4)+'Data Termo'!$I$17/5*($D$51^5-298.15^5))</f>
        <v>7510.466662907297</v>
      </c>
    </row>
    <row r="59">
      <c r="A59" s="163" t="inlineStr">
        <is>
          <t>N₂ (g)</t>
        </is>
      </c>
      <c r="B59" s="216">
        <f>M32</f>
        <v>611.6537718208176</v>
      </c>
      <c r="C59" s="217">
        <f>('Data Termo'!$E$18*($B$51-298.15)+'Data Termo'!$F$18/2*($B$51^2-298.15^2)+'Data Termo'!$G$18/3*($B$51^3-298.15^3)+'Data Termo'!$H$18/4*($B$51^4-298.15^4)+'Data Termo'!$I$18/5*($B$51^5-298.15^5))</f>
        <v>145.36791939601756</v>
      </c>
      <c r="D59" s="216">
        <f>M32</f>
        <v>611.6537718208176</v>
      </c>
      <c r="E59" s="217">
        <f>('Data Termo'!$E$18*($D$51-298.15)+'Data Termo'!$F$18/2*($D$51^2-298.15^2)+'Data Termo'!$G$18/3*($D$51^3-298.15^3)+'Data Termo'!$H$18/4*($D$51^4-298.15^4)+'Data Termo'!$I$18/5*($D$51^5-298.15^5))</f>
        <v>7248.815923293078</v>
      </c>
    </row>
    <row r="60">
      <c r="A60" s="200" t="inlineStr">
        <is>
          <t>Sub Total ṅᵢĤᵢ (kJ/h)</t>
        </is>
      </c>
      <c r="B60" s="218">
        <f>SUMPRODUCT(B58:B59,C58:C59)</f>
        <v>112879.43078517015</v>
      </c>
      <c r="C60" s="211" t="n"/>
      <c r="D60" s="218">
        <f>SUMPRODUCT(D58:D59,E58:E59)</f>
        <v>5654903.708470645</v>
      </c>
      <c r="E60" s="211" t="n"/>
    </row>
    <row r="61">
      <c r="A61" s="163" t="inlineStr">
        <is>
          <t>Heat of reaction / heat of mixing (kJ/h)</t>
        </is>
      </c>
      <c r="B61" s="219" t="inlineStr">
        <is>
          <t>-</t>
        </is>
      </c>
      <c r="C61" s="211" t="n"/>
      <c r="D61" s="220" t="inlineStr">
        <is>
          <t>-</t>
        </is>
      </c>
      <c r="E61" s="211" t="n"/>
    </row>
    <row r="62">
      <c r="A62" s="200" t="inlineStr">
        <is>
          <t>Q (kJ/h)</t>
        </is>
      </c>
      <c r="B62" s="218" t="n">
        <v>0</v>
      </c>
      <c r="C62" s="210" t="n"/>
      <c r="D62" s="210" t="n"/>
      <c r="E62" s="211" t="n"/>
    </row>
    <row r="63">
      <c r="A63" s="200" t="inlineStr">
        <is>
          <t>W (kJ/h)</t>
        </is>
      </c>
      <c r="B63" s="218">
        <f>(B58+B59)*((B58*('Data Termo'!$E$17+'Data Termo'!$F$17*(($B$51+$D$54)/2)+'Data Termo'!$G$17*(($B$51+$D$54)/2)^2+'Data Termo'!$H$17*(($B$51+$D$54)/2)^3+'Data Termo'!$I$17*(($B$51+$D$54)/2)^4)+B59*('Data Termo'!$E$18+'Data Termo'!$F$18*(($B$51+$D$54)/2)+'Data Termo'!$G$18*(($B$51+$D$54)/2)^2+'Data Termo'!$H$18*(($B$51+$D$54)/2)^3+'Data Termo'!$I$18*(($B$51+$D$54)/2)^4))/(B58+B59))*($D$54-$B$51)/$B$12</f>
        <v>5542024.277685499</v>
      </c>
      <c r="C63" s="210" t="n"/>
      <c r="D63" s="210" t="n"/>
      <c r="E63" s="211" t="n"/>
    </row>
    <row r="64">
      <c r="A64" s="200" t="inlineStr">
        <is>
          <t>TOTAL (kJ/h)</t>
        </is>
      </c>
      <c r="B64" s="218">
        <f>B60+$B$62+$B$63</f>
        <v>5654903.708470669</v>
      </c>
      <c r="C64" s="211" t="n"/>
      <c r="D64" s="218">
        <f>(D60)</f>
        <v>5654903.708470645</v>
      </c>
      <c r="E64" s="211" t="n"/>
    </row>
    <row r="65">
      <c r="A65" s="163" t="inlineStr">
        <is>
          <t>Selisih masuk − keluar (kJ/h)</t>
        </is>
      </c>
      <c r="B65" s="217">
        <f>B64-D64</f>
        <v>2.3283064365386963e-08</v>
      </c>
      <c r="C65" s="210" t="n"/>
      <c r="D65" s="210" t="n"/>
      <c r="E65" s="211" t="n"/>
    </row>
    <row r="66">
      <c r="A66" s="163" t="inlineStr">
        <is>
          <t>Q (kW)</t>
        </is>
      </c>
      <c r="B66" s="217">
        <f>$B$62/3600</f>
        <v>0.0</v>
      </c>
      <c r="C66" s="210" t="n"/>
      <c r="D66" s="210" t="n"/>
      <c r="E66" s="211" t="n"/>
    </row>
    <row r="67">
      <c r="A67" s="163" t="inlineStr">
        <is>
          <t>W (kW)</t>
        </is>
      </c>
      <c r="B67" s="217">
        <f>$B$63/3600</f>
        <v>1539.451188245972</v>
      </c>
      <c r="C67" s="210" t="n"/>
      <c r="D67" s="210" t="n"/>
      <c r="E67" s="211" t="n"/>
    </row>
    <row r="70">
      <c r="A70" s="169" t="inlineStr">
        <is>
          <t>Neraca Energi V-104: Valve HCl daur ulang</t>
        </is>
      </c>
    </row>
    <row r="71">
      <c r="A71" s="187" t="inlineStr">
        <is>
          <t>Reference state: Cl₂ fasa liquid @ 25°C, 1 bar; HCl, VCM fasa gas @ 25°C, 1 bar</t>
        </is>
      </c>
    </row>
    <row r="72">
      <c r="A72" s="162" t="inlineStr">
        <is>
          <t>No. aliran PFD</t>
        </is>
      </c>
      <c r="B72" s="162" t="n">
        <v>42</v>
      </c>
      <c r="C72" s="211" t="n"/>
      <c r="D72" s="162" t="n">
        <v>43</v>
      </c>
      <c r="E72" s="211" t="n"/>
    </row>
    <row r="73">
      <c r="A73" s="162" t="inlineStr">
        <is>
          <t>Dari</t>
        </is>
      </c>
      <c r="B73" s="172" t="inlineStr">
        <is>
          <t>KD-103</t>
        </is>
      </c>
      <c r="C73" s="211" t="n"/>
      <c r="D73" s="172" t="inlineStr">
        <is>
          <t>V-104</t>
        </is>
      </c>
      <c r="E73" s="211" t="n"/>
    </row>
    <row r="74">
      <c r="A74" s="162" t="inlineStr">
        <is>
          <t>Ke</t>
        </is>
      </c>
      <c r="B74" s="172" t="inlineStr">
        <is>
          <t>V-104</t>
        </is>
      </c>
      <c r="C74" s="211" t="n"/>
      <c r="D74" s="172" t="inlineStr">
        <is>
          <t>E-109</t>
        </is>
      </c>
      <c r="E74" s="211" t="n"/>
    </row>
    <row r="75">
      <c r="A75" s="162" t="inlineStr">
        <is>
          <t>T (K)</t>
        </is>
      </c>
      <c r="B75" s="185">
        <f>'NME-7 Kolom HCl'!$D$81</f>
        <v>244.24999999999997</v>
      </c>
      <c r="C75" s="211" t="n"/>
      <c r="D75" s="185">
        <f>'NME-7 Kolom HCl'!$D$81</f>
        <v>244.24999999999997</v>
      </c>
      <c r="E75" s="211" t="n"/>
    </row>
    <row r="76">
      <c r="A76" s="162" t="inlineStr">
        <is>
          <t>T (°C)</t>
        </is>
      </c>
      <c r="B76" s="185">
        <f>'NME-7 Kolom HCl'!$D$82</f>
        <v>-28.9</v>
      </c>
      <c r="C76" s="211" t="n"/>
      <c r="D76" s="185">
        <f>IF(ISNUMBER(D75),D75-273.15,"-")</f>
        <v>-28.900000000000006</v>
      </c>
      <c r="E76" s="211" t="n"/>
    </row>
    <row r="77">
      <c r="A77" s="162" t="inlineStr">
        <is>
          <t>P (bar abs)</t>
        </is>
      </c>
      <c r="B77" s="190">
        <f>'NME-7 Kolom HCl'!$D$83</f>
        <v>11.0</v>
      </c>
      <c r="C77" s="211" t="n"/>
      <c r="D77" s="190" t="n">
        <v>5.370225</v>
      </c>
      <c r="E77" s="211" t="n"/>
    </row>
    <row r="78">
      <c r="A78" s="162" t="inlineStr">
        <is>
          <t>Substance</t>
        </is>
      </c>
      <c r="B78" s="162" t="inlineStr">
        <is>
          <t>INLET</t>
        </is>
      </c>
      <c r="C78" s="211" t="n"/>
      <c r="D78" s="162" t="inlineStr">
        <is>
          <t>OUTLET</t>
        </is>
      </c>
      <c r="E78" s="211" t="n"/>
    </row>
    <row r="79">
      <c r="A79" s="212" t="n"/>
      <c r="B79" s="162" t="inlineStr">
        <is>
          <t>Aliran 42</t>
        </is>
      </c>
      <c r="C79" s="211" t="n"/>
      <c r="D79" s="162" t="inlineStr">
        <is>
          <t>Aliran 43</t>
        </is>
      </c>
      <c r="E79" s="211" t="n"/>
    </row>
    <row r="80">
      <c r="A80" s="213" t="n"/>
      <c r="B80" s="162" t="inlineStr">
        <is>
          <t>ṅᵢ (kmol/h)</t>
        </is>
      </c>
      <c r="C80" s="162" t="inlineStr">
        <is>
          <t>Ĥᵢ (kJ/kmol)</t>
        </is>
      </c>
      <c r="D80" s="162" t="inlineStr">
        <is>
          <t>ṅᵢ (kmol/h)</t>
        </is>
      </c>
      <c r="E80" s="162" t="inlineStr">
        <is>
          <t>Ĥᵢ (kJ/kmol)</t>
        </is>
      </c>
    </row>
    <row r="81">
      <c r="A81" s="163" t="inlineStr">
        <is>
          <t>Cl₂ (l)</t>
        </is>
      </c>
      <c r="B81" s="216">
        <f>'NME-7 Kolom HCl'!I19</f>
        <v>3.095018670362267</v>
      </c>
      <c r="C81" s="217">
        <f>('Data Termo'!$J$10*($B$75-298.15)+'Data Termo'!$K$10/2*($B$75^2-298.15^2)+'Data Termo'!$L$10/3*($B$75^3-298.15^3)+'Data Termo'!$M$10/4*($B$75^4-298.15^4))</f>
        <v>-3773.83084419834</v>
      </c>
      <c r="D81" s="216">
        <f>'NME-7 Kolom HCl'!I19</f>
        <v>3.095018670362267</v>
      </c>
      <c r="E81" s="217">
        <f>('Data Termo'!$J$10*($D$75-298.15)+'Data Termo'!$K$10/2*($D$75^2-298.15^2)+'Data Termo'!$L$10/3*($D$75^3-298.15^3)+'Data Termo'!$M$10/4*($D$75^4-298.15^4))</f>
        <v>-3773.83084419834</v>
      </c>
    </row>
    <row r="82">
      <c r="A82" s="163" t="inlineStr">
        <is>
          <t>HCl (l)</t>
        </is>
      </c>
      <c r="B82" s="216">
        <f>'NME-7 Kolom HCl'!I31</f>
        <v>406.4787724125549</v>
      </c>
      <c r="C82" s="217">
        <f>-'Data Termo'!$V$22+('Data Termo'!$J$22*($B$75-298.15)+'Data Termo'!$K$22/2*($B$75^2-298.15^2)+'Data Termo'!$L$22/3*($B$75^3-298.15^3)+'Data Termo'!$M$22/4*($B$75^4-298.15^4))</f>
        <v>-10686.04400212947</v>
      </c>
      <c r="D82" s="216">
        <f>'NME-7 Kolom HCl'!I31</f>
        <v>406.4787724125549</v>
      </c>
      <c r="E82" s="217">
        <f>-'Data Termo'!$V$22+('Data Termo'!$J$22*($D$75-298.15)+'Data Termo'!$K$22/2*($D$75^2-298.15^2)+'Data Termo'!$L$22/3*($D$75^3-298.15^3)+'Data Termo'!$M$22/4*($D$75^4-298.15^4))</f>
        <v>-10686.04400212947</v>
      </c>
    </row>
    <row r="83">
      <c r="A83" s="163" t="inlineStr">
        <is>
          <t>VCM (l)</t>
        </is>
      </c>
      <c r="B83" s="216">
        <f>'NME-7 Kolom HCl'!I34</f>
        <v>0.0409614752558173</v>
      </c>
      <c r="C83" s="217">
        <f>-'Data Termo'!$V$25+('Data Termo'!$J$25*($B$75-298.15)+'Data Termo'!$K$25/2*($B$75^2-298.15^2)+'Data Termo'!$L$25/3*($B$75^3-298.15^3)+'Data Termo'!$M$25/4*($B$75^4-298.15^4))</f>
        <v>-24621.9494157625</v>
      </c>
      <c r="D83" s="216">
        <f>'NME-7 Kolom HCl'!I34</f>
        <v>0.0409614752558173</v>
      </c>
      <c r="E83" s="217">
        <f>-'Data Termo'!$V$25+('Data Termo'!$J$25*($D$75-298.15)+'Data Termo'!$K$25/2*($D$75^2-298.15^2)+'Data Termo'!$L$25/3*($D$75^3-298.15^3)+'Data Termo'!$M$25/4*($D$75^4-298.15^4))</f>
        <v>-24621.9494157625</v>
      </c>
    </row>
    <row r="84">
      <c r="A84" s="200" t="inlineStr">
        <is>
          <t>Sub Total ṅᵢĤᵢ (kJ/h)</t>
        </is>
      </c>
      <c r="B84" s="218">
        <f>SUMPRODUCT(B81:B83,C81:C83)</f>
        <v>-4356338.67622546</v>
      </c>
      <c r="C84" s="211" t="n"/>
      <c r="D84" s="218">
        <f>SUMPRODUCT(D81:D83,E81:E83)</f>
        <v>-4356338.67622546</v>
      </c>
      <c r="E84" s="211" t="n"/>
    </row>
    <row r="85">
      <c r="A85" s="163" t="inlineStr">
        <is>
          <t>Heat of reaction / heat of mixing (kJ/h)</t>
        </is>
      </c>
      <c r="B85" s="219" t="inlineStr">
        <is>
          <t>-</t>
        </is>
      </c>
      <c r="C85" s="211" t="n"/>
      <c r="D85" s="220" t="inlineStr">
        <is>
          <t>-</t>
        </is>
      </c>
      <c r="E85" s="211" t="n"/>
    </row>
    <row r="86">
      <c r="A86" s="200" t="inlineStr">
        <is>
          <t>Q (kJ/h)</t>
        </is>
      </c>
      <c r="B86" s="218" t="n">
        <v>0</v>
      </c>
      <c r="C86" s="210" t="n"/>
      <c r="D86" s="210" t="n"/>
      <c r="E86" s="211" t="n"/>
    </row>
    <row r="87">
      <c r="A87" s="200" t="inlineStr">
        <is>
          <t>W (kJ/h)</t>
        </is>
      </c>
      <c r="B87" s="218" t="n">
        <v>0</v>
      </c>
      <c r="C87" s="210" t="n"/>
      <c r="D87" s="210" t="n"/>
      <c r="E87" s="211" t="n"/>
    </row>
    <row r="88">
      <c r="A88" s="200" t="inlineStr">
        <is>
          <t>TOTAL (kJ/h)</t>
        </is>
      </c>
      <c r="B88" s="218">
        <f>B84+$B$86+$B$87</f>
        <v>-4356338.67622546</v>
      </c>
      <c r="C88" s="211" t="n"/>
      <c r="D88" s="218">
        <f>(D84)</f>
        <v>-4356338.67622546</v>
      </c>
      <c r="E88" s="211" t="n"/>
    </row>
    <row r="89">
      <c r="A89" s="163" t="inlineStr">
        <is>
          <t>Selisih masuk − keluar (kJ/h)</t>
        </is>
      </c>
      <c r="B89" s="217">
        <f>B88-D88</f>
        <v>0.0</v>
      </c>
      <c r="C89" s="210" t="n"/>
      <c r="D89" s="210" t="n"/>
      <c r="E89" s="211" t="n"/>
    </row>
    <row r="90">
      <c r="A90" s="163" t="inlineStr">
        <is>
          <t>Q (kW)</t>
        </is>
      </c>
      <c r="B90" s="217">
        <f>$B$86/3600</f>
        <v>0.0</v>
      </c>
      <c r="C90" s="210" t="n"/>
      <c r="D90" s="210" t="n"/>
      <c r="E90" s="211" t="n"/>
    </row>
    <row r="91">
      <c r="A91" s="163" t="inlineStr">
        <is>
          <t>W (kW)</t>
        </is>
      </c>
      <c r="B91" s="217">
        <f>$B$87/3600</f>
        <v>0.0</v>
      </c>
      <c r="C91" s="210" t="n"/>
      <c r="D91" s="210" t="n"/>
      <c r="E91" s="211" t="n"/>
    </row>
    <row r="94">
      <c r="A94" s="169" t="inlineStr">
        <is>
          <t>Neraca Energi E-109: Vaporizer HCl</t>
        </is>
      </c>
    </row>
    <row r="95">
      <c r="A95" s="187" t="inlineStr">
        <is>
          <t>Reference state: Cl₂ fasa liquid @ 25°C, 1 bar; HCl, VCM fasa gas @ 25°C, 1 bar</t>
        </is>
      </c>
    </row>
    <row r="96">
      <c r="A96" s="162" t="inlineStr">
        <is>
          <t>No. aliran PFD</t>
        </is>
      </c>
      <c r="B96" s="162" t="n">
        <v>43</v>
      </c>
      <c r="C96" s="211" t="n"/>
      <c r="D96" s="162" t="n">
        <v>44</v>
      </c>
      <c r="E96" s="211" t="n"/>
    </row>
    <row r="97">
      <c r="A97" s="162" t="inlineStr">
        <is>
          <t>Dari</t>
        </is>
      </c>
      <c r="B97" s="172" t="inlineStr">
        <is>
          <t>V-104</t>
        </is>
      </c>
      <c r="C97" s="211" t="n"/>
      <c r="D97" s="172" t="inlineStr">
        <is>
          <t>E-109</t>
        </is>
      </c>
      <c r="E97" s="211" t="n"/>
    </row>
    <row r="98">
      <c r="A98" s="162" t="inlineStr">
        <is>
          <t>Ke</t>
        </is>
      </c>
      <c r="B98" s="172" t="inlineStr">
        <is>
          <t>E-109</t>
        </is>
      </c>
      <c r="C98" s="211" t="n"/>
      <c r="D98" s="172" t="inlineStr">
        <is>
          <t>R-02</t>
        </is>
      </c>
      <c r="E98" s="211" t="n"/>
    </row>
    <row r="99">
      <c r="A99" s="162" t="inlineStr">
        <is>
          <t>T (K)</t>
        </is>
      </c>
      <c r="B99" s="185">
        <f>$D$75</f>
        <v>244.24999999999997</v>
      </c>
      <c r="C99" s="211" t="n"/>
      <c r="D99" s="185">
        <f>1/(1/'Data Termo'!$D$38-'Data Termo'!$D$40*LN(D101/1.01325)/('Data Termo'!$Q$22*1000*MAX(0,1-'Data Termo'!$D$38/'Data Termo'!$R$22)^'Data Termo'!$S$22))+$B$13</f>
        <v>232.25673543807167</v>
      </c>
      <c r="E99" s="211" t="n"/>
    </row>
    <row r="100">
      <c r="A100" s="162" t="inlineStr">
        <is>
          <t>T (°C)</t>
        </is>
      </c>
      <c r="B100" s="185">
        <f>$D$76</f>
        <v>-28.900000000000006</v>
      </c>
      <c r="C100" s="211" t="n"/>
      <c r="D100" s="185">
        <f>IF(ISNUMBER(D99),D99-273.15,"-")</f>
        <v>-40.893264561928305</v>
      </c>
      <c r="E100" s="211" t="n"/>
    </row>
    <row r="101">
      <c r="A101" s="162" t="inlineStr">
        <is>
          <t>P (bar abs)</t>
        </is>
      </c>
      <c r="B101" s="190">
        <f>$D$77</f>
        <v>5.370225</v>
      </c>
      <c r="C101" s="211" t="n"/>
      <c r="D101" s="190" t="n">
        <v>5.370225</v>
      </c>
      <c r="E101" s="211" t="n"/>
    </row>
    <row r="102">
      <c r="A102" s="162" t="inlineStr">
        <is>
          <t>Substance</t>
        </is>
      </c>
      <c r="B102" s="162" t="inlineStr">
        <is>
          <t>INLET</t>
        </is>
      </c>
      <c r="C102" s="211" t="n"/>
      <c r="D102" s="162" t="inlineStr">
        <is>
          <t>OUTLET</t>
        </is>
      </c>
      <c r="E102" s="211" t="n"/>
    </row>
    <row r="103">
      <c r="A103" s="212" t="n"/>
      <c r="B103" s="162" t="inlineStr">
        <is>
          <t>Aliran 43</t>
        </is>
      </c>
      <c r="C103" s="211" t="n"/>
      <c r="D103" s="162" t="inlineStr">
        <is>
          <t>Aliran 44</t>
        </is>
      </c>
      <c r="E103" s="211" t="n"/>
    </row>
    <row r="104">
      <c r="A104" s="213" t="n"/>
      <c r="B104" s="162" t="inlineStr">
        <is>
          <t>ṅᵢ (kmol/h)</t>
        </is>
      </c>
      <c r="C104" s="162" t="inlineStr">
        <is>
          <t>Ĥᵢ (kJ/kmol)</t>
        </is>
      </c>
      <c r="D104" s="162" t="inlineStr">
        <is>
          <t>ṅᵢ (kmol/h)</t>
        </is>
      </c>
      <c r="E104" s="162" t="inlineStr">
        <is>
          <t>Ĥᵢ (kJ/kmol)</t>
        </is>
      </c>
    </row>
    <row r="105">
      <c r="A105" s="163" t="inlineStr">
        <is>
          <t>Cl₂ (l)</t>
        </is>
      </c>
      <c r="B105" s="216">
        <f>'NME-7 Kolom HCl'!I19</f>
        <v>3.095018670362267</v>
      </c>
      <c r="C105" s="217">
        <f>('Data Termo'!$J$10*($B$99-298.15)+'Data Termo'!$K$10/2*($B$99^2-298.15^2)+'Data Termo'!$L$10/3*($B$99^3-298.15^3)+'Data Termo'!$M$10/4*($B$99^4-298.15^4))</f>
        <v>-3773.83084419834</v>
      </c>
      <c r="D105" s="172" t="inlineStr">
        <is>
          <t>-</t>
        </is>
      </c>
      <c r="E105" s="172" t="inlineStr">
        <is>
          <t>-</t>
        </is>
      </c>
    </row>
    <row r="106">
      <c r="A106" s="163" t="inlineStr">
        <is>
          <t>Cl₂ (g)</t>
        </is>
      </c>
      <c r="B106" s="172" t="inlineStr">
        <is>
          <t>-</t>
        </is>
      </c>
      <c r="C106" s="172" t="inlineStr">
        <is>
          <t>-</t>
        </is>
      </c>
      <c r="D106" s="216">
        <f>I24</f>
        <v>3.095018670362267</v>
      </c>
      <c r="E106" s="217">
        <f>'Data Termo'!$V$10+('Data Termo'!$E$10*($D$99-298.15)+'Data Termo'!$F$10/2*($D$99^2-298.15^2)+'Data Termo'!$G$10/3*($D$99^3-298.15^3)+'Data Termo'!$H$10/4*($D$99^4-298.15^4)+'Data Termo'!$I$10/5*($D$99^5-298.15^5))</f>
        <v>15082.419882978458</v>
      </c>
    </row>
    <row r="107">
      <c r="A107" s="163" t="inlineStr">
        <is>
          <t>HCl (l)</t>
        </is>
      </c>
      <c r="B107" s="216">
        <f>'NME-7 Kolom HCl'!I31</f>
        <v>406.4787724125549</v>
      </c>
      <c r="C107" s="217">
        <f>-'Data Termo'!$V$22+('Data Termo'!$J$22*($B$99-298.15)+'Data Termo'!$K$22/2*($B$99^2-298.15^2)+'Data Termo'!$L$22/3*($B$99^3-298.15^3)+'Data Termo'!$M$22/4*($B$99^4-298.15^4))</f>
        <v>-10686.04400212947</v>
      </c>
      <c r="D107" s="172" t="inlineStr">
        <is>
          <t>-</t>
        </is>
      </c>
      <c r="E107" s="172" t="inlineStr">
        <is>
          <t>-</t>
        </is>
      </c>
    </row>
    <row r="108">
      <c r="A108" s="163" t="inlineStr">
        <is>
          <t>HCl (g)</t>
        </is>
      </c>
      <c r="B108" s="172" t="inlineStr">
        <is>
          <t>-</t>
        </is>
      </c>
      <c r="C108" s="172" t="inlineStr">
        <is>
          <t>-</t>
        </is>
      </c>
      <c r="D108" s="216">
        <f>I36</f>
        <v>406.4787724125601</v>
      </c>
      <c r="E108" s="217">
        <f>('Data Termo'!$E$22*($D$99-298.15)+'Data Termo'!$F$22/2*($D$99^2-298.15^2)+'Data Termo'!$G$22/3*($D$99^3-298.15^3)+'Data Termo'!$H$22/4*($D$99^4-298.15^4)+'Data Termo'!$I$22/5*($D$99^5-298.15^5))</f>
        <v>-1915.5206704797167</v>
      </c>
    </row>
    <row r="109">
      <c r="A109" s="163" t="inlineStr">
        <is>
          <t>VCM (l)</t>
        </is>
      </c>
      <c r="B109" s="216">
        <f>'NME-7 Kolom HCl'!I34</f>
        <v>0.0409614752558173</v>
      </c>
      <c r="C109" s="217">
        <f>-'Data Termo'!$V$25+('Data Termo'!$J$25*($B$99-298.15)+'Data Termo'!$K$25/2*($B$99^2-298.15^2)+'Data Termo'!$L$25/3*($B$99^3-298.15^3)+'Data Termo'!$M$25/4*($B$99^4-298.15^4))</f>
        <v>-24621.9494157625</v>
      </c>
      <c r="D109" s="172" t="inlineStr">
        <is>
          <t>-</t>
        </is>
      </c>
      <c r="E109" s="172" t="inlineStr">
        <is>
          <t>-</t>
        </is>
      </c>
    </row>
    <row r="110">
      <c r="A110" s="163" t="inlineStr">
        <is>
          <t>VCM (g)</t>
        </is>
      </c>
      <c r="B110" s="172" t="inlineStr">
        <is>
          <t>-</t>
        </is>
      </c>
      <c r="C110" s="172" t="inlineStr">
        <is>
          <t>-</t>
        </is>
      </c>
      <c r="D110" s="216">
        <f>I39</f>
        <v>0.0409614752558173</v>
      </c>
      <c r="E110" s="217">
        <f>('Data Termo'!$E$25*($D$99-298.15)+'Data Termo'!$F$25/2*($D$99^2-298.15^2)+'Data Termo'!$G$25/3*($D$99^3-298.15^3)+'Data Termo'!$H$25/4*($D$99^4-298.15^4)+'Data Termo'!$I$25/5*($D$99^5-298.15^5))</f>
        <v>-3376.7777271032583</v>
      </c>
    </row>
    <row r="111">
      <c r="A111" s="200" t="inlineStr">
        <is>
          <t>Sub Total ṅᵢĤᵢ (kJ/h)</t>
        </is>
      </c>
      <c r="B111" s="218">
        <f>SUMPRODUCT(B105:B110,C105:C110)</f>
        <v>-4356338.67622546</v>
      </c>
      <c r="C111" s="211" t="n"/>
      <c r="D111" s="218">
        <f>SUMPRODUCT(D105:D110,E105:E110)</f>
        <v>-732076.4373327309</v>
      </c>
      <c r="E111" s="211" t="n"/>
    </row>
    <row r="112">
      <c r="A112" s="163" t="inlineStr">
        <is>
          <t>Heat of reaction / heat of mixing (kJ/h)</t>
        </is>
      </c>
      <c r="B112" s="219" t="inlineStr">
        <is>
          <t>-</t>
        </is>
      </c>
      <c r="C112" s="211" t="n"/>
      <c r="D112" s="220" t="inlineStr">
        <is>
          <t>-</t>
        </is>
      </c>
      <c r="E112" s="211" t="n"/>
    </row>
    <row r="113">
      <c r="A113" s="200" t="inlineStr">
        <is>
          <t>Q (kJ/h)</t>
        </is>
      </c>
      <c r="B113" s="218">
        <f>(D111)-(B111)</f>
        <v>3624262.2388927294</v>
      </c>
      <c r="C113" s="210" t="n"/>
      <c r="D113" s="210" t="n"/>
      <c r="E113" s="211" t="n"/>
    </row>
    <row r="114">
      <c r="A114" s="200" t="inlineStr">
        <is>
          <t>W (kJ/h)</t>
        </is>
      </c>
      <c r="B114" s="218" t="n">
        <v>0</v>
      </c>
      <c r="C114" s="210" t="n"/>
      <c r="D114" s="210" t="n"/>
      <c r="E114" s="211" t="n"/>
    </row>
    <row r="115">
      <c r="A115" s="200" t="inlineStr">
        <is>
          <t>TOTAL (kJ/h)</t>
        </is>
      </c>
      <c r="B115" s="218">
        <f>B111+$B$113+$B$114</f>
        <v>-732076.4373327307</v>
      </c>
      <c r="C115" s="211" t="n"/>
      <c r="D115" s="218">
        <f>(D111)</f>
        <v>-732076.4373327309</v>
      </c>
      <c r="E115" s="211" t="n"/>
    </row>
    <row r="116">
      <c r="A116" s="163" t="inlineStr">
        <is>
          <t>Selisih masuk − keluar (kJ/h)</t>
        </is>
      </c>
      <c r="B116" s="217">
        <f>B115-D115</f>
        <v>1.1641532182693481e-10</v>
      </c>
      <c r="C116" s="210" t="n"/>
      <c r="D116" s="210" t="n"/>
      <c r="E116" s="211" t="n"/>
    </row>
    <row r="117">
      <c r="A117" s="163" t="inlineStr">
        <is>
          <t>Q (kW)</t>
        </is>
      </c>
      <c r="B117" s="217">
        <f>$B$113/3600</f>
        <v>1006.739510803536</v>
      </c>
      <c r="C117" s="210" t="n"/>
      <c r="D117" s="210" t="n"/>
      <c r="E117" s="211" t="n"/>
    </row>
    <row r="118">
      <c r="A118" s="163" t="inlineStr">
        <is>
          <t>W (kW)</t>
        </is>
      </c>
      <c r="B118" s="217">
        <f>$B$114/3600</f>
        <v>0.0</v>
      </c>
      <c r="C118" s="210" t="n"/>
      <c r="D118" s="210" t="n"/>
      <c r="E118" s="211" t="n"/>
    </row>
    <row r="121">
      <c r="A121" s="169" t="inlineStr">
        <is>
          <t>Neraca Energi R-02: Reaktor oksiklorinasi</t>
        </is>
      </c>
    </row>
    <row r="122">
      <c r="A122" s="187" t="inlineStr">
        <is>
          <t>Reference state: Cl₂, H₂O, EDC fasa liquid @ 25°C, 1 bar; C₂H₄, CH₄, C₂H₆, C₂H₂, O₂, N₂, CO₂, HCl, C₂H₅Cl, VCM fasa gas @ 25°C, 1 bar</t>
        </is>
      </c>
    </row>
    <row r="123">
      <c r="A123" s="162" t="inlineStr">
        <is>
          <t>No. aliran PFD</t>
        </is>
      </c>
      <c r="B123" s="162" t="n">
        <v>9</v>
      </c>
      <c r="C123" s="211" t="n"/>
      <c r="D123" s="162" t="n">
        <v>17</v>
      </c>
      <c r="E123" s="211" t="n"/>
      <c r="F123" s="162" t="n">
        <v>44</v>
      </c>
      <c r="G123" s="211" t="n"/>
      <c r="H123" s="162" t="n">
        <v>18</v>
      </c>
      <c r="I123" s="211" t="n"/>
    </row>
    <row r="124">
      <c r="A124" s="162" t="inlineStr">
        <is>
          <t>Dari</t>
        </is>
      </c>
      <c r="B124" s="172" t="inlineStr">
        <is>
          <t>E-102</t>
        </is>
      </c>
      <c r="C124" s="211" t="n"/>
      <c r="D124" s="172" t="inlineStr">
        <is>
          <t>K-101</t>
        </is>
      </c>
      <c r="E124" s="211" t="n"/>
      <c r="F124" s="172" t="inlineStr">
        <is>
          <t>E-109</t>
        </is>
      </c>
      <c r="G124" s="211" t="n"/>
      <c r="H124" s="172" t="inlineStr">
        <is>
          <t>R-02</t>
        </is>
      </c>
      <c r="I124" s="211" t="n"/>
    </row>
    <row r="125">
      <c r="A125" s="162" t="inlineStr">
        <is>
          <t>Ke</t>
        </is>
      </c>
      <c r="B125" s="172" t="inlineStr">
        <is>
          <t>R-02</t>
        </is>
      </c>
      <c r="C125" s="211" t="n"/>
      <c r="D125" s="172" t="inlineStr">
        <is>
          <t>R-02</t>
        </is>
      </c>
      <c r="E125" s="211" t="n"/>
      <c r="F125" s="172" t="inlineStr">
        <is>
          <t>R-02</t>
        </is>
      </c>
      <c r="G125" s="211" t="n"/>
      <c r="H125" s="172" t="inlineStr">
        <is>
          <t>Q-201</t>
        </is>
      </c>
      <c r="I125" s="211" t="n"/>
    </row>
    <row r="126">
      <c r="A126" s="162" t="inlineStr">
        <is>
          <t>T (K)</t>
        </is>
      </c>
      <c r="B126" s="185">
        <f>'NME-1 Klorinasi Langsung'!$F$170</f>
        <v>303.15</v>
      </c>
      <c r="C126" s="211" t="n"/>
      <c r="D126" s="185">
        <f>$D$51</f>
        <v>545.1214721407605</v>
      </c>
      <c r="E126" s="211" t="n"/>
      <c r="F126" s="185">
        <f>$D$99</f>
        <v>232.25673543807167</v>
      </c>
      <c r="G126" s="211" t="n"/>
      <c r="H126" s="185">
        <f>H127+273.15</f>
        <v>498.15</v>
      </c>
      <c r="I126" s="211" t="n"/>
    </row>
    <row r="127">
      <c r="A127" s="162" t="inlineStr">
        <is>
          <t>T (°C)</t>
        </is>
      </c>
      <c r="B127" s="185">
        <f>'NME-1 Klorinasi Langsung'!$F$171</f>
        <v>30.0</v>
      </c>
      <c r="C127" s="211" t="n"/>
      <c r="D127" s="185">
        <f>$D$52</f>
        <v>271.9714721407605</v>
      </c>
      <c r="E127" s="211" t="n"/>
      <c r="F127" s="185">
        <f>$D$100</f>
        <v>-40.893264561928305</v>
      </c>
      <c r="G127" s="211" t="n"/>
      <c r="H127" s="185" t="n">
        <v>225</v>
      </c>
      <c r="I127" s="211" t="n"/>
    </row>
    <row r="128">
      <c r="A128" s="162" t="inlineStr">
        <is>
          <t>P (bar abs)</t>
        </is>
      </c>
      <c r="B128" s="190">
        <f>'NME-1 Klorinasi Langsung'!$F$172</f>
        <v>5.370225</v>
      </c>
      <c r="C128" s="211" t="n"/>
      <c r="D128" s="190">
        <f>$D$53</f>
        <v>5.370225</v>
      </c>
      <c r="E128" s="211" t="n"/>
      <c r="F128" s="190">
        <f>$D$101</f>
        <v>5.370225</v>
      </c>
      <c r="G128" s="211" t="n"/>
      <c r="H128" s="190" t="n">
        <v>5.370225</v>
      </c>
      <c r="I128" s="211" t="n"/>
    </row>
    <row r="129">
      <c r="A129" s="162" t="inlineStr">
        <is>
          <t>Substance</t>
        </is>
      </c>
      <c r="B129" s="162" t="inlineStr">
        <is>
          <t>INLET</t>
        </is>
      </c>
      <c r="C129" s="210" t="n"/>
      <c r="D129" s="210" t="n"/>
      <c r="E129" s="210" t="n"/>
      <c r="F129" s="210" t="n"/>
      <c r="G129" s="211" t="n"/>
      <c r="H129" s="162" t="inlineStr">
        <is>
          <t>OUTLET</t>
        </is>
      </c>
      <c r="I129" s="211" t="n"/>
    </row>
    <row r="130">
      <c r="A130" s="212" t="n"/>
      <c r="B130" s="162" t="inlineStr">
        <is>
          <t>Aliran 9</t>
        </is>
      </c>
      <c r="C130" s="211" t="n"/>
      <c r="D130" s="162" t="inlineStr">
        <is>
          <t>Aliran 17</t>
        </is>
      </c>
      <c r="E130" s="211" t="n"/>
      <c r="F130" s="162" t="inlineStr">
        <is>
          <t>Aliran 44</t>
        </is>
      </c>
      <c r="G130" s="211" t="n"/>
      <c r="H130" s="162" t="inlineStr">
        <is>
          <t>Aliran 18</t>
        </is>
      </c>
      <c r="I130" s="211" t="n"/>
    </row>
    <row r="131">
      <c r="A131" s="213" t="n"/>
      <c r="B131" s="162" t="inlineStr">
        <is>
          <t>ṅᵢ (kmol/h)</t>
        </is>
      </c>
      <c r="C131" s="162" t="inlineStr">
        <is>
          <t>Ĥᵢ (kJ/kmol)</t>
        </is>
      </c>
      <c r="D131" s="162" t="inlineStr">
        <is>
          <t>ṅᵢ (kmol/h)</t>
        </is>
      </c>
      <c r="E131" s="162" t="inlineStr">
        <is>
          <t>Ĥᵢ (kJ/kmol)</t>
        </is>
      </c>
      <c r="F131" s="162" t="inlineStr">
        <is>
          <t>ṅᵢ (kmol/h)</t>
        </is>
      </c>
      <c r="G131" s="162" t="inlineStr">
        <is>
          <t>Ĥᵢ (kJ/kmol)</t>
        </is>
      </c>
      <c r="H131" s="162" t="inlineStr">
        <is>
          <t>ṅᵢ (kmol/h)</t>
        </is>
      </c>
      <c r="I131" s="162" t="inlineStr">
        <is>
          <t>Ĥᵢ (kJ/kmol)</t>
        </is>
      </c>
    </row>
    <row r="132">
      <c r="A132" s="163" t="inlineStr">
        <is>
          <t>C₂H₄ (g)</t>
        </is>
      </c>
      <c r="B132" s="216">
        <f>E20</f>
        <v>203.23938620628428</v>
      </c>
      <c r="C132" s="217">
        <f>('Data Termo'!$E$6*($B$126-298.15)+'Data Termo'!$F$6/2*($B$126^2-298.15^2)+'Data Termo'!$G$6/3*($B$126^3-298.15^3)+'Data Termo'!$H$6/4*($B$126^4-298.15^4)+'Data Termo'!$I$6/5*($B$126^5-298.15^5))</f>
        <v>220.58368938839305</v>
      </c>
      <c r="D132" s="216">
        <f>M20</f>
        <v>0.0</v>
      </c>
      <c r="E132" s="217">
        <f>('Data Termo'!$E$6*($D$126-298.15)+'Data Termo'!$F$6/2*($D$126^2-298.15^2)+'Data Termo'!$G$6/3*($D$126^3-298.15^3)+'Data Termo'!$H$6/4*($D$126^4-298.15^4)+'Data Termo'!$I$6/5*($D$126^5-298.15^5))</f>
        <v>13415.532570828807</v>
      </c>
      <c r="F132" s="216">
        <f>I20</f>
        <v>0.0</v>
      </c>
      <c r="G132" s="217">
        <f>('Data Termo'!$E$6*($F$126-298.15)+'Data Termo'!$F$6/2*($F$126^2-298.15^2)+'Data Termo'!$G$6/3*($F$126^3-298.15^3)+'Data Termo'!$H$6/4*($F$126^4-298.15^4)+'Data Termo'!$I$6/5*($F$126^5-298.15^5))</f>
        <v>-2735.260042251456</v>
      </c>
      <c r="H132" s="216">
        <f>Q20</f>
        <v>1.0161969310314223</v>
      </c>
      <c r="I132" s="217">
        <f>('Data Termo'!$E$6*($H$126-298.15)+'Data Termo'!$F$6/2*($H$126^2-298.15^2)+'Data Termo'!$G$6/3*($H$126^3-298.15^3)+'Data Termo'!$H$6/4*($H$126^4-298.15^4)+'Data Termo'!$I$6/5*($H$126^5-298.15^5))</f>
        <v>10452.708754411366</v>
      </c>
    </row>
    <row r="133">
      <c r="A133" s="163" t="inlineStr">
        <is>
          <t>CH₄ (g)</t>
        </is>
      </c>
      <c r="B133" s="216">
        <f>E21</f>
        <v>0.08228861356962411</v>
      </c>
      <c r="C133" s="217">
        <f>('Data Termo'!$E$7*($B$126-298.15)+'Data Termo'!$F$7/2*($B$126^2-298.15^2)+'Data Termo'!$G$7/3*($B$126^3-298.15^3)+'Data Termo'!$H$7/4*($B$126^4-298.15^4)+'Data Termo'!$I$7/5*($B$126^5-298.15^5))</f>
        <v>182.1606378301505</v>
      </c>
      <c r="D133" s="216">
        <f>M21</f>
        <v>0.0</v>
      </c>
      <c r="E133" s="217">
        <f>('Data Termo'!$E$7*($D$126-298.15)+'Data Termo'!$F$7/2*($D$126^2-298.15^2)+'Data Termo'!$G$7/3*($D$126^3-298.15^3)+'Data Termo'!$H$7/4*($D$126^4-298.15^4)+'Data Termo'!$I$7/5*($D$126^5-298.15^5))</f>
        <v>10416.67959828878</v>
      </c>
      <c r="F133" s="216">
        <f>I21</f>
        <v>0.0</v>
      </c>
      <c r="G133" s="217">
        <f>('Data Termo'!$E$7*($F$126-298.15)+'Data Termo'!$F$7/2*($F$126^2-298.15^2)+'Data Termo'!$G$7/3*($F$126^3-298.15^3)+'Data Termo'!$H$7/4*($F$126^4-298.15^4)+'Data Termo'!$I$7/5*($F$126^5-298.15^5))</f>
        <v>-2320.0628532135847</v>
      </c>
      <c r="H133" s="216">
        <f>Q21</f>
        <v>0.08228861356962411</v>
      </c>
      <c r="I133" s="217">
        <f>('Data Termo'!$E$7*($H$126-298.15)+'Data Termo'!$F$7/2*($H$126^2-298.15^2)+'Data Termo'!$G$7/3*($H$126^3-298.15^3)+'Data Termo'!$H$7/4*($H$126^4-298.15^4)+'Data Termo'!$I$7/5*($H$126^5-298.15^5))</f>
        <v>8185.870207660111</v>
      </c>
    </row>
    <row r="134">
      <c r="A134" s="163" t="inlineStr">
        <is>
          <t>C₂H₆ (g)</t>
        </is>
      </c>
      <c r="B134" s="216">
        <f>E22</f>
        <v>0.00239582171861632</v>
      </c>
      <c r="C134" s="217">
        <f>('Data Termo'!$E$8*($B$126-298.15)+'Data Termo'!$F$8/2*($B$126^2-298.15^2)+'Data Termo'!$G$8/3*($B$126^3-298.15^3)+'Data Termo'!$H$8/4*($B$126^4-298.15^4)+'Data Termo'!$I$8/5*($B$126^5-298.15^5))</f>
        <v>267.9199454406656</v>
      </c>
      <c r="D134" s="216">
        <f>M22</f>
        <v>0.0</v>
      </c>
      <c r="E134" s="217">
        <f>('Data Termo'!$E$8*($D$126-298.15)+'Data Termo'!$F$8/2*($D$126^2-298.15^2)+'Data Termo'!$G$8/3*($D$126^3-298.15^3)+'Data Termo'!$H$8/4*($D$126^4-298.15^4)+'Data Termo'!$I$8/5*($D$126^5-298.15^5))</f>
        <v>16684.658880949504</v>
      </c>
      <c r="F134" s="216">
        <f>I22</f>
        <v>0.0</v>
      </c>
      <c r="G134" s="217">
        <f>('Data Termo'!$E$8*($F$126-298.15)+'Data Termo'!$F$8/2*($F$126^2-298.15^2)+'Data Termo'!$G$8/3*($F$126^3-298.15^3)+'Data Termo'!$H$8/4*($F$126^4-298.15^4)+'Data Termo'!$I$8/5*($F$126^5-298.15^5))</f>
        <v>-3276.210314143403</v>
      </c>
      <c r="H134" s="216">
        <f>Q22</f>
        <v>0.00239582171861632</v>
      </c>
      <c r="I134" s="217">
        <f>('Data Termo'!$E$8*($H$126-298.15)+'Data Termo'!$F$8/2*($H$126^2-298.15^2)+'Data Termo'!$G$8/3*($H$126^3-298.15^3)+'Data Termo'!$H$8/4*($H$126^4-298.15^4)+'Data Termo'!$I$8/5*($H$126^5-298.15^5))</f>
        <v>12963.418241844996</v>
      </c>
    </row>
    <row r="135">
      <c r="A135" s="163" t="inlineStr">
        <is>
          <t>C₂H₂ (g)</t>
        </is>
      </c>
      <c r="B135" s="216">
        <f>E23</f>
        <v>0.0010597077334245327</v>
      </c>
      <c r="C135" s="217">
        <f>('Data Termo'!$E$9*($B$126-298.15)+'Data Termo'!$F$9/2*($B$126^2-298.15^2)+'Data Termo'!$G$9/3*($B$126^3-298.15^3)+'Data Termo'!$H$9/4*($B$126^4-298.15^4)+'Data Termo'!$I$9/5*($B$126^5-298.15^5))</f>
        <v>223.18996568090688</v>
      </c>
      <c r="D135" s="216">
        <f>M23</f>
        <v>0.0</v>
      </c>
      <c r="E135" s="217">
        <f>('Data Termo'!$E$9*($D$126-298.15)+'Data Termo'!$F$9/2*($D$126^2-298.15^2)+'Data Termo'!$G$9/3*($D$126^3-298.15^3)+'Data Termo'!$H$9/4*($D$126^4-298.15^4)+'Data Termo'!$I$9/5*($D$126^5-298.15^5))</f>
        <v>12490.84656189375</v>
      </c>
      <c r="F135" s="216">
        <f>I23</f>
        <v>0.0</v>
      </c>
      <c r="G135" s="217">
        <f>('Data Termo'!$E$9*($F$126-298.15)+'Data Termo'!$F$9/2*($F$126^2-298.15^2)+'Data Termo'!$G$9/3*($F$126^3-298.15^3)+'Data Termo'!$H$9/4*($F$126^4-298.15^4)+'Data Termo'!$I$9/5*($F$126^5-298.15^5))</f>
        <v>-2796.980074526644</v>
      </c>
      <c r="H135" s="216">
        <f>Q23</f>
        <v>0.0010597077334245327</v>
      </c>
      <c r="I135" s="217">
        <f>('Data Termo'!$E$9*($H$126-298.15)+'Data Termo'!$F$9/2*($H$126^2-298.15^2)+'Data Termo'!$G$9/3*($H$126^3-298.15^3)+'Data Termo'!$H$9/4*($H$126^4-298.15^4)+'Data Termo'!$I$9/5*($H$126^5-298.15^5))</f>
        <v>9916.153141147293</v>
      </c>
    </row>
    <row r="136">
      <c r="A136" s="163" t="inlineStr">
        <is>
          <t>Cl₂ (g)</t>
        </is>
      </c>
      <c r="B136" s="216">
        <f>E24</f>
        <v>0.0</v>
      </c>
      <c r="C136" s="217">
        <f>'Data Termo'!$V$10+('Data Termo'!$E$10*($B$126-298.15)+'Data Termo'!$F$10/2*($B$126^2-298.15^2)+'Data Termo'!$G$10/3*($B$126^3-298.15^3)+'Data Termo'!$H$10/4*($B$126^4-298.15^4)+'Data Termo'!$I$10/5*($B$126^5-298.15^5))</f>
        <v>17439.701955832425</v>
      </c>
      <c r="D136" s="216">
        <f>M24</f>
        <v>0.0</v>
      </c>
      <c r="E136" s="217">
        <f>'Data Termo'!$V$10+('Data Termo'!$E$10*($D$126-298.15)+'Data Termo'!$F$10/2*($D$126^2-298.15^2)+'Data Termo'!$G$10/3*($D$126^3-298.15^3)+'Data Termo'!$H$10/4*($D$126^4-298.15^4)+'Data Termo'!$I$10/5*($D$126^5-298.15^5))</f>
        <v>25949.889210400564</v>
      </c>
      <c r="F136" s="216">
        <f>I24</f>
        <v>3.095018670362267</v>
      </c>
      <c r="G136" s="217">
        <f>'Data Termo'!$V$10+('Data Termo'!$E$10*($F$126-298.15)+'Data Termo'!$F$10/2*($F$126^2-298.15^2)+'Data Termo'!$G$10/3*($F$126^3-298.15^3)+'Data Termo'!$H$10/4*($F$126^4-298.15^4)+'Data Termo'!$I$10/5*($F$126^5-298.15^5))</f>
        <v>15082.419882978458</v>
      </c>
      <c r="H136" s="216">
        <f>Q24</f>
        <v>3.095018670362267</v>
      </c>
      <c r="I136" s="217">
        <f>'Data Termo'!$V$10+('Data Termo'!$E$10*($H$126-298.15)+'Data Termo'!$F$10/2*($H$126^2-298.15^2)+'Data Termo'!$G$10/3*($H$126^3-298.15^3)+'Data Termo'!$H$10/4*($H$126^4-298.15^4)+'Data Termo'!$I$10/5*($H$126^5-298.15^5))</f>
        <v>24255.5397515117</v>
      </c>
    </row>
    <row r="137">
      <c r="A137" s="163" t="inlineStr">
        <is>
          <t>H₂O (g)</t>
        </is>
      </c>
      <c r="B137" s="216">
        <f>E26</f>
        <v>0.0</v>
      </c>
      <c r="C137" s="217">
        <f>'Data Termo'!$V$12+('Data Termo'!$E$12*($B$126-298.15)+'Data Termo'!$F$12/2*($B$126^2-298.15^2)+'Data Termo'!$G$12/3*($B$126^3-298.15^3)+'Data Termo'!$H$12/4*($B$126^4-298.15^4)+'Data Termo'!$I$12/5*($B$126^5-298.15^5))</f>
        <v>42861.233354024735</v>
      </c>
      <c r="D137" s="216">
        <f>M26</f>
        <v>0.0</v>
      </c>
      <c r="E137" s="217">
        <f>'Data Termo'!$V$12+('Data Termo'!$E$12*($D$126-298.15)+'Data Termo'!$F$12/2*($D$126^2-298.15^2)+'Data Termo'!$G$12/3*($D$126^3-298.15^3)+'Data Termo'!$H$12/4*($D$126^4-298.15^4)+'Data Termo'!$I$12/5*($D$126^5-298.15^5))</f>
        <v>51222.93566971006</v>
      </c>
      <c r="F137" s="216">
        <f>I26</f>
        <v>0.0</v>
      </c>
      <c r="G137" s="217">
        <f>'Data Termo'!$V$12+('Data Termo'!$E$12*($F$126-298.15)+'Data Termo'!$F$12/2*($F$126^2-298.15^2)+'Data Termo'!$G$12/3*($F$126^3-298.15^3)+'Data Termo'!$H$12/4*($F$126^4-298.15^4)+'Data Termo'!$I$12/5*($F$126^5-298.15^5))</f>
        <v>40485.832506271436</v>
      </c>
      <c r="H137" s="216">
        <f>Q26</f>
        <v>201.61347111664787</v>
      </c>
      <c r="I137" s="217">
        <f>'Data Termo'!$V$12+('Data Termo'!$E$12*($H$126-298.15)+'Data Termo'!$F$12/2*($H$126^2-298.15^2)+'Data Termo'!$G$12/3*($H$126^3-298.15^3)+'Data Termo'!$H$12/4*($H$126^4-298.15^4)+'Data Termo'!$I$12/5*($H$126^5-298.15^5))</f>
        <v>49559.01962425891</v>
      </c>
    </row>
    <row r="138">
      <c r="A138" s="163" t="inlineStr">
        <is>
          <t>O₂ (g)</t>
        </is>
      </c>
      <c r="B138" s="216">
        <f>E31</f>
        <v>0.0</v>
      </c>
      <c r="C138" s="217">
        <f>('Data Termo'!$E$17*($B$126-298.15)+'Data Termo'!$F$17/2*($B$126^2-298.15^2)+'Data Termo'!$G$17/3*($B$126^3-298.15^3)+'Data Termo'!$H$17/4*($B$126^4-298.15^4)+'Data Termo'!$I$17/5*($B$126^5-298.15^5))</f>
        <v>147.3914273715615</v>
      </c>
      <c r="D138" s="216">
        <f>M31</f>
        <v>162.59150896502743</v>
      </c>
      <c r="E138" s="217">
        <f>('Data Termo'!$E$17*($D$126-298.15)+'Data Termo'!$F$17/2*($D$126^2-298.15^2)+'Data Termo'!$G$17/3*($D$126^3-298.15^3)+'Data Termo'!$H$17/4*($D$126^4-298.15^4)+'Data Termo'!$I$17/5*($D$126^5-298.15^5))</f>
        <v>7510.466662907297</v>
      </c>
      <c r="F138" s="216">
        <f>I31</f>
        <v>0.0</v>
      </c>
      <c r="G138" s="217">
        <f>('Data Termo'!$E$17*($F$126-298.15)+'Data Termo'!$F$17/2*($F$126^2-298.15^2)+'Data Termo'!$G$17/3*($F$126^3-298.15^3)+'Data Termo'!$H$17/4*($F$126^4-298.15^4)+'Data Termo'!$I$17/5*($F$126^5-298.15^5))</f>
        <v>-1929.6949154714864</v>
      </c>
      <c r="H138" s="216">
        <f>Q31</f>
        <v>59.75237954463306</v>
      </c>
      <c r="I138" s="217">
        <f>('Data Termo'!$E$17*($H$126-298.15)+'Data Termo'!$F$17/2*($H$126^2-298.15^2)+'Data Termo'!$G$17/3*($H$126^3-298.15^3)+'Data Termo'!$H$17/4*($H$126^4-298.15^4)+'Data Termo'!$I$17/5*($H$126^5-298.15^5))</f>
        <v>6041.620866904568</v>
      </c>
    </row>
    <row r="139">
      <c r="A139" s="163" t="inlineStr">
        <is>
          <t>N₂ (g)</t>
        </is>
      </c>
      <c r="B139" s="216">
        <f>E32</f>
        <v>0.0</v>
      </c>
      <c r="C139" s="217">
        <f>('Data Termo'!$E$18*($B$126-298.15)+'Data Termo'!$F$18/2*($B$126^2-298.15^2)+'Data Termo'!$G$18/3*($B$126^3-298.15^3)+'Data Termo'!$H$18/4*($B$126^4-298.15^4)+'Data Termo'!$I$18/5*($B$126^5-298.15^5))</f>
        <v>145.36791939601756</v>
      </c>
      <c r="D139" s="216">
        <f>M32</f>
        <v>611.6537718208176</v>
      </c>
      <c r="E139" s="217">
        <f>('Data Termo'!$E$18*($D$126-298.15)+'Data Termo'!$F$18/2*($D$126^2-298.15^2)+'Data Termo'!$G$18/3*($D$126^3-298.15^3)+'Data Termo'!$H$18/4*($D$126^4-298.15^4)+'Data Termo'!$I$18/5*($D$126^5-298.15^5))</f>
        <v>7248.815923293078</v>
      </c>
      <c r="F139" s="216">
        <f>I32</f>
        <v>0.0</v>
      </c>
      <c r="G139" s="217">
        <f>('Data Termo'!$E$18*($F$126-298.15)+'Data Termo'!$F$18/2*($F$126^2-298.15^2)+'Data Termo'!$G$18/3*($F$126^3-298.15^3)+'Data Termo'!$H$18/4*($F$126^4-298.15^4)+'Data Termo'!$I$18/5*($F$126^5-298.15^5))</f>
        <v>-1913.230129370808</v>
      </c>
      <c r="H139" s="216">
        <f>Q32</f>
        <v>611.6537718208176</v>
      </c>
      <c r="I139" s="217">
        <f>('Data Termo'!$E$18*($H$126-298.15)+'Data Termo'!$F$18/2*($H$126^2-298.15^2)+'Data Termo'!$G$18/3*($H$126^3-298.15^3)+'Data Termo'!$H$18/4*($H$126^4-298.15^4)+'Data Termo'!$I$18/5*($H$126^5-298.15^5))</f>
        <v>5856.3327122126875</v>
      </c>
    </row>
    <row r="140">
      <c r="A140" s="163" t="inlineStr">
        <is>
          <t>CO₂ (g)</t>
        </is>
      </c>
      <c r="B140" s="216">
        <f>E33</f>
        <v>0.0</v>
      </c>
      <c r="C140" s="217">
        <f>('Data Termo'!$E$19*($B$126-298.15)+'Data Termo'!$F$19/2*($B$126^2-298.15^2)+'Data Termo'!$G$19/3*($B$126^3-298.15^3)+'Data Termo'!$H$19/4*($B$126^4-298.15^4)+'Data Termo'!$I$19/5*($B$126^5-298.15^5))</f>
        <v>192.48781180015672</v>
      </c>
      <c r="D140" s="216">
        <f>M33</f>
        <v>0.0</v>
      </c>
      <c r="E140" s="217">
        <f>('Data Termo'!$E$19*($D$126-298.15)+'Data Termo'!$F$19/2*($D$126^2-298.15^2)+'Data Termo'!$G$19/3*($D$126^3-298.15^3)+'Data Termo'!$H$19/4*($D$126^4-298.15^4)+'Data Termo'!$I$19/5*($D$126^5-298.15^5))</f>
        <v>10376.977494287568</v>
      </c>
      <c r="F140" s="216">
        <f>I33</f>
        <v>0.0</v>
      </c>
      <c r="G140" s="217">
        <f>('Data Termo'!$E$19*($F$126-298.15)+'Data Termo'!$F$19/2*($F$126^2-298.15^2)+'Data Termo'!$G$19/3*($F$126^3-298.15^3)+'Data Termo'!$H$19/4*($F$126^4-298.15^4)+'Data Termo'!$I$19/5*($F$126^5-298.15^5))</f>
        <v>-2461.1677336438634</v>
      </c>
      <c r="H140" s="216">
        <f>Q33</f>
        <v>2.0323938620725244</v>
      </c>
      <c r="I140" s="217">
        <f>('Data Termo'!$E$19*($H$126-298.15)+'Data Termo'!$F$19/2*($H$126^2-298.15^2)+'Data Termo'!$G$19/3*($H$126^3-298.15^3)+'Data Termo'!$H$19/4*($H$126^4-298.15^4)+'Data Termo'!$I$19/5*($H$126^5-298.15^5))</f>
        <v>8275.864857327086</v>
      </c>
    </row>
    <row r="141">
      <c r="A141" s="163" t="inlineStr">
        <is>
          <t>EDC (g)</t>
        </is>
      </c>
      <c r="B141" s="216">
        <f>E34</f>
        <v>0.0</v>
      </c>
      <c r="C141" s="217">
        <f>'Data Termo'!$V$20+('Data Termo'!$E$20*($B$126-298.15)+'Data Termo'!$F$20/2*($B$126^2-298.15^2)+'Data Termo'!$G$20/3*($B$126^3-298.15^3)+'Data Termo'!$H$20/4*($B$126^4-298.15^4)+'Data Termo'!$I$20/5*($B$126^5-298.15^5))</f>
        <v>35448.41352208502</v>
      </c>
      <c r="D141" s="216">
        <f>M34</f>
        <v>0.0</v>
      </c>
      <c r="E141" s="217">
        <f>'Data Termo'!$V$20+('Data Termo'!$E$20*($D$126-298.15)+'Data Termo'!$F$20/2*($D$126^2-298.15^2)+'Data Termo'!$G$20/3*($D$126^3-298.15^3)+'Data Termo'!$H$20/4*($D$126^4-298.15^4)+'Data Termo'!$I$20/5*($D$126^5-298.15^5))</f>
        <v>58371.303285492926</v>
      </c>
      <c r="F141" s="216">
        <f>I34</f>
        <v>0.0</v>
      </c>
      <c r="G141" s="217">
        <f>'Data Termo'!$V$20+('Data Termo'!$E$20*($F$126-298.15)+'Data Termo'!$F$20/2*($F$126^2-298.15^2)+'Data Termo'!$G$20/3*($F$126^3-298.15^3)+'Data Termo'!$H$20/4*($F$126^4-298.15^4)+'Data Termo'!$I$20/5*($F$126^5-298.15^5))</f>
        <v>30124.64713619677</v>
      </c>
      <c r="H141" s="216">
        <f>Q34</f>
        <v>199.58107725457117</v>
      </c>
      <c r="I141" s="217">
        <f>'Data Termo'!$V$20+('Data Termo'!$E$20*($H$126-298.15)+'Data Termo'!$F$20/2*($H$126^2-298.15^2)+'Data Termo'!$G$20/3*($H$126^3-298.15^3)+'Data Termo'!$H$20/4*($H$126^4-298.15^4)+'Data Termo'!$I$20/5*($H$126^5-298.15^5))</f>
        <v>53391.03921356976</v>
      </c>
    </row>
    <row r="142">
      <c r="A142" s="163" t="inlineStr">
        <is>
          <t>HCl (g)</t>
        </is>
      </c>
      <c r="B142" s="216">
        <f>E36</f>
        <v>0.0</v>
      </c>
      <c r="C142" s="217">
        <f>('Data Termo'!$E$22*($B$126-298.15)+'Data Termo'!$F$22/2*($B$126^2-298.15^2)+'Data Termo'!$G$22/3*($B$126^3-298.15^3)+'Data Termo'!$H$22/4*($B$126^4-298.15^4)+'Data Termo'!$I$22/5*($B$126^5-298.15^5))</f>
        <v>145.40334800705287</v>
      </c>
      <c r="D142" s="216">
        <f>M36</f>
        <v>0.0</v>
      </c>
      <c r="E142" s="217">
        <f>('Data Termo'!$E$22*($D$126-298.15)+'Data Termo'!$F$22/2*($D$126^2-298.15^2)+'Data Termo'!$G$22/3*($D$126^3-298.15^3)+'Data Termo'!$H$22/4*($D$126^4-298.15^4)+'Data Termo'!$I$22/5*($D$126^5-298.15^5))</f>
        <v>7218.690255031441</v>
      </c>
      <c r="F142" s="216">
        <f>I36</f>
        <v>406.4787724125601</v>
      </c>
      <c r="G142" s="217">
        <f>('Data Termo'!$E$22*($F$126-298.15)+'Data Termo'!$F$22/2*($F$126^2-298.15^2)+'Data Termo'!$G$22/3*($F$126^3-298.15^3)+'Data Termo'!$H$22/4*($F$126^4-298.15^4)+'Data Termo'!$I$22/5*($F$126^5-298.15^5))</f>
        <v>-1915.5206704797167</v>
      </c>
      <c r="H142" s="216">
        <f>Q36</f>
        <v>5.690702813775847</v>
      </c>
      <c r="I142" s="217">
        <f>('Data Termo'!$E$22*($H$126-298.15)+'Data Termo'!$F$22/2*($H$126^2-298.15^2)+'Data Termo'!$G$22/3*($H$126^3-298.15^3)+'Data Termo'!$H$22/4*($H$126^4-298.15^4)+'Data Termo'!$I$22/5*($H$126^5-298.15^5))</f>
        <v>5837.15873281483</v>
      </c>
    </row>
    <row r="143">
      <c r="A143" s="163" t="inlineStr">
        <is>
          <t>C₂H₅Cl (g)</t>
        </is>
      </c>
      <c r="B143" s="216">
        <f>E38</f>
        <v>0.0</v>
      </c>
      <c r="C143" s="217">
        <f>('Data Termo'!$E$24*($B$126-298.15)+'Data Termo'!$F$24/2*($B$126^2-298.15^2)+'Data Termo'!$G$24/3*($B$126^3-298.15^3)+'Data Termo'!$H$24/4*($B$126^4-298.15^4)+'Data Termo'!$I$24/5*($B$126^5-298.15^5))</f>
        <v>322.0326227078277</v>
      </c>
      <c r="D143" s="216">
        <f>M38</f>
        <v>0.0</v>
      </c>
      <c r="E143" s="217">
        <f>('Data Termo'!$E$24*($D$126-298.15)+'Data Termo'!$F$24/2*($D$126^2-298.15^2)+'Data Termo'!$G$24/3*($D$126^3-298.15^3)+'Data Termo'!$H$24/4*($D$126^4-298.15^4)+'Data Termo'!$I$24/5*($D$126^5-298.15^5))</f>
        <v>19551.365313816797</v>
      </c>
      <c r="F143" s="216">
        <f>I38</f>
        <v>0.0</v>
      </c>
      <c r="G143" s="217">
        <f>('Data Termo'!$E$24*($F$126-298.15)+'Data Termo'!$F$24/2*($F$126^2-298.15^2)+'Data Termo'!$G$24/3*($F$126^3-298.15^3)+'Data Termo'!$H$24/4*($F$126^4-298.15^4)+'Data Termo'!$I$24/5*($F$126^5-298.15^5))</f>
        <v>-3967.7924876662946</v>
      </c>
      <c r="H143" s="216">
        <f>Q38</f>
        <v>1.6259150896419214</v>
      </c>
      <c r="I143" s="217">
        <f>('Data Termo'!$E$24*($H$126-298.15)+'Data Termo'!$F$24/2*($H$126^2-298.15^2)+'Data Termo'!$G$24/3*($H$126^3-298.15^3)+'Data Termo'!$H$24/4*($H$126^4-298.15^4)+'Data Termo'!$I$24/5*($H$126^5-298.15^5))</f>
        <v>15264.08853789719</v>
      </c>
    </row>
    <row r="144">
      <c r="A144" s="163" t="inlineStr">
        <is>
          <t>VCM (g)</t>
        </is>
      </c>
      <c r="B144" s="216">
        <f>E39</f>
        <v>0.0</v>
      </c>
      <c r="C144" s="217">
        <f>('Data Termo'!$E$25*($B$126-298.15)+'Data Termo'!$F$25/2*($B$126^2-298.15^2)+'Data Termo'!$G$25/3*($B$126^3-298.15^3)+'Data Termo'!$H$25/4*($B$126^4-298.15^4)+'Data Termo'!$I$25/5*($B$126^5-298.15^5))</f>
        <v>275.68300165308517</v>
      </c>
      <c r="D144" s="216">
        <f>M39</f>
        <v>0.0</v>
      </c>
      <c r="E144" s="217">
        <f>('Data Termo'!$E$25*($D$126-298.15)+'Data Termo'!$F$25/2*($D$126^2-298.15^2)+'Data Termo'!$G$25/3*($D$126^3-298.15^3)+'Data Termo'!$H$25/4*($D$126^4-298.15^4)+'Data Termo'!$I$25/5*($D$126^5-298.15^5))</f>
        <v>16506.021747819337</v>
      </c>
      <c r="F144" s="216">
        <f>I39</f>
        <v>0.0409614752558173</v>
      </c>
      <c r="G144" s="217">
        <f>('Data Termo'!$E$25*($F$126-298.15)+'Data Termo'!$F$25/2*($F$126^2-298.15^2)+'Data Termo'!$G$25/3*($F$126^3-298.15^3)+'Data Termo'!$H$25/4*($F$126^4-298.15^4)+'Data Termo'!$I$25/5*($F$126^5-298.15^5))</f>
        <v>-3376.7777271032583</v>
      </c>
      <c r="H144" s="216">
        <f>Q39</f>
        <v>0.0409614752558173</v>
      </c>
      <c r="I144" s="217">
        <f>('Data Termo'!$E$25*($H$126-298.15)+'Data Termo'!$F$25/2*($H$126^2-298.15^2)+'Data Termo'!$G$25/3*($H$126^3-298.15^3)+'Data Termo'!$H$25/4*($H$126^4-298.15^4)+'Data Termo'!$I$25/5*($H$126^5-298.15^5))</f>
        <v>12950.039819909229</v>
      </c>
    </row>
    <row r="145">
      <c r="A145" s="163" t="inlineStr">
        <is>
          <t>Koreksi gas nyata (kJ/h)</t>
        </is>
      </c>
      <c r="B145" s="217">
        <f>SUM(B132:B144)*('Data Termo'!$D$40*'Data Termo'!$D$30*($B$128/'Data Termo'!$D$31)*((0.083-0.422/($B$126/'Data Termo'!$D$30)^1.6)-($B$126/'Data Termo'!$D$30)*0.675/($B$126/'Data Termo'!$D$30)^2.6+'Data Termo'!$D$32*((0.139-0.172/($B$126/'Data Termo'!$D$30)^4.2)-($B$126/'Data Termo'!$D$30)*0.722/($B$126/'Data Termo'!$D$30)^5.2)))</f>
        <v>-47918.88553558222</v>
      </c>
      <c r="C145" s="211" t="n"/>
      <c r="D145" s="217" t="n">
        <v>0</v>
      </c>
      <c r="E145" s="211" t="n"/>
      <c r="F145" s="217" t="n">
        <v>0</v>
      </c>
      <c r="G145" s="211" t="n"/>
      <c r="H145" s="217" t="n">
        <v>0</v>
      </c>
      <c r="I145" s="211" t="n"/>
    </row>
    <row r="146">
      <c r="A146" s="200" t="inlineStr">
        <is>
          <t>Sub Total ṅᵢĤᵢ (kJ/h)</t>
        </is>
      </c>
      <c r="B146" s="218">
        <f>SUMPRODUCT(B132:B144,C132:C144)+B145</f>
        <v>-3071.723746276766</v>
      </c>
      <c r="C146" s="211" t="n"/>
      <c r="D146" s="218">
        <f>SUMPRODUCT(D132:D144,E132:E144)+D145</f>
        <v>5654903.708470645</v>
      </c>
      <c r="E146" s="211" t="n"/>
      <c r="F146" s="218">
        <f>SUMPRODUCT(F132:F144,G132:G144)+F145</f>
        <v>-732076.4373327309</v>
      </c>
      <c r="G146" s="211" t="n"/>
      <c r="H146" s="218">
        <f>SUMPRODUCT(H132:H144,I132:I144)+H145</f>
        <v>24752450.755441733</v>
      </c>
      <c r="I146" s="211" t="n"/>
    </row>
    <row r="147">
      <c r="A147" s="163" t="inlineStr">
        <is>
          <t>Heat of reaction / heat of mixing (kJ/h)</t>
        </is>
      </c>
      <c r="B147" s="219" t="inlineStr">
        <is>
          <t>-</t>
        </is>
      </c>
      <c r="C147" s="210" t="n"/>
      <c r="D147" s="210" t="n"/>
      <c r="E147" s="210" t="n"/>
      <c r="F147" s="210" t="n"/>
      <c r="G147" s="211" t="n"/>
      <c r="H147" s="217">
        <f>(Q34*'Termodinamika'!$F$107+Q38*'Termodinamika'!$F$109+Q33/2*'Termodinamika'!$F$108)*1000</f>
        <v>-64988626.632513985</v>
      </c>
      <c r="I147" s="211" t="n"/>
    </row>
    <row r="148">
      <c r="A148" s="200" t="inlineStr">
        <is>
          <t>Q (kJ/h)</t>
        </is>
      </c>
      <c r="B148" s="218">
        <f>(H146+$H$147)-(B146+D146+F146)</f>
        <v>-45155931.42446389</v>
      </c>
      <c r="C148" s="210" t="n"/>
      <c r="D148" s="210" t="n"/>
      <c r="E148" s="210" t="n"/>
      <c r="F148" s="210" t="n"/>
      <c r="G148" s="210" t="n"/>
      <c r="H148" s="210" t="n"/>
      <c r="I148" s="211" t="n"/>
    </row>
    <row r="149">
      <c r="A149" s="200" t="inlineStr">
        <is>
          <t>W (kJ/h)</t>
        </is>
      </c>
      <c r="B149" s="218" t="n">
        <v>0</v>
      </c>
      <c r="C149" s="210" t="n"/>
      <c r="D149" s="210" t="n"/>
      <c r="E149" s="210" t="n"/>
      <c r="F149" s="210" t="n"/>
      <c r="G149" s="210" t="n"/>
      <c r="H149" s="210" t="n"/>
      <c r="I149" s="211" t="n"/>
    </row>
    <row r="150">
      <c r="A150" s="200" t="inlineStr">
        <is>
          <t>TOTAL (kJ/h)</t>
        </is>
      </c>
      <c r="B150" s="218">
        <f>B146+D146+F146+$B$148+$B$149</f>
        <v>-40236175.87707225</v>
      </c>
      <c r="C150" s="210" t="n"/>
      <c r="D150" s="210" t="n"/>
      <c r="E150" s="210" t="n"/>
      <c r="F150" s="210" t="n"/>
      <c r="G150" s="211" t="n"/>
      <c r="H150" s="218">
        <f>(H146+$H$147)</f>
        <v>-40236175.87707225</v>
      </c>
      <c r="I150" s="211" t="n"/>
    </row>
    <row r="151">
      <c r="A151" s="163" t="inlineStr">
        <is>
          <t>Selisih masuk − keluar (kJ/h)</t>
        </is>
      </c>
      <c r="B151" s="217">
        <f>B150-H150</f>
        <v>0.0</v>
      </c>
      <c r="C151" s="210" t="n"/>
      <c r="D151" s="210" t="n"/>
      <c r="E151" s="210" t="n"/>
      <c r="F151" s="210" t="n"/>
      <c r="G151" s="210" t="n"/>
      <c r="H151" s="210" t="n"/>
      <c r="I151" s="211" t="n"/>
    </row>
    <row r="152">
      <c r="A152" s="163" t="inlineStr">
        <is>
          <t>Q (kW)</t>
        </is>
      </c>
      <c r="B152" s="217">
        <f>$B$148/3600</f>
        <v>-12543.314284573304</v>
      </c>
      <c r="C152" s="210" t="n"/>
      <c r="D152" s="210" t="n"/>
      <c r="E152" s="210" t="n"/>
      <c r="F152" s="210" t="n"/>
      <c r="G152" s="210" t="n"/>
      <c r="H152" s="210" t="n"/>
      <c r="I152" s="211" t="n"/>
    </row>
    <row r="153">
      <c r="A153" s="163" t="inlineStr">
        <is>
          <t>W (kW)</t>
        </is>
      </c>
      <c r="B153" s="217">
        <f>$B$149/3600</f>
        <v>0.0</v>
      </c>
      <c r="C153" s="210" t="n"/>
      <c r="D153" s="210" t="n"/>
      <c r="E153" s="210" t="n"/>
      <c r="F153" s="210" t="n"/>
      <c r="G153" s="210" t="n"/>
      <c r="H153" s="210" t="n"/>
      <c r="I153" s="211" t="n"/>
    </row>
  </sheetData>
  <mergeCells count="154">
    <mergeCell ref="D60:E60"/>
    <mergeCell ref="B100:C100"/>
    <mergeCell ref="B42:M42"/>
    <mergeCell ref="B65:E65"/>
    <mergeCell ref="D100:E100"/>
    <mergeCell ref="C7:L7"/>
    <mergeCell ref="D84:E84"/>
    <mergeCell ref="B115:C115"/>
    <mergeCell ref="B102:C102"/>
    <mergeCell ref="B147:G147"/>
    <mergeCell ref="J18:M18"/>
    <mergeCell ref="B77:C77"/>
    <mergeCell ref="D77:E77"/>
    <mergeCell ref="B113:E113"/>
    <mergeCell ref="B91:E91"/>
    <mergeCell ref="B61:C61"/>
    <mergeCell ref="B101:C101"/>
    <mergeCell ref="D61:E61"/>
    <mergeCell ref="H129:I129"/>
    <mergeCell ref="D48:E48"/>
    <mergeCell ref="B78:C78"/>
    <mergeCell ref="D125:E125"/>
    <mergeCell ref="D72:E72"/>
    <mergeCell ref="D78:E78"/>
    <mergeCell ref="B112:C112"/>
    <mergeCell ref="F125:G125"/>
    <mergeCell ref="D112:E112"/>
    <mergeCell ref="H128:I128"/>
    <mergeCell ref="B86:E86"/>
    <mergeCell ref="B127:C127"/>
    <mergeCell ref="D56:E56"/>
    <mergeCell ref="D127:E127"/>
    <mergeCell ref="B49:C49"/>
    <mergeCell ref="B55:C55"/>
    <mergeCell ref="B64:C64"/>
    <mergeCell ref="D64:E64"/>
    <mergeCell ref="B150:G150"/>
    <mergeCell ref="B51:C51"/>
    <mergeCell ref="D73:E73"/>
    <mergeCell ref="D98:E98"/>
    <mergeCell ref="D51:E51"/>
    <mergeCell ref="B87:E87"/>
    <mergeCell ref="C12:L12"/>
    <mergeCell ref="D88:E88"/>
    <mergeCell ref="D115:E115"/>
    <mergeCell ref="D99:E99"/>
    <mergeCell ref="F146:G146"/>
    <mergeCell ref="H146:I146"/>
    <mergeCell ref="B17:M17"/>
    <mergeCell ref="B114:E114"/>
    <mergeCell ref="H130:I130"/>
    <mergeCell ref="C13:L13"/>
    <mergeCell ref="B63:E63"/>
    <mergeCell ref="D101:E101"/>
    <mergeCell ref="B130:C130"/>
    <mergeCell ref="D124:E124"/>
    <mergeCell ref="B152:I152"/>
    <mergeCell ref="D76:E76"/>
    <mergeCell ref="B90:E90"/>
    <mergeCell ref="C15:L15"/>
    <mergeCell ref="D126:E126"/>
    <mergeCell ref="B53:C53"/>
    <mergeCell ref="D75:E75"/>
    <mergeCell ref="B66:E66"/>
    <mergeCell ref="D53:E53"/>
    <mergeCell ref="F126:G126"/>
    <mergeCell ref="B18:E18"/>
    <mergeCell ref="B103:C103"/>
    <mergeCell ref="D103:E103"/>
    <mergeCell ref="B43:Q43"/>
    <mergeCell ref="B84:C84"/>
    <mergeCell ref="B117:E117"/>
    <mergeCell ref="C10:L10"/>
    <mergeCell ref="N42:Q42"/>
    <mergeCell ref="B67:E67"/>
    <mergeCell ref="C9:L9"/>
    <mergeCell ref="B116:E116"/>
    <mergeCell ref="A55:A57"/>
    <mergeCell ref="H145:I145"/>
    <mergeCell ref="B79:C79"/>
    <mergeCell ref="D79:E79"/>
    <mergeCell ref="C11:L11"/>
    <mergeCell ref="B97:C97"/>
    <mergeCell ref="B54:C54"/>
    <mergeCell ref="B118:E118"/>
    <mergeCell ref="B125:C125"/>
    <mergeCell ref="B72:C72"/>
    <mergeCell ref="H147:I147"/>
    <mergeCell ref="A17:A19"/>
    <mergeCell ref="D128:E128"/>
    <mergeCell ref="F128:G128"/>
    <mergeCell ref="B56:C56"/>
    <mergeCell ref="B96:C96"/>
    <mergeCell ref="B89:E89"/>
    <mergeCell ref="D96:E96"/>
    <mergeCell ref="F124:G124"/>
    <mergeCell ref="B149:I149"/>
    <mergeCell ref="A102:A104"/>
    <mergeCell ref="B52:C52"/>
    <mergeCell ref="D52:E52"/>
    <mergeCell ref="D49:E49"/>
    <mergeCell ref="B98:C98"/>
    <mergeCell ref="B151:I151"/>
    <mergeCell ref="B60:C60"/>
    <mergeCell ref="H123:I123"/>
    <mergeCell ref="C6:L6"/>
    <mergeCell ref="B88:C88"/>
    <mergeCell ref="B146:C146"/>
    <mergeCell ref="B99:C99"/>
    <mergeCell ref="D146:E146"/>
    <mergeCell ref="D102:E102"/>
    <mergeCell ref="B129:G129"/>
    <mergeCell ref="N18:Q18"/>
    <mergeCell ref="F18:I18"/>
    <mergeCell ref="D55:E55"/>
    <mergeCell ref="B124:C124"/>
    <mergeCell ref="N17:Q17"/>
    <mergeCell ref="B76:C76"/>
    <mergeCell ref="B5:L5"/>
    <mergeCell ref="B85:C85"/>
    <mergeCell ref="D85:E85"/>
    <mergeCell ref="D54:E54"/>
    <mergeCell ref="H150:I150"/>
    <mergeCell ref="B126:C126"/>
    <mergeCell ref="B75:C75"/>
    <mergeCell ref="B153:I153"/>
    <mergeCell ref="H125:I125"/>
    <mergeCell ref="C8:L8"/>
    <mergeCell ref="D111:E111"/>
    <mergeCell ref="A129:A131"/>
    <mergeCell ref="F127:G127"/>
    <mergeCell ref="H127:I127"/>
    <mergeCell ref="B48:C48"/>
    <mergeCell ref="B111:C111"/>
    <mergeCell ref="B62:E62"/>
    <mergeCell ref="B145:C145"/>
    <mergeCell ref="D145:E145"/>
    <mergeCell ref="F145:G145"/>
    <mergeCell ref="D97:E97"/>
    <mergeCell ref="B148:I148"/>
    <mergeCell ref="B73:C73"/>
    <mergeCell ref="B128:C128"/>
    <mergeCell ref="B74:C74"/>
    <mergeCell ref="A78:A80"/>
    <mergeCell ref="D74:E74"/>
    <mergeCell ref="D130:E130"/>
    <mergeCell ref="F130:G130"/>
    <mergeCell ref="H124:I124"/>
    <mergeCell ref="B123:C123"/>
    <mergeCell ref="D123:E123"/>
    <mergeCell ref="B50:C50"/>
    <mergeCell ref="F123:G123"/>
    <mergeCell ref="D50:E50"/>
    <mergeCell ref="H126:I12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3:U109"/>
  <sheetViews>
    <sheetView tabSelected="0" zoomScale="85"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</cols>
  <sheetData>
    <row r="3">
      <c r="A3" s="169" t="inlineStr">
        <is>
          <t>Neraca Massa dan Energi</t>
        </is>
      </c>
    </row>
    <row r="4">
      <c r="A4" s="169" t="inlineStr">
        <is>
          <t>NM Blok 3: Kondensasi &amp; Dekantasi EDC Kasar</t>
        </is>
      </c>
    </row>
    <row r="5">
      <c r="A5" s="202" t="inlineStr">
        <is>
          <t>Tujuan:</t>
        </is>
      </c>
      <c r="B5" s="187" t="inlineStr">
        <is>
          <t>Mengembunkan produk R-02 bersama EDC R-01, lalu memisahkan gas, air asam, dan EDC basah</t>
        </is>
      </c>
    </row>
    <row r="6">
      <c r="A6" s="202" t="inlineStr">
        <is>
          <t>Unjuk Kerja</t>
        </is>
      </c>
      <c r="B6" s="204">
        <f>3/1000000</f>
        <v>3e-06</v>
      </c>
      <c r="C6" s="187" t="inlineStr">
        <is>
          <t>Kadar FeCl₃ dalam EDC setelah kontak dengan air asam (fraksi berat)</t>
        </is>
      </c>
    </row>
    <row r="7">
      <c r="B7" s="224">
        <f>2.4/1000</f>
        <v>0.0024</v>
      </c>
      <c r="C7" s="187" t="inlineStr">
        <is>
          <t>EDC terbawa gas vent (kg/kg EDC R-01 + R-02)</t>
        </is>
      </c>
    </row>
    <row r="8">
      <c r="B8" s="224" t="n">
        <v>0.002</v>
      </c>
      <c r="C8" s="187" t="inlineStr">
        <is>
          <t>Kadar air dalam fase EDC keluar dekanter (fraksi berat)</t>
        </is>
      </c>
    </row>
    <row r="9">
      <c r="B9" s="224" t="n">
        <v>0.0008</v>
      </c>
      <c r="C9" s="187" t="inlineStr">
        <is>
          <t>Kadar EDC dalam fase air asam (fraksi berat)</t>
        </is>
      </c>
    </row>
    <row r="10">
      <c r="B10" s="223" t="n">
        <v>0.75</v>
      </c>
      <c r="C10" s="187" t="inlineStr">
        <is>
          <t>Efisiensi pompa P-101</t>
        </is>
      </c>
    </row>
    <row r="12">
      <c r="A12" s="202" t="inlineStr">
        <is>
          <t>Basis Perhitungan</t>
        </is>
      </c>
      <c r="B12" s="209">
        <f>'NME-1 Klorinasi Langsung'!$B$16</f>
        <v>6100.572183061604</v>
      </c>
      <c r="C12" s="187" t="inlineStr">
        <is>
          <t>kg/h aliran etilena ke R-01 (NME-1)</t>
        </is>
      </c>
    </row>
    <row r="14">
      <c r="A14" s="162" t="inlineStr">
        <is>
          <t>Substance</t>
        </is>
      </c>
      <c r="B14" s="162" t="inlineStr">
        <is>
          <t>Inlet</t>
        </is>
      </c>
      <c r="C14" s="210" t="n"/>
      <c r="D14" s="210" t="n"/>
      <c r="E14" s="210" t="n"/>
      <c r="F14" s="210" t="n"/>
      <c r="G14" s="210" t="n"/>
      <c r="H14" s="210" t="n"/>
      <c r="I14" s="211" t="n"/>
      <c r="J14" s="162" t="inlineStr">
        <is>
          <t>Outlet</t>
        </is>
      </c>
      <c r="K14" s="210" t="n"/>
      <c r="L14" s="210" t="n"/>
      <c r="M14" s="210" t="n"/>
      <c r="N14" s="210" t="n"/>
      <c r="O14" s="210" t="n"/>
      <c r="P14" s="210" t="n"/>
      <c r="Q14" s="210" t="n"/>
      <c r="R14" s="210" t="n"/>
      <c r="S14" s="210" t="n"/>
      <c r="T14" s="210" t="n"/>
      <c r="U14" s="211" t="n"/>
    </row>
    <row r="15">
      <c r="A15" s="212" t="n"/>
      <c r="B15" s="162" t="inlineStr">
        <is>
          <t>Aliran 15</t>
        </is>
      </c>
      <c r="C15" s="210" t="n"/>
      <c r="D15" s="210" t="n"/>
      <c r="E15" s="211" t="n"/>
      <c r="F15" s="162" t="inlineStr">
        <is>
          <t>Aliran 18</t>
        </is>
      </c>
      <c r="G15" s="210" t="n"/>
      <c r="H15" s="210" t="n"/>
      <c r="I15" s="211" t="n"/>
      <c r="J15" s="162" t="inlineStr">
        <is>
          <t>Aliran 25</t>
        </is>
      </c>
      <c r="K15" s="210" t="n"/>
      <c r="L15" s="210" t="n"/>
      <c r="M15" s="211" t="n"/>
      <c r="N15" s="162" t="inlineStr">
        <is>
          <t>Aliran 28</t>
        </is>
      </c>
      <c r="O15" s="210" t="n"/>
      <c r="P15" s="210" t="n"/>
      <c r="Q15" s="211" t="n"/>
      <c r="R15" s="162" t="inlineStr">
        <is>
          <t>Aliran 29</t>
        </is>
      </c>
      <c r="S15" s="210" t="n"/>
      <c r="T15" s="210" t="n"/>
      <c r="U15" s="211" t="n"/>
    </row>
    <row r="16">
      <c r="A16" s="213" t="n"/>
      <c r="B16" s="214" t="inlineStr">
        <is>
          <t>ẋᵢ</t>
        </is>
      </c>
      <c r="C16" s="214" t="inlineStr">
        <is>
          <t>ṁᵢ (kg/h)</t>
        </is>
      </c>
      <c r="D16" s="214" t="inlineStr">
        <is>
          <t>ẏᵢ</t>
        </is>
      </c>
      <c r="E16" s="214" t="inlineStr">
        <is>
          <t>ṅᵢ (kmol/h)</t>
        </is>
      </c>
      <c r="F16" s="214" t="inlineStr">
        <is>
          <t>ẋᵢ</t>
        </is>
      </c>
      <c r="G16" s="214" t="inlineStr">
        <is>
          <t>ṁᵢ (kg/h)</t>
        </is>
      </c>
      <c r="H16" s="214" t="inlineStr">
        <is>
          <t>ẏᵢ</t>
        </is>
      </c>
      <c r="I16" s="214" t="inlineStr">
        <is>
          <t>ṅᵢ (kmol/h)</t>
        </is>
      </c>
      <c r="J16" s="214" t="inlineStr">
        <is>
          <t>ẋᵢ</t>
        </is>
      </c>
      <c r="K16" s="214" t="inlineStr">
        <is>
          <t>ṁᵢ (kg/h)</t>
        </is>
      </c>
      <c r="L16" s="214" t="inlineStr">
        <is>
          <t>ẏᵢ</t>
        </is>
      </c>
      <c r="M16" s="214" t="inlineStr">
        <is>
          <t>ṅᵢ (kmol/h)</t>
        </is>
      </c>
      <c r="N16" s="214" t="inlineStr">
        <is>
          <t>ẋᵢ</t>
        </is>
      </c>
      <c r="O16" s="214" t="inlineStr">
        <is>
          <t>ṁᵢ (kg/h)</t>
        </is>
      </c>
      <c r="P16" s="214" t="inlineStr">
        <is>
          <t>ẏᵢ</t>
        </is>
      </c>
      <c r="Q16" s="214" t="inlineStr">
        <is>
          <t>ṅᵢ (kmol/h)</t>
        </is>
      </c>
      <c r="R16" s="214" t="inlineStr">
        <is>
          <t>ẋᵢ</t>
        </is>
      </c>
      <c r="S16" s="214" t="inlineStr">
        <is>
          <t>ṁᵢ (kg/h)</t>
        </is>
      </c>
      <c r="T16" s="214" t="inlineStr">
        <is>
          <t>ẏᵢ</t>
        </is>
      </c>
      <c r="U16" s="214" t="inlineStr">
        <is>
          <t>ṅᵢ (kmol/h)</t>
        </is>
      </c>
    </row>
    <row r="17">
      <c r="A17" s="163" t="inlineStr">
        <is>
          <t>C₂H₄</t>
        </is>
      </c>
      <c r="B17" s="189">
        <f>C17/C$38</f>
        <v>0.0</v>
      </c>
      <c r="C17" s="215">
        <f>E17*'Data Komponen'!$D$3</f>
        <v>0.0</v>
      </c>
      <c r="D17" s="189">
        <f>E17/E$38</f>
        <v>0.0</v>
      </c>
      <c r="E17" s="216">
        <f>'NME-1 Klorinasi Langsung'!Q21</f>
        <v>0.0</v>
      </c>
      <c r="F17" s="189">
        <f>G17/G$38</f>
        <v>0.0006617075120989801</v>
      </c>
      <c r="G17" s="215">
        <f>I17*'Data Komponen'!$D$3</f>
        <v>28.508388703155518</v>
      </c>
      <c r="H17" s="189">
        <f>I17/I$38</f>
        <v>0.0009355629731163276</v>
      </c>
      <c r="I17" s="216">
        <f>'NME-2 Oksiklorinasi'!Q20</f>
        <v>1.0161969310314223</v>
      </c>
      <c r="J17" s="189">
        <f>K17/K$38</f>
        <v>0.0014629385273836851</v>
      </c>
      <c r="K17" s="215">
        <f>M17*'Data Komponen'!$D$3</f>
        <v>28.508388703155518</v>
      </c>
      <c r="L17" s="189">
        <f>M17/M$38</f>
        <v>0.0014973251224753917</v>
      </c>
      <c r="M17" s="216">
        <f>E17+I17</f>
        <v>1.0161969310314223</v>
      </c>
      <c r="N17" s="189">
        <f>O17/O$38</f>
        <v>0.0</v>
      </c>
      <c r="O17" s="215">
        <f>Q17*'Data Komponen'!$D$3</f>
        <v>0.0</v>
      </c>
      <c r="P17" s="189">
        <f>Q17/Q$38</f>
        <v>0.0</v>
      </c>
      <c r="Q17" s="216">
        <f>0</f>
        <v>0.0</v>
      </c>
      <c r="R17" s="189">
        <f>S17/S$38</f>
        <v>0.0</v>
      </c>
      <c r="S17" s="215">
        <f>U17*'Data Komponen'!$D$3</f>
        <v>0.0</v>
      </c>
      <c r="T17" s="189">
        <f>U17/U$38</f>
        <v>0.0</v>
      </c>
      <c r="U17" s="216">
        <f>0</f>
        <v>0.0</v>
      </c>
    </row>
    <row r="18">
      <c r="A18" s="163" t="inlineStr">
        <is>
          <t>CH₄</t>
        </is>
      </c>
      <c r="B18" s="189">
        <f>C18/C$38</f>
        <v>0.0</v>
      </c>
      <c r="C18" s="215">
        <f>E18*'Data Komponen'!$D$4</f>
        <v>0.0</v>
      </c>
      <c r="D18" s="189">
        <f>E18/E$38</f>
        <v>0.0</v>
      </c>
      <c r="E18" s="216">
        <f>'NME-1 Klorinasi Langsung'!Q22</f>
        <v>0.0</v>
      </c>
      <c r="F18" s="189">
        <f>G18/G$38</f>
        <v>3.064211386954467e-05</v>
      </c>
      <c r="G18" s="215">
        <f>I18*'Data Komponen'!$D$4</f>
        <v>1.3201562274974794</v>
      </c>
      <c r="H18" s="189">
        <f>I18/I$38</f>
        <v>7.575911480728293e-05</v>
      </c>
      <c r="I18" s="216">
        <f>'NME-2 Oksiklorinasi'!Q21</f>
        <v>0.08228861356962411</v>
      </c>
      <c r="J18" s="189">
        <f>K18/K$38</f>
        <v>6.77452320256105e-05</v>
      </c>
      <c r="K18" s="215">
        <f>M18*'Data Komponen'!$D$4</f>
        <v>1.3201562274974794</v>
      </c>
      <c r="L18" s="189">
        <f>M18/M$38</f>
        <v>0.00012124894755036185</v>
      </c>
      <c r="M18" s="216">
        <f>E18+I18</f>
        <v>0.08228861356962411</v>
      </c>
      <c r="N18" s="189">
        <f>O18/O$38</f>
        <v>0.0</v>
      </c>
      <c r="O18" s="215">
        <f>Q18*'Data Komponen'!$D$4</f>
        <v>0.0</v>
      </c>
      <c r="P18" s="189">
        <f>Q18/Q$38</f>
        <v>0.0</v>
      </c>
      <c r="Q18" s="216">
        <f>0</f>
        <v>0.0</v>
      </c>
      <c r="R18" s="189">
        <f>S18/S$38</f>
        <v>0.0</v>
      </c>
      <c r="S18" s="215">
        <f>U18*'Data Komponen'!$D$4</f>
        <v>0.0</v>
      </c>
      <c r="T18" s="189">
        <f>U18/U$38</f>
        <v>0.0</v>
      </c>
      <c r="U18" s="216">
        <f>0</f>
        <v>0.0</v>
      </c>
    </row>
    <row r="19">
      <c r="A19" s="163" t="inlineStr">
        <is>
          <t>C₂H₆</t>
        </is>
      </c>
      <c r="B19" s="189">
        <f>C19/C$38</f>
        <v>0.0</v>
      </c>
      <c r="C19" s="215">
        <f>E19*'Data Komponen'!$D$5</f>
        <v>0.0</v>
      </c>
      <c r="D19" s="189">
        <f>E19/E$38</f>
        <v>0.0</v>
      </c>
      <c r="E19" s="216">
        <f>'NME-1 Klorinasi Langsung'!Q23</f>
        <v>0.0</v>
      </c>
      <c r="F19" s="189">
        <f>G19/G$38</f>
        <v>1.6721734324638537e-06</v>
      </c>
      <c r="G19" s="215">
        <f>I19*'Data Komponen'!$D$5</f>
        <v>0.07204235907879274</v>
      </c>
      <c r="H19" s="189">
        <f>I19/I$38</f>
        <v>2.2057162560512053e-06</v>
      </c>
      <c r="I19" s="216">
        <f>'NME-2 Oksiklorinasi'!Q22</f>
        <v>0.00239582171861632</v>
      </c>
      <c r="J19" s="189">
        <f>K19/K$38</f>
        <v>3.696930885761003e-06</v>
      </c>
      <c r="K19" s="215">
        <f>M19*'Data Komponen'!$D$5</f>
        <v>0.07204235907879274</v>
      </c>
      <c r="L19" s="189">
        <f>M19/M$38</f>
        <v>3.5301465087237694e-06</v>
      </c>
      <c r="M19" s="216">
        <f>E19+I19</f>
        <v>0.00239582171861632</v>
      </c>
      <c r="N19" s="189">
        <f>O19/O$38</f>
        <v>0.0</v>
      </c>
      <c r="O19" s="215">
        <f>Q19*'Data Komponen'!$D$5</f>
        <v>0.0</v>
      </c>
      <c r="P19" s="189">
        <f>Q19/Q$38</f>
        <v>0.0</v>
      </c>
      <c r="Q19" s="216">
        <f>0</f>
        <v>0.0</v>
      </c>
      <c r="R19" s="189">
        <f>S19/S$38</f>
        <v>0.0</v>
      </c>
      <c r="S19" s="215">
        <f>U19*'Data Komponen'!$D$5</f>
        <v>0.0</v>
      </c>
      <c r="T19" s="189">
        <f>U19/U$38</f>
        <v>0.0</v>
      </c>
      <c r="U19" s="216">
        <f>0</f>
        <v>0.0</v>
      </c>
    </row>
    <row r="20">
      <c r="A20" s="163" t="inlineStr">
        <is>
          <t>C₂H₂</t>
        </is>
      </c>
      <c r="B20" s="189">
        <f>C20/C$38</f>
        <v>0.0</v>
      </c>
      <c r="C20" s="215">
        <f>E20*'Data Komponen'!$D$6</f>
        <v>0.0</v>
      </c>
      <c r="D20" s="189">
        <f>E20/E$38</f>
        <v>0.0</v>
      </c>
      <c r="E20" s="216">
        <f>'NME-1 Klorinasi Langsung'!Q24</f>
        <v>0.0</v>
      </c>
      <c r="F20" s="189">
        <f>G20/G$38</f>
        <v>6.404527868424615e-07</v>
      </c>
      <c r="G20" s="215">
        <f>I20*'Data Komponen'!$D$6</f>
        <v>0.027592669962907983</v>
      </c>
      <c r="H20" s="189">
        <f>I20/I$38</f>
        <v>9.756212476559469e-07</v>
      </c>
      <c r="I20" s="216">
        <f>'NME-2 Oksiklorinasi'!Q23</f>
        <v>0.0010597077334245327</v>
      </c>
      <c r="J20" s="189">
        <f>K20/K$38</f>
        <v>1.4159474385745484e-06</v>
      </c>
      <c r="K20" s="215">
        <f>M20*'Data Komponen'!$D$6</f>
        <v>0.027592669962907983</v>
      </c>
      <c r="L20" s="189">
        <f>M20/M$38</f>
        <v>1.5614365319205478e-06</v>
      </c>
      <c r="M20" s="216">
        <f>E20+I20</f>
        <v>0.0010597077334245327</v>
      </c>
      <c r="N20" s="189">
        <f>O20/O$38</f>
        <v>0.0</v>
      </c>
      <c r="O20" s="215">
        <f>Q20*'Data Komponen'!$D$6</f>
        <v>0.0</v>
      </c>
      <c r="P20" s="189">
        <f>Q20/Q$38</f>
        <v>0.0</v>
      </c>
      <c r="Q20" s="216">
        <f>0</f>
        <v>0.0</v>
      </c>
      <c r="R20" s="189">
        <f>S20/S$38</f>
        <v>0.0</v>
      </c>
      <c r="S20" s="215">
        <f>U20*'Data Komponen'!$D$6</f>
        <v>0.0</v>
      </c>
      <c r="T20" s="189">
        <f>U20/U$38</f>
        <v>0.0</v>
      </c>
      <c r="U20" s="216">
        <f>0</f>
        <v>0.0</v>
      </c>
    </row>
    <row r="21">
      <c r="A21" s="163" t="inlineStr">
        <is>
          <t>Cl₂</t>
        </is>
      </c>
      <c r="B21" s="189">
        <f>C21/C$38</f>
        <v>0.0</v>
      </c>
      <c r="C21" s="215">
        <f>E21*'Data Komponen'!$D$7</f>
        <v>0.0</v>
      </c>
      <c r="D21" s="189">
        <f>E21/E$38</f>
        <v>0.0</v>
      </c>
      <c r="E21" s="216">
        <f>'NME-1 Klorinasi Langsung'!Q25</f>
        <v>0.0</v>
      </c>
      <c r="F21" s="189">
        <f>G21/G$38</f>
        <v>0.005093701934190987</v>
      </c>
      <c r="G21" s="215">
        <f>I21*'Data Komponen'!$D$7</f>
        <v>219.45229882203654</v>
      </c>
      <c r="H21" s="189">
        <f>I21/I$38</f>
        <v>0.002849432802513679</v>
      </c>
      <c r="I21" s="216">
        <f>'NME-2 Oksiklorinasi'!Q24</f>
        <v>3.095018670362267</v>
      </c>
      <c r="J21" s="189">
        <f>K21/K$38</f>
        <v>0.011261429967598937</v>
      </c>
      <c r="K21" s="215">
        <f>M21*'Data Komponen'!$D$7</f>
        <v>219.45229882203654</v>
      </c>
      <c r="L21" s="189">
        <f>M21/M$38</f>
        <v>0.0045603849688466615</v>
      </c>
      <c r="M21" s="216">
        <f>E21+I21</f>
        <v>3.095018670362267</v>
      </c>
      <c r="N21" s="189">
        <f>O21/O$38</f>
        <v>0.0</v>
      </c>
      <c r="O21" s="215">
        <f>Q21*'Data Komponen'!$D$7</f>
        <v>0.0</v>
      </c>
      <c r="P21" s="189">
        <f>Q21/Q$38</f>
        <v>0.0</v>
      </c>
      <c r="Q21" s="216">
        <f>0</f>
        <v>0.0</v>
      </c>
      <c r="R21" s="189">
        <f>S21/S$38</f>
        <v>0.0</v>
      </c>
      <c r="S21" s="215">
        <f>U21*'Data Komponen'!$D$7</f>
        <v>0.0</v>
      </c>
      <c r="T21" s="189">
        <f>U21/U$38</f>
        <v>0.0</v>
      </c>
      <c r="U21" s="216">
        <f>0</f>
        <v>0.0</v>
      </c>
    </row>
    <row r="22">
      <c r="A22" s="163" t="inlineStr">
        <is>
          <t>CₙHₘ</t>
        </is>
      </c>
      <c r="B22" s="189">
        <f>C22/C$38</f>
        <v>0.0</v>
      </c>
      <c r="C22" s="215">
        <f>E22*'Data Komponen'!$D$8</f>
        <v>0.0</v>
      </c>
      <c r="D22" s="189">
        <f>E22/E$38</f>
        <v>0.0</v>
      </c>
      <c r="E22" s="216">
        <f>'NME-1 Klorinasi Langsung'!Q26</f>
        <v>0.0</v>
      </c>
      <c r="F22" s="189">
        <f>G22/G$38</f>
        <v>0.0</v>
      </c>
      <c r="G22" s="215">
        <f>I22*'Data Komponen'!$D$8</f>
        <v>0.0</v>
      </c>
      <c r="H22" s="189">
        <f>I22/I$38</f>
        <v>0.0</v>
      </c>
      <c r="I22" s="216">
        <f>'NME-2 Oksiklorinasi'!Q25</f>
        <v>0.0</v>
      </c>
      <c r="J22" s="189">
        <f>K22/K$38</f>
        <v>0.0</v>
      </c>
      <c r="K22" s="215">
        <f>M22*'Data Komponen'!$D$8</f>
        <v>0.0</v>
      </c>
      <c r="L22" s="189">
        <f>M22/M$38</f>
        <v>0.0</v>
      </c>
      <c r="M22" s="216">
        <f>E22+I22</f>
        <v>0.0</v>
      </c>
      <c r="N22" s="189">
        <f>O22/O$38</f>
        <v>0.0</v>
      </c>
      <c r="O22" s="215">
        <f>Q22*'Data Komponen'!$D$8</f>
        <v>0.0</v>
      </c>
      <c r="P22" s="189">
        <f>Q22/Q$38</f>
        <v>0.0</v>
      </c>
      <c r="Q22" s="216">
        <f>0</f>
        <v>0.0</v>
      </c>
      <c r="R22" s="189">
        <f>S22/S$38</f>
        <v>0.0</v>
      </c>
      <c r="S22" s="215">
        <f>U22*'Data Komponen'!$D$8</f>
        <v>0.0</v>
      </c>
      <c r="T22" s="189">
        <f>U22/U$38</f>
        <v>0.0</v>
      </c>
      <c r="U22" s="216">
        <f>0</f>
        <v>0.0</v>
      </c>
    </row>
    <row r="23">
      <c r="A23" s="163" t="inlineStr">
        <is>
          <t>H₂O</t>
        </is>
      </c>
      <c r="B23" s="189">
        <f>C23/C$38</f>
        <v>8.628902591260031e-06</v>
      </c>
      <c r="C23" s="215">
        <f>E23*'Data Komponen'!$D$9</f>
        <v>0.18452558254293175</v>
      </c>
      <c r="D23" s="189">
        <f>E23/E$38</f>
        <v>4.740655339016245e-05</v>
      </c>
      <c r="E23" s="216">
        <f>'NME-1 Klorinasi Langsung'!Q27</f>
        <v>0.010242885514456384</v>
      </c>
      <c r="F23" s="189">
        <f>G23/G$38</f>
        <v>0.08430381082070455</v>
      </c>
      <c r="G23" s="215">
        <f>I23*'Data Komponen'!$D$9</f>
        <v>3632.0666821664117</v>
      </c>
      <c r="H23" s="189">
        <f>I23/I$38</f>
        <v>0.18561569386629198</v>
      </c>
      <c r="I23" s="216">
        <f>'NME-2 Oksiklorinasi'!Q26</f>
        <v>201.61347111664787</v>
      </c>
      <c r="J23" s="189">
        <f>K23/K$38</f>
        <v>0.0</v>
      </c>
      <c r="K23" s="215">
        <f>M23*'Data Komponen'!$D$9</f>
        <v>0.0</v>
      </c>
      <c r="L23" s="189">
        <f>M23/M$38</f>
        <v>0.0</v>
      </c>
      <c r="M23" s="216">
        <f>0</f>
        <v>0.0</v>
      </c>
      <c r="N23" s="189">
        <f>O23/O$38</f>
        <v>0.9429768219206417</v>
      </c>
      <c r="O23" s="215">
        <f>Q23*'Data Komponen'!$D$9</f>
        <v>3549.818993766917</v>
      </c>
      <c r="P23" s="189">
        <f>Q23/Q$38</f>
        <v>0.971662003801475</v>
      </c>
      <c r="Q23" s="216">
        <f>E23+I23-U23</f>
        <v>197.04795968731017</v>
      </c>
      <c r="R23" s="189">
        <f>S23/S$38</f>
        <v>0.002000000000000038</v>
      </c>
      <c r="S23" s="215">
        <f>U23*'Data Komponen'!$D$9</f>
        <v>82.43221398205901</v>
      </c>
      <c r="T23" s="189">
        <f>U23/U$38</f>
        <v>0.010874386231391371</v>
      </c>
      <c r="U23" s="216">
        <f>$B$8/(1-$B$8)*(S31+S32+S25+S26+S35+S37+S34)/'Data Komponen'!$D$9</f>
        <v>4.575754314852013</v>
      </c>
    </row>
    <row r="24">
      <c r="A24" s="163" t="inlineStr">
        <is>
          <t>CₓHᵧCl</t>
        </is>
      </c>
      <c r="B24" s="189">
        <f>C24/C$38</f>
        <v>0.0</v>
      </c>
      <c r="C24" s="215">
        <f>E24*'Data Komponen'!$D$10</f>
        <v>0.0</v>
      </c>
      <c r="D24" s="189">
        <f>E24/E$38</f>
        <v>0.0</v>
      </c>
      <c r="E24" s="216">
        <f>'NME-1 Klorinasi Langsung'!Q28</f>
        <v>0.0</v>
      </c>
      <c r="F24" s="189">
        <f>G24/G$38</f>
        <v>0.0</v>
      </c>
      <c r="G24" s="215">
        <f>I24*'Data Komponen'!$D$10</f>
        <v>0.0</v>
      </c>
      <c r="H24" s="189">
        <f>I24/I$38</f>
        <v>0.0</v>
      </c>
      <c r="I24" s="216">
        <f>'NME-2 Oksiklorinasi'!Q27</f>
        <v>0.0</v>
      </c>
      <c r="J24" s="189">
        <f>K24/K$38</f>
        <v>0.0</v>
      </c>
      <c r="K24" s="215">
        <f>M24*'Data Komponen'!$D$10</f>
        <v>0.0</v>
      </c>
      <c r="L24" s="189">
        <f>M24/M$38</f>
        <v>0.0</v>
      </c>
      <c r="M24" s="216">
        <f>E24+I24</f>
        <v>0.0</v>
      </c>
      <c r="N24" s="189">
        <f>O24/O$38</f>
        <v>0.0</v>
      </c>
      <c r="O24" s="215">
        <f>Q24*'Data Komponen'!$D$10</f>
        <v>0.0</v>
      </c>
      <c r="P24" s="189">
        <f>Q24/Q$38</f>
        <v>0.0</v>
      </c>
      <c r="Q24" s="216">
        <f>0</f>
        <v>0.0</v>
      </c>
      <c r="R24" s="189">
        <f>S24/S$38</f>
        <v>0.0</v>
      </c>
      <c r="S24" s="215">
        <f>U24*'Data Komponen'!$D$10</f>
        <v>0.0</v>
      </c>
      <c r="T24" s="189">
        <f>U24/U$38</f>
        <v>0.0</v>
      </c>
      <c r="U24" s="216">
        <f>0</f>
        <v>0.0</v>
      </c>
    </row>
    <row r="25">
      <c r="A25" s="163" t="inlineStr">
        <is>
          <t>Br₂</t>
        </is>
      </c>
      <c r="B25" s="189">
        <f>C25/C$38</f>
        <v>6.471676943445024e-05</v>
      </c>
      <c r="C25" s="215">
        <f>E25*'Data Komponen'!$D$11</f>
        <v>1.3839418690719882</v>
      </c>
      <c r="D25" s="189">
        <f>E25/E$38</f>
        <v>4.0080709006609956e-05</v>
      </c>
      <c r="E25" s="216">
        <f>'NME-1 Klorinasi Langsung'!Q29</f>
        <v>0.008660028716159318</v>
      </c>
      <c r="F25" s="189">
        <f>G25/G$38</f>
        <v>0.0</v>
      </c>
      <c r="G25" s="215">
        <f>I25*'Data Komponen'!$D$11</f>
        <v>0.0</v>
      </c>
      <c r="H25" s="189">
        <f>I25/I$38</f>
        <v>0.0</v>
      </c>
      <c r="I25" s="216">
        <f>'NME-2 Oksiklorinasi'!Q28</f>
        <v>0.0</v>
      </c>
      <c r="J25" s="189">
        <f>K25/K$38</f>
        <v>0.0</v>
      </c>
      <c r="K25" s="215">
        <f>M25*'Data Komponen'!$D$11</f>
        <v>0.0</v>
      </c>
      <c r="L25" s="189">
        <f>M25/M$38</f>
        <v>0.0</v>
      </c>
      <c r="M25" s="216">
        <f>0</f>
        <v>0.0</v>
      </c>
      <c r="N25" s="189">
        <f>O25/O$38</f>
        <v>0.0</v>
      </c>
      <c r="O25" s="215">
        <f>Q25*'Data Komponen'!$D$11</f>
        <v>0.0</v>
      </c>
      <c r="P25" s="189">
        <f>Q25/Q$38</f>
        <v>0.0</v>
      </c>
      <c r="Q25" s="216">
        <f>0</f>
        <v>0.0</v>
      </c>
      <c r="R25" s="189">
        <f>S25/S$38</f>
        <v>3.357769498641008e-05</v>
      </c>
      <c r="S25" s="215">
        <f>U25*'Data Komponen'!$D$11</f>
        <v>1.3839418690720067</v>
      </c>
      <c r="T25" s="189">
        <f>U25/U$38</f>
        <v>2.0580759051855356e-05</v>
      </c>
      <c r="U25" s="216">
        <f>E25+I25</f>
        <v>0.008660028716159318</v>
      </c>
    </row>
    <row r="26">
      <c r="A26" s="163" t="inlineStr">
        <is>
          <t>NCl₃</t>
        </is>
      </c>
      <c r="B26" s="189">
        <f>C26/C$38</f>
        <v>3.5953760796916804e-06</v>
      </c>
      <c r="C26" s="215">
        <f>E26*'Data Komponen'!$D$12</f>
        <v>0.07688565939288824</v>
      </c>
      <c r="D26" s="189">
        <f>E26/E$38</f>
        <v>2.956386336434237e-06</v>
      </c>
      <c r="E26" s="216">
        <f>'NME-1 Klorinasi Langsung'!Q30</f>
        <v>0.0006387709001195385</v>
      </c>
      <c r="F26" s="189">
        <f>G26/G$38</f>
        <v>0.0</v>
      </c>
      <c r="G26" s="215">
        <f>I26*'Data Komponen'!$D$12</f>
        <v>0.0</v>
      </c>
      <c r="H26" s="189">
        <f>I26/I$38</f>
        <v>0.0</v>
      </c>
      <c r="I26" s="216">
        <f>'NME-2 Oksiklorinasi'!Q29</f>
        <v>0.0</v>
      </c>
      <c r="J26" s="189">
        <f>K26/K$38</f>
        <v>0.0</v>
      </c>
      <c r="K26" s="215">
        <f>M26*'Data Komponen'!$D$12</f>
        <v>0.0</v>
      </c>
      <c r="L26" s="189">
        <f>M26/M$38</f>
        <v>0.0</v>
      </c>
      <c r="M26" s="216">
        <f>0</f>
        <v>0.0</v>
      </c>
      <c r="N26" s="189">
        <f>O26/O$38</f>
        <v>0.0</v>
      </c>
      <c r="O26" s="215">
        <f>Q26*'Data Komponen'!$D$12</f>
        <v>0.0</v>
      </c>
      <c r="P26" s="189">
        <f>Q26/Q$38</f>
        <v>0.0</v>
      </c>
      <c r="Q26" s="216">
        <f>0</f>
        <v>0.0</v>
      </c>
      <c r="R26" s="189">
        <f>S26/S$38</f>
        <v>1.8654274992450054e-06</v>
      </c>
      <c r="S26" s="215">
        <f>U26*'Data Komponen'!$D$12</f>
        <v>0.07688565939288929</v>
      </c>
      <c r="T26" s="189">
        <f>U26/U$38</f>
        <v>1.518053855891525e-06</v>
      </c>
      <c r="U26" s="216">
        <f>E26+I26</f>
        <v>0.0006387709001195385</v>
      </c>
    </row>
    <row r="27">
      <c r="A27" s="163" t="inlineStr">
        <is>
          <t>H₂</t>
        </is>
      </c>
      <c r="B27" s="189">
        <f>C27/C$38</f>
        <v>0.0</v>
      </c>
      <c r="C27" s="215">
        <f>E27*'Data Komponen'!$D$13</f>
        <v>0.0</v>
      </c>
      <c r="D27" s="189">
        <f>E27/E$38</f>
        <v>0.0</v>
      </c>
      <c r="E27" s="216">
        <f>'NME-1 Klorinasi Langsung'!Q31</f>
        <v>0.0</v>
      </c>
      <c r="F27" s="189">
        <f>G27/G$38</f>
        <v>0.0</v>
      </c>
      <c r="G27" s="215">
        <f>I27*'Data Komponen'!$D$13</f>
        <v>0.0</v>
      </c>
      <c r="H27" s="189">
        <f>I27/I$38</f>
        <v>0.0</v>
      </c>
      <c r="I27" s="216">
        <f>'NME-2 Oksiklorinasi'!Q30</f>
        <v>0.0</v>
      </c>
      <c r="J27" s="189">
        <f>K27/K$38</f>
        <v>0.0</v>
      </c>
      <c r="K27" s="215">
        <f>M27*'Data Komponen'!$D$13</f>
        <v>0.0</v>
      </c>
      <c r="L27" s="189">
        <f>M27/M$38</f>
        <v>0.0</v>
      </c>
      <c r="M27" s="216">
        <f>E27+I27</f>
        <v>0.0</v>
      </c>
      <c r="N27" s="189">
        <f>O27/O$38</f>
        <v>0.0</v>
      </c>
      <c r="O27" s="215">
        <f>Q27*'Data Komponen'!$D$13</f>
        <v>0.0</v>
      </c>
      <c r="P27" s="189">
        <f>Q27/Q$38</f>
        <v>0.0</v>
      </c>
      <c r="Q27" s="216">
        <f>0</f>
        <v>0.0</v>
      </c>
      <c r="R27" s="189">
        <f>S27/S$38</f>
        <v>0.0</v>
      </c>
      <c r="S27" s="215">
        <f>U27*'Data Komponen'!$D$13</f>
        <v>0.0</v>
      </c>
      <c r="T27" s="189">
        <f>U27/U$38</f>
        <v>0.0</v>
      </c>
      <c r="U27" s="216">
        <f>0</f>
        <v>0.0</v>
      </c>
    </row>
    <row r="28">
      <c r="A28" s="163" t="inlineStr">
        <is>
          <t>O₂</t>
        </is>
      </c>
      <c r="B28" s="189">
        <f>C28/C$38</f>
        <v>0.0</v>
      </c>
      <c r="C28" s="215">
        <f>E28*'Data Komponen'!$D$14</f>
        <v>0.0</v>
      </c>
      <c r="D28" s="189">
        <f>E28/E$38</f>
        <v>0.0</v>
      </c>
      <c r="E28" s="216">
        <f>'NME-1 Klorinasi Langsung'!Q32</f>
        <v>0.0</v>
      </c>
      <c r="F28" s="189">
        <f>G28/G$38</f>
        <v>0.04437976567916967</v>
      </c>
      <c r="G28" s="215">
        <f>I28*'Data Komponen'!$D$14</f>
        <v>1912.016393048713</v>
      </c>
      <c r="H28" s="189">
        <f>I28/I$38</f>
        <v>0.055011102819226644</v>
      </c>
      <c r="I28" s="216">
        <f>'NME-2 Oksiklorinasi'!Q31</f>
        <v>59.75237954463306</v>
      </c>
      <c r="J28" s="189">
        <f>K28/K$38</f>
        <v>0.09811717089680831</v>
      </c>
      <c r="K28" s="215">
        <f>M28*'Data Komponen'!$D$14</f>
        <v>1912.016393048713</v>
      </c>
      <c r="L28" s="189">
        <f>M28/M$38</f>
        <v>0.08804271720153156</v>
      </c>
      <c r="M28" s="216">
        <f>E28+I28</f>
        <v>59.75237954463306</v>
      </c>
      <c r="N28" s="189">
        <f>O28/O$38</f>
        <v>0.0</v>
      </c>
      <c r="O28" s="215">
        <f>Q28*'Data Komponen'!$D$14</f>
        <v>0.0</v>
      </c>
      <c r="P28" s="189">
        <f>Q28/Q$38</f>
        <v>0.0</v>
      </c>
      <c r="Q28" s="216">
        <f>0</f>
        <v>0.0</v>
      </c>
      <c r="R28" s="189">
        <f>S28/S$38</f>
        <v>0.0</v>
      </c>
      <c r="S28" s="215">
        <f>U28*'Data Komponen'!$D$14</f>
        <v>0.0</v>
      </c>
      <c r="T28" s="189">
        <f>U28/U$38</f>
        <v>0.0</v>
      </c>
      <c r="U28" s="216">
        <f>0</f>
        <v>0.0</v>
      </c>
    </row>
    <row r="29">
      <c r="A29" s="163" t="inlineStr">
        <is>
          <t>N₂</t>
        </is>
      </c>
      <c r="B29" s="189">
        <f>C29/C$38</f>
        <v>0.0</v>
      </c>
      <c r="C29" s="215">
        <f>E29*'Data Komponen'!$D$15</f>
        <v>0.0</v>
      </c>
      <c r="D29" s="189">
        <f>E29/E$38</f>
        <v>0.0</v>
      </c>
      <c r="E29" s="216">
        <f>'NME-1 Klorinasi Langsung'!Q33</f>
        <v>0.0</v>
      </c>
      <c r="F29" s="189">
        <f>G29/G$38</f>
        <v>0.3977170192917264</v>
      </c>
      <c r="G29" s="215">
        <f>I29*'Data Komponen'!$D$15</f>
        <v>17134.868763788385</v>
      </c>
      <c r="H29" s="189">
        <f>I29/I$38</f>
        <v>0.5631198085804939</v>
      </c>
      <c r="I29" s="216">
        <f>'NME-2 Oksiklorinasi'!Q32</f>
        <v>611.6537718208176</v>
      </c>
      <c r="J29" s="189">
        <f>K29/K$38</f>
        <v>0.8792941592463505</v>
      </c>
      <c r="K29" s="215">
        <f>M29*'Data Komponen'!$D$15</f>
        <v>17134.868763788385</v>
      </c>
      <c r="L29" s="189">
        <f>M29/M$38</f>
        <v>0.9012471213375686</v>
      </c>
      <c r="M29" s="216">
        <f>E29+I29</f>
        <v>611.6537718208176</v>
      </c>
      <c r="N29" s="189">
        <f>O29/O$38</f>
        <v>0.0</v>
      </c>
      <c r="O29" s="215">
        <f>Q29*'Data Komponen'!$D$15</f>
        <v>0.0</v>
      </c>
      <c r="P29" s="189">
        <f>Q29/Q$38</f>
        <v>0.0</v>
      </c>
      <c r="Q29" s="216">
        <f>0</f>
        <v>0.0</v>
      </c>
      <c r="R29" s="189">
        <f>S29/S$38</f>
        <v>0.0</v>
      </c>
      <c r="S29" s="215">
        <f>U29*'Data Komponen'!$D$15</f>
        <v>0.0</v>
      </c>
      <c r="T29" s="189">
        <f>U29/U$38</f>
        <v>0.0</v>
      </c>
      <c r="U29" s="216">
        <f>0</f>
        <v>0.0</v>
      </c>
    </row>
    <row r="30">
      <c r="A30" s="163" t="inlineStr">
        <is>
          <t>CO₂</t>
        </is>
      </c>
      <c r="B30" s="189">
        <f>C30/C$38</f>
        <v>0.0</v>
      </c>
      <c r="C30" s="215">
        <f>E30*'Data Komponen'!$D$16</f>
        <v>0.0</v>
      </c>
      <c r="D30" s="189">
        <f>E30/E$38</f>
        <v>0.0</v>
      </c>
      <c r="E30" s="216">
        <f>'NME-1 Klorinasi Langsung'!Q34</f>
        <v>0.0</v>
      </c>
      <c r="F30" s="189">
        <f>G30/G$38</f>
        <v>0.0020761208817006356</v>
      </c>
      <c r="G30" s="215">
        <f>I30*'Data Komponen'!$D$16</f>
        <v>89.44565386981179</v>
      </c>
      <c r="H30" s="189">
        <f>I30/I$38</f>
        <v>0.0018711259462415668</v>
      </c>
      <c r="I30" s="216">
        <f>'NME-2 Oksiklorinasi'!Q33</f>
        <v>2.0323938620725244</v>
      </c>
      <c r="J30" s="189">
        <f>K30/K$38</f>
        <v>0.00458999961434823</v>
      </c>
      <c r="K30" s="215">
        <f>M30*'Data Komponen'!$D$16</f>
        <v>89.44565386981179</v>
      </c>
      <c r="L30" s="189">
        <f>M30/M$38</f>
        <v>0.0029946502449650463</v>
      </c>
      <c r="M30" s="216">
        <f>E30+I30</f>
        <v>2.0323938620725244</v>
      </c>
      <c r="N30" s="189">
        <f>O30/O$38</f>
        <v>0.0</v>
      </c>
      <c r="O30" s="215">
        <f>Q30*'Data Komponen'!$D$16</f>
        <v>0.0</v>
      </c>
      <c r="P30" s="189">
        <f>Q30/Q$38</f>
        <v>0.0</v>
      </c>
      <c r="Q30" s="216">
        <f>0</f>
        <v>0.0</v>
      </c>
      <c r="R30" s="189">
        <f>S30/S$38</f>
        <v>0.0</v>
      </c>
      <c r="S30" s="215">
        <f>U30*'Data Komponen'!$D$16</f>
        <v>0.0</v>
      </c>
      <c r="T30" s="189">
        <f>U30/U$38</f>
        <v>0.0</v>
      </c>
      <c r="U30" s="216">
        <f>0</f>
        <v>0.0</v>
      </c>
    </row>
    <row r="31">
      <c r="A31" s="163" t="inlineStr">
        <is>
          <t>EDC</t>
        </is>
      </c>
      <c r="B31" s="189">
        <f>C31/C$38</f>
        <v>0.9994221026161209</v>
      </c>
      <c r="C31" s="215">
        <f>E31*'Data Komponen'!$D$17</f>
        <v>21372.236358110484</v>
      </c>
      <c r="D31" s="189">
        <f>E31/E$38</f>
        <v>0.9995642931667662</v>
      </c>
      <c r="E31" s="216">
        <f>'NME-1 Klorinasi Langsung'!Q35</f>
        <v>215.97061771148134</v>
      </c>
      <c r="F31" s="189">
        <f>G31/G$38</f>
        <v>0.4584247468695122</v>
      </c>
      <c r="G31" s="215">
        <f>I31*'Data Komponen'!$D$17</f>
        <v>19750.34382403511</v>
      </c>
      <c r="H31" s="189">
        <f>I31/I$38</f>
        <v>0.18374456792004656</v>
      </c>
      <c r="I31" s="216">
        <f>'NME-2 Oksiklorinasi'!Q34</f>
        <v>199.58107725457117</v>
      </c>
      <c r="J31" s="189">
        <f>K31/K$38</f>
        <v>0.005070073965275735</v>
      </c>
      <c r="K31" s="215">
        <f>M31*'Data Komponen'!$D$17</f>
        <v>98.80089740634826</v>
      </c>
      <c r="L31" s="189">
        <f>M31/M$38</f>
        <v>0.001471105515117914</v>
      </c>
      <c r="M31" s="216">
        <f>$B$7*('NME-1 Klorinasi Langsung'!Q35+'NME-1 Klorinasi Langsung'!U35+'NME-2 Oksiklorinasi'!Q34)</f>
        <v>0.9984023424483701</v>
      </c>
      <c r="N31" s="189">
        <f>O31/O$38</f>
        <v>0.0008000000000000011</v>
      </c>
      <c r="O31" s="215">
        <f>Q31*'Data Komponen'!$D$17</f>
        <v>3.011585363497441</v>
      </c>
      <c r="P31" s="189">
        <f>Q31/Q$38</f>
        <v>0.00015006629407441775</v>
      </c>
      <c r="Q31" s="216">
        <f>$B$9/(1-$B$9)*(O33+O23+O34)/'Data Komponen'!$D$17</f>
        <v>0.030432657600596623</v>
      </c>
      <c r="R31" s="189">
        <f>S31/S$38</f>
        <v>0.9952606079051753</v>
      </c>
      <c r="S31" s="215">
        <f>U31*'Data Komponen'!$D$17</f>
        <v>41020.76769937599</v>
      </c>
      <c r="T31" s="189">
        <f>U31/U$38</f>
        <v>0.9851231886249269</v>
      </c>
      <c r="U31" s="216">
        <f>E31+I31-M31-Q31</f>
        <v>414.5228599660036</v>
      </c>
    </row>
    <row r="32">
      <c r="A32" s="163" t="inlineStr">
        <is>
          <t>TCE</t>
        </is>
      </c>
      <c r="B32" s="189">
        <f>C32/C$38</f>
        <v>0.00030054051864049906</v>
      </c>
      <c r="C32" s="215">
        <f>E32*'Data Komponen'!$D$18</f>
        <v>6.426937109715917</v>
      </c>
      <c r="D32" s="189">
        <f>E32/E$38</f>
        <v>0.00022297415009785954</v>
      </c>
      <c r="E32" s="216">
        <f>'NME-1 Klorinasi Langsung'!Q36</f>
        <v>0.04817685591565345</v>
      </c>
      <c r="F32" s="189">
        <f>G32/G$38</f>
        <v>0.0</v>
      </c>
      <c r="G32" s="215">
        <f>I32*'Data Komponen'!$D$18</f>
        <v>0.0</v>
      </c>
      <c r="H32" s="189">
        <f>I32/I$38</f>
        <v>0.0</v>
      </c>
      <c r="I32" s="216">
        <f>'NME-2 Oksiklorinasi'!Q35</f>
        <v>0.0</v>
      </c>
      <c r="J32" s="189">
        <f>K32/K$38</f>
        <v>0.0</v>
      </c>
      <c r="K32" s="215">
        <f>M32*'Data Komponen'!$D$18</f>
        <v>0.0</v>
      </c>
      <c r="L32" s="189">
        <f>M32/M$38</f>
        <v>0.0</v>
      </c>
      <c r="M32" s="216">
        <f>0</f>
        <v>0.0</v>
      </c>
      <c r="N32" s="189">
        <f>O32/O$38</f>
        <v>0.0</v>
      </c>
      <c r="O32" s="215">
        <f>Q32*'Data Komponen'!$D$18</f>
        <v>0.0</v>
      </c>
      <c r="P32" s="189">
        <f>Q32/Q$38</f>
        <v>0.0</v>
      </c>
      <c r="Q32" s="216">
        <f>0</f>
        <v>0.0</v>
      </c>
      <c r="R32" s="189">
        <f>S32/S$38</f>
        <v>0.00015593265785909292</v>
      </c>
      <c r="S32" s="215">
        <f>U32*'Data Komponen'!$D$18</f>
        <v>6.426937109715849</v>
      </c>
      <c r="T32" s="189">
        <f>U32/U$38</f>
        <v>0.00011449341520379496</v>
      </c>
      <c r="U32" s="216">
        <f>E32+I32</f>
        <v>0.04817685591565345</v>
      </c>
    </row>
    <row r="33">
      <c r="A33" s="163" t="inlineStr">
        <is>
          <t>HCl</t>
        </is>
      </c>
      <c r="B33" s="189">
        <f>C33/C$38</f>
        <v>0.0</v>
      </c>
      <c r="C33" s="215">
        <f>E33*'Data Komponen'!$D$19</f>
        <v>0.0</v>
      </c>
      <c r="D33" s="189">
        <f>E33/E$38</f>
        <v>0.0</v>
      </c>
      <c r="E33" s="216">
        <f>'NME-1 Klorinasi Langsung'!Q37</f>
        <v>0.0</v>
      </c>
      <c r="F33" s="189">
        <f>G33/G$38</f>
        <v>0.004816015489854791</v>
      </c>
      <c r="G33" s="215">
        <f>I33*'Data Komponen'!$D$19</f>
        <v>207.48871529308113</v>
      </c>
      <c r="H33" s="189">
        <f>I33/I$38</f>
        <v>0.005239152649451326</v>
      </c>
      <c r="I33" s="216">
        <f>'NME-2 Oksiklorinasi'!Q36</f>
        <v>5.690702813775847</v>
      </c>
      <c r="J33" s="189">
        <f>K33/K$38</f>
        <v>0.0</v>
      </c>
      <c r="K33" s="215">
        <f>M33*'Data Komponen'!$D$19</f>
        <v>0.0</v>
      </c>
      <c r="L33" s="189">
        <f>M33/M$38</f>
        <v>0.0</v>
      </c>
      <c r="M33" s="216">
        <f>0</f>
        <v>0.0</v>
      </c>
      <c r="N33" s="189">
        <f>O33/O$38</f>
        <v>0.05511747209506241</v>
      </c>
      <c r="O33" s="215">
        <f>Q33*'Data Komponen'!$D$19</f>
        <v>207.48871529308545</v>
      </c>
      <c r="P33" s="189">
        <f>Q33/Q$38</f>
        <v>0.02806139027192488</v>
      </c>
      <c r="Q33" s="216">
        <f>E33+I33</f>
        <v>5.690702813775847</v>
      </c>
      <c r="R33" s="189">
        <f>S33/S$38</f>
        <v>0.0</v>
      </c>
      <c r="S33" s="215">
        <f>U33*'Data Komponen'!$D$19</f>
        <v>0.0</v>
      </c>
      <c r="T33" s="189">
        <f>U33/U$38</f>
        <v>0.0</v>
      </c>
      <c r="U33" s="216">
        <f>0</f>
        <v>0.0</v>
      </c>
    </row>
    <row r="34">
      <c r="A34" s="163" t="inlineStr">
        <is>
          <t>FeCl₃</t>
        </is>
      </c>
      <c r="B34" s="189">
        <f>C34/C$38</f>
        <v>0.00020041581713338045</v>
      </c>
      <c r="C34" s="215">
        <f>E34*'Data Komponen'!$D$20</f>
        <v>4.2858109726273375</v>
      </c>
      <c r="D34" s="189">
        <f>E34/E$38</f>
        <v>0.00012228903440276572</v>
      </c>
      <c r="E34" s="216">
        <f>'NME-1 Klorinasi Langsung'!Q38</f>
        <v>0.02642235069805515</v>
      </c>
      <c r="F34" s="189">
        <f>G34/G$38</f>
        <v>0.0</v>
      </c>
      <c r="G34" s="215">
        <f>I34*'Data Komponen'!$D$20</f>
        <v>0.0</v>
      </c>
      <c r="H34" s="189">
        <f>I34/I$38</f>
        <v>0.0</v>
      </c>
      <c r="I34" s="216">
        <f>'NME-2 Oksiklorinasi'!Q37</f>
        <v>0.0</v>
      </c>
      <c r="J34" s="189">
        <f>K34/K$38</f>
        <v>0.0</v>
      </c>
      <c r="K34" s="215">
        <f>M34*'Data Komponen'!$D$20</f>
        <v>0.0</v>
      </c>
      <c r="L34" s="189">
        <f>M34/M$38</f>
        <v>0.0</v>
      </c>
      <c r="M34" s="216">
        <f>0</f>
        <v>0.0</v>
      </c>
      <c r="N34" s="189">
        <f>O34/O$38</f>
        <v>0.0011057059842958525</v>
      </c>
      <c r="O34" s="215">
        <f>Q34*'Data Komponen'!$D$20</f>
        <v>4.162409948296146</v>
      </c>
      <c r="P34" s="189">
        <f>Q34/Q$38</f>
        <v>0.00012653963252558595</v>
      </c>
      <c r="Q34" s="216">
        <f>E34+I34-U34</f>
        <v>0.025661573995069138</v>
      </c>
      <c r="R34" s="189">
        <f>S34/S$38</f>
        <v>2.9940000000000716e-06</v>
      </c>
      <c r="S34" s="215">
        <f>U34*'Data Komponen'!$D$20</f>
        <v>0.12340102433114294</v>
      </c>
      <c r="T34" s="189">
        <f>U34/U$38</f>
        <v>1.8080034754623346e-06</v>
      </c>
      <c r="U34" s="216">
        <f>$B$6/(1-$B$6)*(S31+S32+S25+S26+S35+S37)/'Data Komponen'!$D$20</f>
        <v>0.0007607767029859938</v>
      </c>
    </row>
    <row r="35">
      <c r="A35" s="163" t="inlineStr">
        <is>
          <t>C₂H₅Cl</t>
        </is>
      </c>
      <c r="B35" s="189">
        <f>C35/C$38</f>
        <v>0.0</v>
      </c>
      <c r="C35" s="215">
        <f>E35*'Data Komponen'!$D$21</f>
        <v>0.0</v>
      </c>
      <c r="D35" s="189">
        <f>E35/E$38</f>
        <v>0.0</v>
      </c>
      <c r="E35" s="216">
        <f>'NME-1 Klorinasi Langsung'!Q39</f>
        <v>0.0</v>
      </c>
      <c r="F35" s="189">
        <f>G35/G$38</f>
        <v>0.0024347364450186845</v>
      </c>
      <c r="G35" s="215">
        <f>I35*'Data Komponen'!$D$21</f>
        <v>104.89591200824856</v>
      </c>
      <c r="H35" s="189">
        <f>I35/I$38</f>
        <v>0.0014969007569784326</v>
      </c>
      <c r="I35" s="216">
        <f>'NME-2 Oksiklorinasi'!Q38</f>
        <v>1.6259150896419214</v>
      </c>
      <c r="J35" s="189">
        <f>K35/K$38</f>
        <v>0.0</v>
      </c>
      <c r="K35" s="215">
        <f>M35*'Data Komponen'!$D$21</f>
        <v>0.0</v>
      </c>
      <c r="L35" s="189">
        <f>M35/M$38</f>
        <v>0.0</v>
      </c>
      <c r="M35" s="216">
        <f>0</f>
        <v>0.0</v>
      </c>
      <c r="N35" s="189">
        <f>O35/O$38</f>
        <v>0.0</v>
      </c>
      <c r="O35" s="215">
        <f>Q35*'Data Komponen'!$D$21</f>
        <v>0.0</v>
      </c>
      <c r="P35" s="189">
        <f>Q35/Q$38</f>
        <v>0.0</v>
      </c>
      <c r="Q35" s="216">
        <f>0</f>
        <v>0.0</v>
      </c>
      <c r="R35" s="189">
        <f>S35/S$38</f>
        <v>0.0025450223144799352</v>
      </c>
      <c r="S35" s="215">
        <f>U35*'Data Komponen'!$D$21</f>
        <v>104.89591200816055</v>
      </c>
      <c r="T35" s="189">
        <f>U35/U$38</f>
        <v>0.0038640249120948274</v>
      </c>
      <c r="U35" s="216">
        <f>E35+I35</f>
        <v>1.6259150896419214</v>
      </c>
    </row>
    <row r="36">
      <c r="A36" s="163" t="inlineStr">
        <is>
          <t>VCM</t>
        </is>
      </c>
      <c r="B36" s="189">
        <f>C36/C$38</f>
        <v>0.0</v>
      </c>
      <c r="C36" s="215">
        <f>E36*'Data Komponen'!$D$22</f>
        <v>0.0</v>
      </c>
      <c r="D36" s="189">
        <f>E36/E$38</f>
        <v>0.0</v>
      </c>
      <c r="E36" s="216">
        <f>'NME-1 Klorinasi Langsung'!Q40</f>
        <v>0.0</v>
      </c>
      <c r="F36" s="189">
        <f>G36/G$38</f>
        <v>5.942033593414406e-05</v>
      </c>
      <c r="G36" s="215">
        <f>I36*'Data Komponen'!$D$22</f>
        <v>2.56001028053807</v>
      </c>
      <c r="H36" s="189">
        <f>I36/I$38</f>
        <v>3.7711233328236e-05</v>
      </c>
      <c r="I36" s="216">
        <f>'NME-2 Oksiklorinasi'!Q39</f>
        <v>0.0409614752558173</v>
      </c>
      <c r="J36" s="189">
        <f>K36/K$38</f>
        <v>0.00013136967188478524</v>
      </c>
      <c r="K36" s="215">
        <f>M36*'Data Komponen'!$D$22</f>
        <v>2.56001028053807</v>
      </c>
      <c r="L36" s="189">
        <f>M36/M$38</f>
        <v>6.0355078903788655e-05</v>
      </c>
      <c r="M36" s="216">
        <f>E36+I36</f>
        <v>0.0409614752558173</v>
      </c>
      <c r="N36" s="189">
        <f>O36/O$38</f>
        <v>0.0</v>
      </c>
      <c r="O36" s="215">
        <f>Q36*'Data Komponen'!$D$22</f>
        <v>0.0</v>
      </c>
      <c r="P36" s="189">
        <f>Q36/Q$38</f>
        <v>0.0</v>
      </c>
      <c r="Q36" s="216">
        <f>0</f>
        <v>0.0</v>
      </c>
      <c r="R36" s="189">
        <f>S36/S$38</f>
        <v>0.0</v>
      </c>
      <c r="S36" s="215">
        <f>U36*'Data Komponen'!$D$22</f>
        <v>0.0</v>
      </c>
      <c r="T36" s="189">
        <f>U36/U$38</f>
        <v>0.0</v>
      </c>
      <c r="U36" s="216">
        <f>0</f>
        <v>0.0</v>
      </c>
    </row>
    <row r="37">
      <c r="A37" s="163" t="inlineStr">
        <is>
          <t>C₄H₈Cl₂ (berat)</t>
        </is>
      </c>
      <c r="B37" s="189">
        <f>C37/C$38</f>
        <v>0.0</v>
      </c>
      <c r="C37" s="215">
        <f>E37*'Data Komponen'!$D$23</f>
        <v>0.0</v>
      </c>
      <c r="D37" s="189">
        <f>E37/E$38</f>
        <v>0.0</v>
      </c>
      <c r="E37" s="216">
        <f>'NME-1 Klorinasi Langsung'!Q41</f>
        <v>0.0</v>
      </c>
      <c r="F37" s="189">
        <f>G37/G$38</f>
        <v>0.0</v>
      </c>
      <c r="G37" s="215">
        <f>I37*'Data Komponen'!$D$23</f>
        <v>0.0</v>
      </c>
      <c r="H37" s="189">
        <f>I37/I$38</f>
        <v>0.0</v>
      </c>
      <c r="I37" s="216">
        <f>'NME-2 Oksiklorinasi'!Q40</f>
        <v>0.0</v>
      </c>
      <c r="J37" s="189">
        <f>K37/K$38</f>
        <v>0.0</v>
      </c>
      <c r="K37" s="215">
        <f>M37*'Data Komponen'!$D$23</f>
        <v>0.0</v>
      </c>
      <c r="L37" s="189">
        <f>M37/M$38</f>
        <v>0.0</v>
      </c>
      <c r="M37" s="216">
        <f>0</f>
        <v>0.0</v>
      </c>
      <c r="N37" s="189">
        <f>O37/O$38</f>
        <v>0.0</v>
      </c>
      <c r="O37" s="215">
        <f>Q37*'Data Komponen'!$D$23</f>
        <v>0.0</v>
      </c>
      <c r="P37" s="189">
        <f>Q37/Q$38</f>
        <v>0.0</v>
      </c>
      <c r="Q37" s="216">
        <f>0</f>
        <v>0.0</v>
      </c>
      <c r="R37" s="189">
        <f>S37/S$38</f>
        <v>0.0</v>
      </c>
      <c r="S37" s="215">
        <f>U37*'Data Komponen'!$D$23</f>
        <v>0.0</v>
      </c>
      <c r="T37" s="189">
        <f>U37/U$38</f>
        <v>0.0</v>
      </c>
      <c r="U37" s="216">
        <f>E37+I37</f>
        <v>0.0</v>
      </c>
    </row>
    <row r="38">
      <c r="A38" s="162" t="inlineStr">
        <is>
          <t>Sub Total</t>
        </is>
      </c>
      <c r="B38" s="189">
        <f>SUM(B17:B37)</f>
        <v>1.0000000000000002</v>
      </c>
      <c r="C38" s="215">
        <f>SUM(C17:C37)</f>
        <v>21384.594459303833</v>
      </c>
      <c r="D38" s="189">
        <f>SUM(D17:D37)</f>
        <v>1.0</v>
      </c>
      <c r="E38" s="216">
        <f>SUM(E17:E37)</f>
        <v>216.06475860322578</v>
      </c>
      <c r="F38" s="189">
        <f>SUM(F17:F37)</f>
        <v>0.9999999999999998</v>
      </c>
      <c r="G38" s="215">
        <f>SUM(G17:G37)</f>
        <v>43083.06643327203</v>
      </c>
      <c r="H38" s="189">
        <f>SUM(H17:H37)</f>
        <v>0.9999999999999996</v>
      </c>
      <c r="I38" s="216">
        <f>SUM(I17:I37)</f>
        <v>1086.1876327218315</v>
      </c>
      <c r="J38" s="189">
        <f>SUM(J17:J37)</f>
        <v>1.0</v>
      </c>
      <c r="K38" s="215">
        <f>SUM(K17:K37)</f>
        <v>19487.072197175527</v>
      </c>
      <c r="L38" s="189">
        <f>SUM(L17:L37)</f>
        <v>0.9999999999999999</v>
      </c>
      <c r="M38" s="216">
        <f>SUM(M17:M37)</f>
        <v>678.6748687896428</v>
      </c>
      <c r="N38" s="189">
        <f>SUM(N17:N37)</f>
        <v>1.0</v>
      </c>
      <c r="O38" s="215">
        <f>SUM(O17:O37)</f>
        <v>3764.4817043717962</v>
      </c>
      <c r="P38" s="189">
        <f>SUM(P17:P37)</f>
        <v>1.0</v>
      </c>
      <c r="Q38" s="216">
        <f>SUM(Q17:Q37)</f>
        <v>202.7947567326817</v>
      </c>
      <c r="R38" s="189">
        <f>SUM(R17:R37)</f>
        <v>1.0</v>
      </c>
      <c r="S38" s="215">
        <f>SUM(S17:S37)</f>
        <v>41216.10699102872</v>
      </c>
      <c r="T38" s="189">
        <f>SUM(T17:T37)</f>
        <v>1.0</v>
      </c>
      <c r="U38" s="216">
        <f>SUM(U17:U37)</f>
        <v>420.7827658027324</v>
      </c>
    </row>
    <row r="39">
      <c r="A39" s="162" t="inlineStr">
        <is>
          <t>TOTAL MASSA</t>
        </is>
      </c>
      <c r="B39" s="215">
        <f>C38+G38</f>
        <v>64467.66089257586</v>
      </c>
      <c r="C39" s="210" t="n"/>
      <c r="D39" s="210" t="n"/>
      <c r="E39" s="210" t="n"/>
      <c r="F39" s="210" t="n"/>
      <c r="G39" s="210" t="n"/>
      <c r="H39" s="210" t="n"/>
      <c r="I39" s="211" t="n"/>
      <c r="J39" s="215">
        <f>K38+O38+S38</f>
        <v>64467.66089257604</v>
      </c>
      <c r="K39" s="210" t="n"/>
      <c r="L39" s="210" t="n"/>
      <c r="M39" s="210" t="n"/>
      <c r="N39" s="210" t="n"/>
      <c r="O39" s="210" t="n"/>
      <c r="P39" s="210" t="n"/>
      <c r="Q39" s="210" t="n"/>
      <c r="R39" s="210" t="n"/>
      <c r="S39" s="210" t="n"/>
      <c r="T39" s="210" t="n"/>
      <c r="U39" s="211" t="n"/>
    </row>
    <row r="40">
      <c r="A40" s="162" t="inlineStr">
        <is>
          <t>Selisih (Inlet − Outlet), kg/h</t>
        </is>
      </c>
      <c r="B40" s="215">
        <f>B39-J39</f>
        <v>-1.7462298274040222e-10</v>
      </c>
      <c r="C40" s="210" t="n"/>
      <c r="D40" s="210" t="n"/>
      <c r="E40" s="210" t="n"/>
      <c r="F40" s="210" t="n"/>
      <c r="G40" s="210" t="n"/>
      <c r="H40" s="210" t="n"/>
      <c r="I40" s="210" t="n"/>
      <c r="J40" s="210" t="n"/>
      <c r="K40" s="210" t="n"/>
      <c r="L40" s="210" t="n"/>
      <c r="M40" s="210" t="n"/>
      <c r="N40" s="210" t="n"/>
      <c r="O40" s="210" t="n"/>
      <c r="P40" s="210" t="n"/>
      <c r="Q40" s="210" t="n"/>
      <c r="R40" s="210" t="n"/>
      <c r="S40" s="210" t="n"/>
      <c r="T40" s="210" t="n"/>
      <c r="U40" s="211" t="n"/>
    </row>
    <row r="43">
      <c r="A43" s="169" t="inlineStr">
        <is>
          <t>Neraca Energi P-101: Pompa EDC dari R-01</t>
        </is>
      </c>
    </row>
    <row r="44">
      <c r="A44" s="187" t="inlineStr">
        <is>
          <t>Reference state: H₂O, Br₂, EDC, TCE fasa liquid @ 25°C, 1 bar; NCl₃ fasa gas @ 25°C, 1 bar; FeCl₃ fasa solid @ 25°C, 1 bar</t>
        </is>
      </c>
    </row>
    <row r="45">
      <c r="A45" s="162" t="inlineStr">
        <is>
          <t>No. aliran PFD</t>
        </is>
      </c>
      <c r="B45" s="162" t="n">
        <v>14</v>
      </c>
      <c r="C45" s="211" t="n"/>
      <c r="D45" s="162" t="n">
        <v>15</v>
      </c>
      <c r="E45" s="211" t="n"/>
    </row>
    <row r="46">
      <c r="A46" s="162" t="inlineStr">
        <is>
          <t>Dari</t>
        </is>
      </c>
      <c r="B46" s="172" t="inlineStr">
        <is>
          <t>R-01</t>
        </is>
      </c>
      <c r="C46" s="211" t="n"/>
      <c r="D46" s="172" t="inlineStr">
        <is>
          <t>P-101</t>
        </is>
      </c>
      <c r="E46" s="211" t="n"/>
    </row>
    <row r="47">
      <c r="A47" s="162" t="inlineStr">
        <is>
          <t>Ke</t>
        </is>
      </c>
      <c r="B47" s="172" t="inlineStr">
        <is>
          <t>P-101</t>
        </is>
      </c>
      <c r="C47" s="211" t="n"/>
      <c r="D47" s="172" t="inlineStr">
        <is>
          <t>M-101</t>
        </is>
      </c>
      <c r="E47" s="211" t="n"/>
    </row>
    <row r="48">
      <c r="A48" s="162" t="inlineStr">
        <is>
          <t>T (K)</t>
        </is>
      </c>
      <c r="B48" s="185">
        <f>'NME-1 Klorinasi Langsung'!$J$222</f>
        <v>338.15</v>
      </c>
      <c r="C48" s="211" t="n"/>
      <c r="D48" s="185">
        <f>IFERROR(IF(D48&lt;100,$B$48,D48+(B64-D60)/(SUM(D54:D59)*('Data Termo'!$J$20+'Data Termo'!$K$20*D48+'Data Termo'!$L$20*D48^2+'Data Termo'!$M$20*D48^3))),$B$48)</f>
        <v>338.5094702778025</v>
      </c>
      <c r="E48" s="211" t="n"/>
    </row>
    <row r="49">
      <c r="A49" s="162" t="inlineStr">
        <is>
          <t>T (°C)</t>
        </is>
      </c>
      <c r="B49" s="185">
        <f>'NME-1 Klorinasi Langsung'!$J$223</f>
        <v>65.0</v>
      </c>
      <c r="C49" s="211" t="n"/>
      <c r="D49" s="185">
        <f>IF(ISNUMBER(D48),D48-273.15,"-")</f>
        <v>65.35947027780253</v>
      </c>
      <c r="E49" s="211" t="n"/>
    </row>
    <row r="50">
      <c r="A50" s="162" t="inlineStr">
        <is>
          <t>P (bar abs)</t>
        </is>
      </c>
      <c r="B50" s="190">
        <f>'NME-1 Klorinasi Langsung'!$J$224</f>
        <v>1.01325</v>
      </c>
      <c r="C50" s="211" t="n"/>
      <c r="D50" s="190" t="n">
        <v>5.370225</v>
      </c>
      <c r="E50" s="211" t="n"/>
    </row>
    <row r="51">
      <c r="A51" s="162" t="inlineStr">
        <is>
          <t>Substance</t>
        </is>
      </c>
      <c r="B51" s="162" t="inlineStr">
        <is>
          <t>INLET</t>
        </is>
      </c>
      <c r="C51" s="211" t="n"/>
      <c r="D51" s="162" t="inlineStr">
        <is>
          <t>OUTLET</t>
        </is>
      </c>
      <c r="E51" s="211" t="n"/>
    </row>
    <row r="52">
      <c r="A52" s="212" t="n"/>
      <c r="B52" s="162" t="inlineStr">
        <is>
          <t>Aliran 14</t>
        </is>
      </c>
      <c r="C52" s="211" t="n"/>
      <c r="D52" s="162" t="inlineStr">
        <is>
          <t>Aliran 15</t>
        </is>
      </c>
      <c r="E52" s="211" t="n"/>
    </row>
    <row r="53">
      <c r="A53" s="213" t="n"/>
      <c r="B53" s="162" t="inlineStr">
        <is>
          <t>ṅᵢ (kmol/h)</t>
        </is>
      </c>
      <c r="C53" s="162" t="inlineStr">
        <is>
          <t>Ĥᵢ (kJ/kmol)</t>
        </is>
      </c>
      <c r="D53" s="162" t="inlineStr">
        <is>
          <t>ṅᵢ (kmol/h)</t>
        </is>
      </c>
      <c r="E53" s="162" t="inlineStr">
        <is>
          <t>Ĥᵢ (kJ/kmol)</t>
        </is>
      </c>
    </row>
    <row r="54">
      <c r="A54" s="163" t="inlineStr">
        <is>
          <t>H₂O (l)</t>
        </is>
      </c>
      <c r="B54" s="216">
        <f>'NME-1 Klorinasi Langsung'!Q27</f>
        <v>0.010242885514456384</v>
      </c>
      <c r="C54" s="217">
        <f>('Data Termo'!$J$12*($B$48-298.15)+'Data Termo'!$K$12/2*($B$48^2-298.15^2)+'Data Termo'!$L$12/3*($B$48^3-298.15^3)+'Data Termo'!$M$12/4*($B$48^4-298.15^4))</f>
        <v>3009.605037083963</v>
      </c>
      <c r="D54" s="216">
        <f>E23</f>
        <v>0.010242885514456384</v>
      </c>
      <c r="E54" s="217">
        <f>('Data Termo'!$J$12*($D$48-298.15)+'Data Termo'!$K$12/2*($D$48^2-298.15^2)+'Data Termo'!$L$12/3*($D$48^3-298.15^3)+'Data Termo'!$M$12/4*($D$48^4-298.15^4))</f>
        <v>3036.5965815989084</v>
      </c>
    </row>
    <row r="55">
      <c r="A55" s="163" t="inlineStr">
        <is>
          <t>Br₂ (l)</t>
        </is>
      </c>
      <c r="B55" s="216">
        <f>'NME-1 Klorinasi Langsung'!Q29</f>
        <v>0.008660028716159318</v>
      </c>
      <c r="C55" s="217">
        <f>('Data Termo'!$J$14*($B$48-298.15)+'Data Termo'!$K$14/2*($B$48^2-298.15^2)+'Data Termo'!$L$14/3*($B$48^3-298.15^3)+'Data Termo'!$M$14/4*($B$48^4-298.15^4))</f>
        <v>3087.491356446486</v>
      </c>
      <c r="D55" s="216">
        <f>E25</f>
        <v>0.008660028716159318</v>
      </c>
      <c r="E55" s="217">
        <f>('Data Termo'!$J$14*($D$48-298.15)+'Data Termo'!$K$14/2*($D$48^2-298.15^2)+'Data Termo'!$L$14/3*($D$48^3-298.15^3)+'Data Termo'!$M$14/4*($D$48^4-298.15^4))</f>
        <v>3115.584596693211</v>
      </c>
    </row>
    <row r="56">
      <c r="A56" s="163" t="inlineStr">
        <is>
          <t>NCl₃ (l)</t>
        </is>
      </c>
      <c r="B56" s="216">
        <f>'NME-1 Klorinasi Langsung'!Q30</f>
        <v>0.0006387709001195385</v>
      </c>
      <c r="C56" s="217">
        <f>-'Data Termo'!$V$15+('Data Termo'!$J$15*($B$48-298.15)+'Data Termo'!$K$15/2*($B$48^2-298.15^2)+'Data Termo'!$L$15/3*($B$48^3-298.15^3)+'Data Termo'!$M$15/4*($B$48^4-298.15^4))</f>
        <v>-28565.999016796683</v>
      </c>
      <c r="D56" s="216">
        <f>E26</f>
        <v>0.0006387709001195385</v>
      </c>
      <c r="E56" s="217">
        <f>-'Data Termo'!$V$15+('Data Termo'!$J$15*($D$48-298.15)+'Data Termo'!$K$15/2*($D$48^2-298.15^2)+'Data Termo'!$L$15/3*($D$48^3-298.15^3)+'Data Termo'!$M$15/4*($D$48^4-298.15^4))</f>
        <v>-28528.25087760858</v>
      </c>
    </row>
    <row r="57">
      <c r="A57" s="163" t="inlineStr">
        <is>
          <t>EDC (l)</t>
        </is>
      </c>
      <c r="B57" s="216">
        <f>'NME-1 Klorinasi Langsung'!Q35</f>
        <v>215.97061771148134</v>
      </c>
      <c r="C57" s="217">
        <f>('Data Termo'!$J$20*($B$48-298.15)+'Data Termo'!$K$20/2*($B$48^2-298.15^2)+'Data Termo'!$L$20/3*($B$48^3-298.15^3)+'Data Termo'!$M$20/4*($B$48^4-298.15^4))</f>
        <v>5269.57917885534</v>
      </c>
      <c r="D57" s="216">
        <f>E31</f>
        <v>215.97061771148134</v>
      </c>
      <c r="E57" s="217">
        <f>('Data Termo'!$J$20*($D$48-298.15)+'Data Termo'!$K$20/2*($D$48^2-298.15^2)+'Data Termo'!$L$20/3*($D$48^3-298.15^3)+'Data Termo'!$M$20/4*($D$48^4-298.15^4))</f>
        <v>5318.066696137506</v>
      </c>
    </row>
    <row r="58">
      <c r="A58" s="163" t="inlineStr">
        <is>
          <t>TCE (l)</t>
        </is>
      </c>
      <c r="B58" s="216">
        <f>'NME-1 Klorinasi Langsung'!Q36</f>
        <v>0.04817685591565345</v>
      </c>
      <c r="C58" s="217">
        <f>('Data Termo'!$J$21*($B$48-298.15)+'Data Termo'!$K$21/2*($B$48^2-298.15^2)+'Data Termo'!$L$21/3*($B$48^3-298.15^3)+'Data Termo'!$M$21/4*($B$48^4-298.15^4))</f>
        <v>6194.006533172773</v>
      </c>
      <c r="D58" s="216">
        <f>E32</f>
        <v>0.04817685591565345</v>
      </c>
      <c r="E58" s="217">
        <f>('Data Termo'!$J$21*($D$48-298.15)+'Data Termo'!$K$21/2*($D$48^2-298.15^2)+'Data Termo'!$L$21/3*($D$48^3-298.15^3)+'Data Termo'!$M$21/4*($D$48^4-298.15^4))</f>
        <v>6250.937283062956</v>
      </c>
    </row>
    <row r="59">
      <c r="A59" s="163" t="inlineStr">
        <is>
          <t>FeCl₃ (s)</t>
        </is>
      </c>
      <c r="B59" s="216">
        <f>'NME-1 Klorinasi Langsung'!Q38</f>
        <v>0.02642235069805515</v>
      </c>
      <c r="C59" s="217">
        <f>('Data Termo'!$N$23*($B$48-298.15)+'Data Termo'!$O$23/2*($B$48^2-298.15^2)+'Data Termo'!$P$23/3*($B$48^3-298.15^3))</f>
        <v>4004.1226231183327</v>
      </c>
      <c r="D59" s="216">
        <f>E34</f>
        <v>0.02642235069805515</v>
      </c>
      <c r="E59" s="217">
        <f>('Data Termo'!$N$23*($D$48-298.15)+'Data Termo'!$O$23/2*($D$48^2-298.15^2)+'Data Termo'!$P$23/3*($D$48^3-298.15^3))</f>
        <v>4041.074231998374</v>
      </c>
    </row>
    <row r="60">
      <c r="A60" s="200" t="inlineStr">
        <is>
          <t>Sub Total ṅᵢĤᵢ (kJ/h)</t>
        </is>
      </c>
      <c r="B60" s="218">
        <f>SUMPRODUCT(B54:B59,C54:C59)</f>
        <v>1138517.7941041652</v>
      </c>
      <c r="C60" s="211" t="n"/>
      <c r="D60" s="218">
        <f>SUMPRODUCT(D54:D59,E54:E59)</f>
        <v>1148993.9361277747</v>
      </c>
      <c r="E60" s="211" t="n"/>
    </row>
    <row r="61">
      <c r="A61" s="163" t="inlineStr">
        <is>
          <t>Heat of reaction / heat of mixing (kJ/h)</t>
        </is>
      </c>
      <c r="B61" s="219" t="inlineStr">
        <is>
          <t>-</t>
        </is>
      </c>
      <c r="C61" s="211" t="n"/>
      <c r="D61" s="220" t="inlineStr">
        <is>
          <t>-</t>
        </is>
      </c>
      <c r="E61" s="211" t="n"/>
    </row>
    <row r="62">
      <c r="A62" s="200" t="inlineStr">
        <is>
          <t>Q (kJ/h)</t>
        </is>
      </c>
      <c r="B62" s="218" t="n">
        <v>0</v>
      </c>
      <c r="C62" s="210" t="n"/>
      <c r="D62" s="210" t="n"/>
      <c r="E62" s="211" t="n"/>
    </row>
    <row r="63">
      <c r="A63" s="200" t="inlineStr">
        <is>
          <t>W (kJ/h)</t>
        </is>
      </c>
      <c r="B63" s="218">
        <f>'NME-1 Klorinasi Langsung'!O42/(1000*'Data Termo'!$D$33*'Data Termo'!$D$34^(-((1-$B$48/'Data Termo'!$D$36)^'Data Termo'!$D$35)))*MAX(0,($D$50-$B$50)*100)/$B$10</f>
        <v>10476.142023607968</v>
      </c>
      <c r="C63" s="210" t="n"/>
      <c r="D63" s="210" t="n"/>
      <c r="E63" s="211" t="n"/>
    </row>
    <row r="64">
      <c r="A64" s="200" t="inlineStr">
        <is>
          <t>TOTAL (kJ/h)</t>
        </is>
      </c>
      <c r="B64" s="218">
        <f>B60+$B$62+$B$63</f>
        <v>1148993.936127773</v>
      </c>
      <c r="C64" s="211" t="n"/>
      <c r="D64" s="218">
        <f>(D60)</f>
        <v>1148993.9361277747</v>
      </c>
      <c r="E64" s="211" t="n"/>
    </row>
    <row r="65">
      <c r="A65" s="163" t="inlineStr">
        <is>
          <t>Selisih masuk − keluar (kJ/h)</t>
        </is>
      </c>
      <c r="B65" s="217">
        <f>B64-D64</f>
        <v>-1.6298145055770874e-09</v>
      </c>
      <c r="C65" s="210" t="n"/>
      <c r="D65" s="210" t="n"/>
      <c r="E65" s="211" t="n"/>
    </row>
    <row r="66">
      <c r="A66" s="163" t="inlineStr">
        <is>
          <t>Q (kW)</t>
        </is>
      </c>
      <c r="B66" s="217">
        <f>$B$62/3600</f>
        <v>0.0</v>
      </c>
      <c r="C66" s="210" t="n"/>
      <c r="D66" s="210" t="n"/>
      <c r="E66" s="211" t="n"/>
    </row>
    <row r="67">
      <c r="A67" s="163" t="inlineStr">
        <is>
          <t>W (kW)</t>
        </is>
      </c>
      <c r="B67" s="217">
        <f>$B$63/3600</f>
        <v>2.9100394510022136</v>
      </c>
      <c r="C67" s="210" t="n"/>
      <c r="D67" s="210" t="n"/>
      <c r="E67" s="211" t="n"/>
    </row>
    <row r="70">
      <c r="A70" s="169" t="inlineStr">
        <is>
          <t>Neraca Energi Blok 3: Q-201, E-104, M-101, D-101, E-105, P-105 (satu volume kontrol)</t>
        </is>
      </c>
    </row>
    <row r="71">
      <c r="A71" s="187" t="inlineStr">
        <is>
          <t>Reference state: Cl₂, H₂O, Br₂, EDC, TCE fasa liquid @ 25°C, 1 bar; C₂H₄, CH₄, C₂H₆, C₂H₂, NCl₃, O₂, N₂, CO₂, HCl, C₂H₅Cl, VCM fasa gas @ 25°C, 1 bar; FeCl₃ fasa solid @ 25°C, 1 bar</t>
        </is>
      </c>
    </row>
    <row r="72">
      <c r="A72" s="162" t="inlineStr">
        <is>
          <t>No. aliran PFD</t>
        </is>
      </c>
      <c r="B72" s="162" t="n">
        <v>15</v>
      </c>
      <c r="C72" s="211" t="n"/>
      <c r="D72" s="162" t="n">
        <v>18</v>
      </c>
      <c r="E72" s="211" t="n"/>
      <c r="F72" s="162" t="n">
        <v>25</v>
      </c>
      <c r="G72" s="211" t="n"/>
      <c r="H72" s="162" t="n">
        <v>28</v>
      </c>
      <c r="I72" s="211" t="n"/>
      <c r="J72" s="162" t="n">
        <v>29</v>
      </c>
      <c r="K72" s="211" t="n"/>
    </row>
    <row r="73">
      <c r="A73" s="162" t="inlineStr">
        <is>
          <t>Dari</t>
        </is>
      </c>
      <c r="B73" s="172" t="inlineStr">
        <is>
          <t>P-101</t>
        </is>
      </c>
      <c r="C73" s="211" t="n"/>
      <c r="D73" s="172" t="inlineStr">
        <is>
          <t>R-02</t>
        </is>
      </c>
      <c r="E73" s="211" t="n"/>
      <c r="F73" s="172" t="inlineStr">
        <is>
          <t>E-105</t>
        </is>
      </c>
      <c r="G73" s="211" t="n"/>
      <c r="H73" s="172" t="inlineStr">
        <is>
          <t>P-105</t>
        </is>
      </c>
      <c r="I73" s="211" t="n"/>
      <c r="J73" s="172" t="inlineStr">
        <is>
          <t>D-101</t>
        </is>
      </c>
      <c r="K73" s="211" t="n"/>
    </row>
    <row r="74">
      <c r="A74" s="162" t="inlineStr">
        <is>
          <t>Ke</t>
        </is>
      </c>
      <c r="B74" s="172" t="inlineStr">
        <is>
          <t>M-101</t>
        </is>
      </c>
      <c r="C74" s="211" t="n"/>
      <c r="D74" s="172" t="inlineStr">
        <is>
          <t>Q-201</t>
        </is>
      </c>
      <c r="E74" s="211" t="n"/>
      <c r="F74" s="172" t="inlineStr">
        <is>
          <t>UPL</t>
        </is>
      </c>
      <c r="G74" s="211" t="n"/>
      <c r="H74" s="172" t="inlineStr">
        <is>
          <t>UPL</t>
        </is>
      </c>
      <c r="I74" s="211" t="n"/>
      <c r="J74" s="172" t="inlineStr">
        <is>
          <t>P-102</t>
        </is>
      </c>
      <c r="K74" s="211" t="n"/>
    </row>
    <row r="75">
      <c r="A75" s="162" t="inlineStr">
        <is>
          <t>T (K)</t>
        </is>
      </c>
      <c r="B75" s="185">
        <f>$D$48</f>
        <v>338.5094702778025</v>
      </c>
      <c r="C75" s="211" t="n"/>
      <c r="D75" s="185">
        <f>'NME-2 Oksiklorinasi'!$H$126</f>
        <v>498.15</v>
      </c>
      <c r="E75" s="211" t="n"/>
      <c r="F75" s="185">
        <f>F76+273.15</f>
        <v>248.14999999999998</v>
      </c>
      <c r="G75" s="211" t="n"/>
      <c r="H75" s="185">
        <f>H76+273.15</f>
        <v>308.15</v>
      </c>
      <c r="I75" s="211" t="n"/>
      <c r="J75" s="185">
        <f>J76+273.15</f>
        <v>308.15</v>
      </c>
      <c r="K75" s="211" t="n"/>
    </row>
    <row r="76">
      <c r="A76" s="162" t="inlineStr">
        <is>
          <t>T (°C)</t>
        </is>
      </c>
      <c r="B76" s="185">
        <f>$D$49</f>
        <v>65.35947027780253</v>
      </c>
      <c r="C76" s="211" t="n"/>
      <c r="D76" s="185">
        <f>'NME-2 Oksiklorinasi'!$H$127</f>
        <v>225.0</v>
      </c>
      <c r="E76" s="211" t="n"/>
      <c r="F76" s="185" t="n">
        <v>-25</v>
      </c>
      <c r="G76" s="211" t="n"/>
      <c r="H76" s="185" t="n">
        <v>35</v>
      </c>
      <c r="I76" s="211" t="n"/>
      <c r="J76" s="185" t="n">
        <v>35</v>
      </c>
      <c r="K76" s="211" t="n"/>
    </row>
    <row r="77">
      <c r="A77" s="162" t="inlineStr">
        <is>
          <t>P (bar abs)</t>
        </is>
      </c>
      <c r="B77" s="190">
        <f>$D$50</f>
        <v>5.370225</v>
      </c>
      <c r="C77" s="211" t="n"/>
      <c r="D77" s="190">
        <f>'NME-2 Oksiklorinasi'!$H$128</f>
        <v>5.370225</v>
      </c>
      <c r="E77" s="211" t="n"/>
      <c r="F77" s="190" t="n">
        <v>5.370225</v>
      </c>
      <c r="G77" s="211" t="n"/>
      <c r="H77" s="190" t="n">
        <v>5.370225</v>
      </c>
      <c r="I77" s="211" t="n"/>
      <c r="J77" s="190" t="n">
        <v>5.370225</v>
      </c>
      <c r="K77" s="211" t="n"/>
    </row>
    <row r="78">
      <c r="A78" s="162" t="inlineStr">
        <is>
          <t>Substance</t>
        </is>
      </c>
      <c r="B78" s="162" t="inlineStr">
        <is>
          <t>INLET</t>
        </is>
      </c>
      <c r="C78" s="210" t="n"/>
      <c r="D78" s="210" t="n"/>
      <c r="E78" s="211" t="n"/>
      <c r="F78" s="162" t="inlineStr">
        <is>
          <t>OUTLET</t>
        </is>
      </c>
      <c r="G78" s="210" t="n"/>
      <c r="H78" s="210" t="n"/>
      <c r="I78" s="210" t="n"/>
      <c r="J78" s="210" t="n"/>
      <c r="K78" s="211" t="n"/>
    </row>
    <row r="79">
      <c r="A79" s="212" t="n"/>
      <c r="B79" s="162" t="inlineStr">
        <is>
          <t>Aliran 15</t>
        </is>
      </c>
      <c r="C79" s="211" t="n"/>
      <c r="D79" s="162" t="inlineStr">
        <is>
          <t>Aliran 18</t>
        </is>
      </c>
      <c r="E79" s="211" t="n"/>
      <c r="F79" s="162" t="inlineStr">
        <is>
          <t>Aliran 25</t>
        </is>
      </c>
      <c r="G79" s="211" t="n"/>
      <c r="H79" s="162" t="inlineStr">
        <is>
          <t>Aliran 28</t>
        </is>
      </c>
      <c r="I79" s="211" t="n"/>
      <c r="J79" s="162" t="inlineStr">
        <is>
          <t>Aliran 29</t>
        </is>
      </c>
      <c r="K79" s="211" t="n"/>
    </row>
    <row r="80">
      <c r="A80" s="213" t="n"/>
      <c r="B80" s="162" t="inlineStr">
        <is>
          <t>ṅᵢ (kmol/h)</t>
        </is>
      </c>
      <c r="C80" s="162" t="inlineStr">
        <is>
          <t>Ĥᵢ (kJ/kmol)</t>
        </is>
      </c>
      <c r="D80" s="162" t="inlineStr">
        <is>
          <t>ṅᵢ (kmol/h)</t>
        </is>
      </c>
      <c r="E80" s="162" t="inlineStr">
        <is>
          <t>Ĥᵢ (kJ/kmol)</t>
        </is>
      </c>
      <c r="F80" s="162" t="inlineStr">
        <is>
          <t>ṅᵢ (kmol/h)</t>
        </is>
      </c>
      <c r="G80" s="162" t="inlineStr">
        <is>
          <t>Ĥᵢ (kJ/kmol)</t>
        </is>
      </c>
      <c r="H80" s="162" t="inlineStr">
        <is>
          <t>ṅᵢ (kmol/h)</t>
        </is>
      </c>
      <c r="I80" s="162" t="inlineStr">
        <is>
          <t>Ĥᵢ (kJ/kmol)</t>
        </is>
      </c>
      <c r="J80" s="162" t="inlineStr">
        <is>
          <t>ṅᵢ (kmol/h)</t>
        </is>
      </c>
      <c r="K80" s="162" t="inlineStr">
        <is>
          <t>Ĥᵢ (kJ/kmol)</t>
        </is>
      </c>
    </row>
    <row r="81">
      <c r="A81" s="163" t="inlineStr">
        <is>
          <t>C₂H₄ (g)</t>
        </is>
      </c>
      <c r="B81" s="216">
        <f>E17</f>
        <v>0.0</v>
      </c>
      <c r="C81" s="217">
        <f>('Data Termo'!$E$6*($B$75-298.15)+'Data Termo'!$F$6/2*($B$75^2-298.15^2)+'Data Termo'!$G$6/3*($B$75^3-298.15^3)+'Data Termo'!$H$6/4*($B$75^4-298.15^4)+'Data Termo'!$I$6/5*($B$75^5-298.15^5))</f>
        <v>1836.7389282371246</v>
      </c>
      <c r="D81" s="216">
        <f>'NME-2 Oksiklorinasi'!Q20</f>
        <v>1.0161969310314223</v>
      </c>
      <c r="E81" s="217">
        <f>('Data Termo'!$E$6*($D$75-298.15)+'Data Termo'!$F$6/2*($D$75^2-298.15^2)+'Data Termo'!$G$6/3*($D$75^3-298.15^3)+'Data Termo'!$H$6/4*($D$75^4-298.15^4)+'Data Termo'!$I$6/5*($D$75^5-298.15^5))</f>
        <v>10452.708754411366</v>
      </c>
      <c r="F81" s="216">
        <f>M17</f>
        <v>1.0161969310314223</v>
      </c>
      <c r="G81" s="217">
        <f>('Data Termo'!$E$6*($F$75-298.15)+'Data Termo'!$F$6/2*($F$75^2-298.15^2)+'Data Termo'!$G$6/3*($F$75^3-298.15^3)+'Data Termo'!$H$6/4*($F$75^4-298.15^4)+'Data Termo'!$I$6/5*($F$75^5-298.15^5))</f>
        <v>-2103.499854747082</v>
      </c>
      <c r="H81" s="216">
        <f>Q17</f>
        <v>0.0</v>
      </c>
      <c r="I81" s="217">
        <f>('Data Termo'!$E$6*($H$75-298.15)+'Data Termo'!$F$6/2*($H$75^2-298.15^2)+'Data Termo'!$G$6/3*($H$75^3-298.15^3)+'Data Termo'!$H$6/4*($H$75^4-298.15^4)+'Data Termo'!$I$6/5*($H$75^5-298.15^5))</f>
        <v>443.1038119484987</v>
      </c>
      <c r="J81" s="216">
        <f>U17</f>
        <v>0.0</v>
      </c>
      <c r="K81" s="217">
        <f>('Data Termo'!$E$6*($J$75-298.15)+'Data Termo'!$F$6/2*($J$75^2-298.15^2)+'Data Termo'!$G$6/3*($J$75^3-298.15^3)+'Data Termo'!$H$6/4*($J$75^4-298.15^4)+'Data Termo'!$I$6/5*($J$75^5-298.15^5))</f>
        <v>443.1038119484987</v>
      </c>
    </row>
    <row r="82">
      <c r="A82" s="163" t="inlineStr">
        <is>
          <t>CH₄ (g)</t>
        </is>
      </c>
      <c r="B82" s="216">
        <f>E18</f>
        <v>0.0</v>
      </c>
      <c r="C82" s="217">
        <f>('Data Termo'!$E$7*($B$75-298.15)+'Data Termo'!$F$7/2*($B$75^2-298.15^2)+'Data Termo'!$G$7/3*($B$75^3-298.15^3)+'Data Termo'!$H$7/4*($B$75^4-298.15^4)+'Data Termo'!$I$7/5*($B$75^5-298.15^5))</f>
        <v>1498.9193323891611</v>
      </c>
      <c r="D82" s="216">
        <f>'NME-2 Oksiklorinasi'!Q21</f>
        <v>0.08228861356962411</v>
      </c>
      <c r="E82" s="217">
        <f>('Data Termo'!$E$7*($D$75-298.15)+'Data Termo'!$F$7/2*($D$75^2-298.15^2)+'Data Termo'!$G$7/3*($D$75^3-298.15^3)+'Data Termo'!$H$7/4*($D$75^4-298.15^4)+'Data Termo'!$I$7/5*($D$75^5-298.15^5))</f>
        <v>8185.870207660111</v>
      </c>
      <c r="F82" s="216">
        <f>M18</f>
        <v>0.08228861356962411</v>
      </c>
      <c r="G82" s="217">
        <f>('Data Termo'!$E$7*($F$75-298.15)+'Data Termo'!$F$7/2*($F$75^2-298.15^2)+'Data Termo'!$G$7/3*($F$75^3-298.15^3)+'Data Termo'!$H$7/4*($F$75^4-298.15^4)+'Data Termo'!$I$7/5*($F$75^5-298.15^5))</f>
        <v>-1772.9380544520513</v>
      </c>
      <c r="H82" s="216">
        <f>Q18</f>
        <v>0.0</v>
      </c>
      <c r="I82" s="217">
        <f>('Data Termo'!$E$7*($H$75-298.15)+'Data Termo'!$F$7/2*($H$75^2-298.15^2)+'Data Termo'!$G$7/3*($H$75^3-298.15^3)+'Data Termo'!$H$7/4*($H$75^4-298.15^4)+'Data Termo'!$I$7/5*($H$75^5-298.15^5))</f>
        <v>365.28492034170137</v>
      </c>
      <c r="J82" s="216">
        <f>U18</f>
        <v>0.0</v>
      </c>
      <c r="K82" s="217">
        <f>('Data Termo'!$E$7*($J$75-298.15)+'Data Termo'!$F$7/2*($J$75^2-298.15^2)+'Data Termo'!$G$7/3*($J$75^3-298.15^3)+'Data Termo'!$H$7/4*($J$75^4-298.15^4)+'Data Termo'!$I$7/5*($J$75^5-298.15^5))</f>
        <v>365.28492034170137</v>
      </c>
    </row>
    <row r="83">
      <c r="A83" s="163" t="inlineStr">
        <is>
          <t>C₂H₆ (g)</t>
        </is>
      </c>
      <c r="B83" s="216">
        <f>E19</f>
        <v>0.0</v>
      </c>
      <c r="C83" s="217">
        <f>('Data Termo'!$E$8*($B$75-298.15)+'Data Termo'!$F$8/2*($B$75^2-298.15^2)+'Data Termo'!$G$8/3*($B$75^3-298.15^3)+'Data Termo'!$H$8/4*($B$75^4-298.15^4)+'Data Termo'!$I$8/5*($B$75^5-298.15^5))</f>
        <v>2242.8964745616945</v>
      </c>
      <c r="D83" s="216">
        <f>'NME-2 Oksiklorinasi'!Q22</f>
        <v>0.00239582171861632</v>
      </c>
      <c r="E83" s="217">
        <f>('Data Termo'!$E$8*($D$75-298.15)+'Data Termo'!$F$8/2*($D$75^2-298.15^2)+'Data Termo'!$G$8/3*($D$75^3-298.15^3)+'Data Termo'!$H$8/4*($D$75^4-298.15^4)+'Data Termo'!$I$8/5*($D$75^5-298.15^5))</f>
        <v>12963.418241844996</v>
      </c>
      <c r="F83" s="216">
        <f>M19</f>
        <v>0.00239582171861632</v>
      </c>
      <c r="G83" s="217">
        <f>('Data Termo'!$E$8*($F$75-298.15)+'Data Termo'!$F$8/2*($F$75^2-298.15^2)+'Data Termo'!$G$8/3*($F$75^3-298.15^3)+'Data Termo'!$H$8/4*($F$75^4-298.15^4)+'Data Termo'!$I$8/5*($F$75^5-298.15^5))</f>
        <v>-2528.464176295893</v>
      </c>
      <c r="H83" s="216">
        <f>Q19</f>
        <v>0.0</v>
      </c>
      <c r="I83" s="217">
        <f>('Data Termo'!$E$8*($H$75-298.15)+'Data Termo'!$F$8/2*($H$75^2-298.15^2)+'Data Termo'!$G$8/3*($H$75^3-298.15^3)+'Data Termo'!$H$8/4*($H$75^4-298.15^4)+'Data Termo'!$I$8/5*($H$75^5-298.15^5))</f>
        <v>538.6311681163465</v>
      </c>
      <c r="J83" s="216">
        <f>U19</f>
        <v>0.0</v>
      </c>
      <c r="K83" s="217">
        <f>('Data Termo'!$E$8*($J$75-298.15)+'Data Termo'!$F$8/2*($J$75^2-298.15^2)+'Data Termo'!$G$8/3*($J$75^3-298.15^3)+'Data Termo'!$H$8/4*($J$75^4-298.15^4)+'Data Termo'!$I$8/5*($J$75^5-298.15^5))</f>
        <v>538.6311681163465</v>
      </c>
    </row>
    <row r="84">
      <c r="A84" s="163" t="inlineStr">
        <is>
          <t>C₂H₂ (g)</t>
        </is>
      </c>
      <c r="B84" s="216">
        <f>E20</f>
        <v>0.0</v>
      </c>
      <c r="C84" s="217">
        <f>('Data Termo'!$E$9*($B$75-298.15)+'Data Termo'!$F$9/2*($B$75^2-298.15^2)+'Data Termo'!$G$9/3*($B$75^3-298.15^3)+'Data Termo'!$H$9/4*($B$75^4-298.15^4)+'Data Termo'!$I$9/5*($B$75^5-298.15^5))</f>
        <v>1842.1957295638333</v>
      </c>
      <c r="D84" s="216">
        <f>'NME-2 Oksiklorinasi'!Q23</f>
        <v>0.0010597077334245327</v>
      </c>
      <c r="E84" s="217">
        <f>('Data Termo'!$E$9*($D$75-298.15)+'Data Termo'!$F$9/2*($D$75^2-298.15^2)+'Data Termo'!$G$9/3*($D$75^3-298.15^3)+'Data Termo'!$H$9/4*($D$75^4-298.15^4)+'Data Termo'!$I$9/5*($D$75^5-298.15^5))</f>
        <v>9916.153141147293</v>
      </c>
      <c r="F84" s="216">
        <f>M20</f>
        <v>0.0010597077334245327</v>
      </c>
      <c r="G84" s="217">
        <f>('Data Termo'!$E$9*($F$75-298.15)+'Data Termo'!$F$9/2*($F$75^2-298.15^2)+'Data Termo'!$G$9/3*($F$75^3-298.15^3)+'Data Termo'!$H$9/4*($F$75^4-298.15^4)+'Data Termo'!$I$9/5*($F$75^5-298.15^5))</f>
        <v>-2147.9682898887813</v>
      </c>
      <c r="H84" s="216">
        <f>Q20</f>
        <v>0.0</v>
      </c>
      <c r="I84" s="217">
        <f>('Data Termo'!$E$9*($H$75-298.15)+'Data Termo'!$F$9/2*($H$75^2-298.15^2)+'Data Termo'!$G$9/3*($H$75^3-298.15^3)+'Data Termo'!$H$9/4*($H$75^4-298.15^4)+'Data Termo'!$I$9/5*($H$75^5-298.15^5))</f>
        <v>447.83669959857696</v>
      </c>
      <c r="J84" s="216">
        <f>U20</f>
        <v>0.0</v>
      </c>
      <c r="K84" s="217">
        <f>('Data Termo'!$E$9*($J$75-298.15)+'Data Termo'!$F$9/2*($J$75^2-298.15^2)+'Data Termo'!$G$9/3*($J$75^3-298.15^3)+'Data Termo'!$H$9/4*($J$75^4-298.15^4)+'Data Termo'!$I$9/5*($J$75^5-298.15^5))</f>
        <v>447.83669959857696</v>
      </c>
    </row>
    <row r="85">
      <c r="A85" s="163" t="inlineStr">
        <is>
          <t>Cl₂ (g)</t>
        </is>
      </c>
      <c r="B85" s="172" t="inlineStr">
        <is>
          <t>-</t>
        </is>
      </c>
      <c r="C85" s="172" t="inlineStr">
        <is>
          <t>-</t>
        </is>
      </c>
      <c r="D85" s="216">
        <f>'NME-2 Oksiklorinasi'!Q24</f>
        <v>3.095018670362267</v>
      </c>
      <c r="E85" s="217">
        <f>'Data Termo'!$V$10+('Data Termo'!$E$10*($D$75-298.15)+'Data Termo'!$F$10/2*($D$75^2-298.15^2)+'Data Termo'!$G$10/3*($D$75^3-298.15^3)+'Data Termo'!$H$10/4*($D$75^4-298.15^4)+'Data Termo'!$I$10/5*($D$75^5-298.15^5))</f>
        <v>24255.5397515117</v>
      </c>
      <c r="F85" s="216">
        <f>M21</f>
        <v>3.095018670362267</v>
      </c>
      <c r="G85" s="217">
        <f>'Data Termo'!$V$10+('Data Termo'!$E$10*($F$75-298.15)+'Data Termo'!$F$10/2*($F$75^2-298.15^2)+'Data Termo'!$G$10/3*($F$75^3-298.15^3)+'Data Termo'!$H$10/4*($F$75^4-298.15^4)+'Data Termo'!$I$10/5*($F$75^5-298.15^5))</f>
        <v>15603.858327429767</v>
      </c>
      <c r="H85" s="172" t="inlineStr">
        <is>
          <t>-</t>
        </is>
      </c>
      <c r="I85" s="172" t="inlineStr">
        <is>
          <t>-</t>
        </is>
      </c>
      <c r="J85" s="172" t="inlineStr">
        <is>
          <t>-</t>
        </is>
      </c>
      <c r="K85" s="172" t="inlineStr">
        <is>
          <t>-</t>
        </is>
      </c>
    </row>
    <row r="86">
      <c r="A86" s="163" t="inlineStr">
        <is>
          <t>H₂O (l)</t>
        </is>
      </c>
      <c r="B86" s="216">
        <f>E23</f>
        <v>0.010242885514456384</v>
      </c>
      <c r="C86" s="217">
        <f>('Data Termo'!$J$12*($B$75-298.15)+'Data Termo'!$K$12/2*($B$75^2-298.15^2)+'Data Termo'!$L$12/3*($B$75^3-298.15^3)+'Data Termo'!$M$12/4*($B$75^4-298.15^4))</f>
        <v>3036.5965815989084</v>
      </c>
      <c r="D86" s="172" t="inlineStr">
        <is>
          <t>-</t>
        </is>
      </c>
      <c r="E86" s="172" t="inlineStr">
        <is>
          <t>-</t>
        </is>
      </c>
      <c r="F86" s="172" t="inlineStr">
        <is>
          <t>-</t>
        </is>
      </c>
      <c r="G86" s="172" t="inlineStr">
        <is>
          <t>-</t>
        </is>
      </c>
      <c r="H86" s="216">
        <f>Q23</f>
        <v>197.04795968731017</v>
      </c>
      <c r="I86" s="217">
        <f>('Data Termo'!$J$12*($H$75-298.15)+'Data Termo'!$K$12/2*($H$75^2-298.15^2)+'Data Termo'!$L$12/3*($H$75^3-298.15^3)+'Data Termo'!$M$12/4*($H$75^4-298.15^4))</f>
        <v>754.4607657590545</v>
      </c>
      <c r="J86" s="216">
        <f>U23</f>
        <v>4.575754314852013</v>
      </c>
      <c r="K86" s="217">
        <f>('Data Termo'!$J$12*($J$75-298.15)+'Data Termo'!$K$12/2*($J$75^2-298.15^2)+'Data Termo'!$L$12/3*($J$75^3-298.15^3)+'Data Termo'!$M$12/4*($J$75^4-298.15^4))</f>
        <v>754.4607657590545</v>
      </c>
    </row>
    <row r="87">
      <c r="A87" s="163" t="inlineStr">
        <is>
          <t>H₂O (g)</t>
        </is>
      </c>
      <c r="B87" s="172" t="inlineStr">
        <is>
          <t>-</t>
        </is>
      </c>
      <c r="C87" s="172" t="inlineStr">
        <is>
          <t>-</t>
        </is>
      </c>
      <c r="D87" s="216">
        <f>'NME-2 Oksiklorinasi'!Q26</f>
        <v>201.61347111664787</v>
      </c>
      <c r="E87" s="217">
        <f>'Data Termo'!$V$12+('Data Termo'!$E$12*($D$75-298.15)+'Data Termo'!$F$12/2*($D$75^2-298.15^2)+'Data Termo'!$G$12/3*($D$75^3-298.15^3)+'Data Termo'!$H$12/4*($D$75^4-298.15^4)+'Data Termo'!$I$12/5*($D$75^5-298.15^5))</f>
        <v>49559.01962425891</v>
      </c>
      <c r="F87" s="216">
        <f>M23</f>
        <v>0.0</v>
      </c>
      <c r="G87" s="217">
        <f>'Data Termo'!$V$12+('Data Termo'!$E$12*($F$75-298.15)+'Data Termo'!$F$12/2*($F$75^2-298.15^2)+'Data Termo'!$G$12/3*($F$75^3-298.15^3)+'Data Termo'!$H$12/4*($F$75^4-298.15^4)+'Data Termo'!$I$12/5*($F$75^5-298.15^5))</f>
        <v>41016.69888094502</v>
      </c>
      <c r="H87" s="172" t="inlineStr">
        <is>
          <t>-</t>
        </is>
      </c>
      <c r="I87" s="172" t="inlineStr">
        <is>
          <t>-</t>
        </is>
      </c>
      <c r="J87" s="172" t="inlineStr">
        <is>
          <t>-</t>
        </is>
      </c>
      <c r="K87" s="172" t="inlineStr">
        <is>
          <t>-</t>
        </is>
      </c>
    </row>
    <row r="88">
      <c r="A88" s="163" t="inlineStr">
        <is>
          <t>Br₂ (l)</t>
        </is>
      </c>
      <c r="B88" s="216">
        <f>E25</f>
        <v>0.008660028716159318</v>
      </c>
      <c r="C88" s="217">
        <f>('Data Termo'!$J$14*($B$75-298.15)+'Data Termo'!$K$14/2*($B$75^2-298.15^2)+'Data Termo'!$L$14/3*($B$75^3-298.15^3)+'Data Termo'!$M$14/4*($B$75^4-298.15^4))</f>
        <v>3115.584596693211</v>
      </c>
      <c r="D88" s="172" t="inlineStr">
        <is>
          <t>-</t>
        </is>
      </c>
      <c r="E88" s="172" t="inlineStr">
        <is>
          <t>-</t>
        </is>
      </c>
      <c r="F88" s="172" t="inlineStr">
        <is>
          <t>-</t>
        </is>
      </c>
      <c r="G88" s="172" t="inlineStr">
        <is>
          <t>-</t>
        </is>
      </c>
      <c r="H88" s="216">
        <f>Q25</f>
        <v>0.0</v>
      </c>
      <c r="I88" s="217">
        <f>('Data Termo'!$J$14*($H$75-298.15)+'Data Termo'!$K$14/2*($H$75^2-298.15^2)+'Data Termo'!$L$14/3*($H$75^3-298.15^3)+'Data Termo'!$M$14/4*($H$75^4-298.15^4))</f>
        <v>767.1143166804618</v>
      </c>
      <c r="J88" s="216">
        <f>U25</f>
        <v>0.008660028716159318</v>
      </c>
      <c r="K88" s="217">
        <f>('Data Termo'!$J$14*($J$75-298.15)+'Data Termo'!$K$14/2*($J$75^2-298.15^2)+'Data Termo'!$L$14/3*($J$75^3-298.15^3)+'Data Termo'!$M$14/4*($J$75^4-298.15^4))</f>
        <v>767.1143166804618</v>
      </c>
    </row>
    <row r="89">
      <c r="A89" s="163" t="inlineStr">
        <is>
          <t>NCl₃ (l)</t>
        </is>
      </c>
      <c r="B89" s="216">
        <f>E26</f>
        <v>0.0006387709001195385</v>
      </c>
      <c r="C89" s="217">
        <f>-'Data Termo'!$V$15+('Data Termo'!$J$15*($B$75-298.15)+'Data Termo'!$K$15/2*($B$75^2-298.15^2)+'Data Termo'!$L$15/3*($B$75^3-298.15^3)+'Data Termo'!$M$15/4*($B$75^4-298.15^4))</f>
        <v>-28528.25087760858</v>
      </c>
      <c r="D89" s="172" t="inlineStr">
        <is>
          <t>-</t>
        </is>
      </c>
      <c r="E89" s="172" t="inlineStr">
        <is>
          <t>-</t>
        </is>
      </c>
      <c r="F89" s="172" t="inlineStr">
        <is>
          <t>-</t>
        </is>
      </c>
      <c r="G89" s="172" t="inlineStr">
        <is>
          <t>-</t>
        </is>
      </c>
      <c r="H89" s="216">
        <f>Q26</f>
        <v>0.0</v>
      </c>
      <c r="I89" s="217">
        <f>-'Data Termo'!$V$15+('Data Termo'!$J$15*($H$75-298.15)+'Data Termo'!$K$15/2*($H$75^2-298.15^2)+'Data Termo'!$L$15/3*($H$75^3-298.15^3)+'Data Termo'!$M$15/4*($H$75^4-298.15^4))</f>
        <v>-31686.70628400893</v>
      </c>
      <c r="J89" s="216">
        <f>U26</f>
        <v>0.0006387709001195385</v>
      </c>
      <c r="K89" s="217">
        <f>-'Data Termo'!$V$15+('Data Termo'!$J$15*($J$75-298.15)+'Data Termo'!$K$15/2*($J$75^2-298.15^2)+'Data Termo'!$L$15/3*($J$75^3-298.15^3)+'Data Termo'!$M$15/4*($J$75^4-298.15^4))</f>
        <v>-31686.70628400893</v>
      </c>
    </row>
    <row r="90">
      <c r="A90" s="163" t="inlineStr">
        <is>
          <t>O₂ (g)</t>
        </is>
      </c>
      <c r="B90" s="216">
        <f>E28</f>
        <v>0.0</v>
      </c>
      <c r="C90" s="217">
        <f>('Data Termo'!$E$17*($B$75-298.15)+'Data Termo'!$F$17/2*($B$75^2-298.15^2)+'Data Termo'!$G$17/3*($B$75^3-298.15^3)+'Data Termo'!$H$17/4*($B$75^4-298.15^4)+'Data Termo'!$I$17/5*($B$75^5-298.15^5))</f>
        <v>1194.322231692593</v>
      </c>
      <c r="D90" s="216">
        <f>'NME-2 Oksiklorinasi'!Q31</f>
        <v>59.75237954463306</v>
      </c>
      <c r="E90" s="217">
        <f>('Data Termo'!$E$17*($D$75-298.15)+'Data Termo'!$F$17/2*($D$75^2-298.15^2)+'Data Termo'!$G$17/3*($D$75^3-298.15^3)+'Data Termo'!$H$17/4*($D$75^4-298.15^4)+'Data Termo'!$I$17/5*($D$75^5-298.15^5))</f>
        <v>6041.620866904568</v>
      </c>
      <c r="F90" s="216">
        <f>M28</f>
        <v>59.75237954463306</v>
      </c>
      <c r="G90" s="217">
        <f>('Data Termo'!$E$17*($F$75-298.15)+'Data Termo'!$F$17/2*($F$75^2-298.15^2)+'Data Termo'!$G$17/3*($F$75^3-298.15^3)+'Data Termo'!$H$17/4*($F$75^4-298.15^4)+'Data Termo'!$I$17/5*($F$75^5-298.15^5))</f>
        <v>-1466.196911279335</v>
      </c>
      <c r="H90" s="216">
        <f>Q28</f>
        <v>0.0</v>
      </c>
      <c r="I90" s="217">
        <f>('Data Termo'!$E$17*($H$75-298.15)+'Data Termo'!$F$17/2*($H$75^2-298.15^2)+'Data Termo'!$G$17/3*($H$75^3-298.15^3)+'Data Termo'!$H$17/4*($H$75^4-298.15^4)+'Data Termo'!$I$17/5*($H$75^5-298.15^5))</f>
        <v>294.9373837169245</v>
      </c>
      <c r="J90" s="216">
        <f>U28</f>
        <v>0.0</v>
      </c>
      <c r="K90" s="217">
        <f>('Data Termo'!$E$17*($J$75-298.15)+'Data Termo'!$F$17/2*($J$75^2-298.15^2)+'Data Termo'!$G$17/3*($J$75^3-298.15^3)+'Data Termo'!$H$17/4*($J$75^4-298.15^4)+'Data Termo'!$I$17/5*($J$75^5-298.15^5))</f>
        <v>294.9373837169245</v>
      </c>
    </row>
    <row r="91">
      <c r="A91" s="163" t="inlineStr">
        <is>
          <t>N₂ (g)</t>
        </is>
      </c>
      <c r="B91" s="216">
        <f>E29</f>
        <v>0.0</v>
      </c>
      <c r="C91" s="217">
        <f>('Data Termo'!$E$18*($B$75-298.15)+'Data Termo'!$F$18/2*($B$75^2-298.15^2)+'Data Termo'!$G$18/3*($B$75^3-298.15^3)+'Data Termo'!$H$18/4*($B$75^4-298.15^4)+'Data Termo'!$I$18/5*($B$75^5-298.15^5))</f>
        <v>1174.4897694264635</v>
      </c>
      <c r="D91" s="216">
        <f>'NME-2 Oksiklorinasi'!Q32</f>
        <v>611.6537718208176</v>
      </c>
      <c r="E91" s="217">
        <f>('Data Termo'!$E$18*($D$75-298.15)+'Data Termo'!$F$18/2*($D$75^2-298.15^2)+'Data Termo'!$G$18/3*($D$75^3-298.15^3)+'Data Termo'!$H$18/4*($D$75^4-298.15^4)+'Data Termo'!$I$18/5*($D$75^5-298.15^5))</f>
        <v>5856.3327122126875</v>
      </c>
      <c r="F91" s="216">
        <f>M29</f>
        <v>611.6537718208176</v>
      </c>
      <c r="G91" s="217">
        <f>('Data Termo'!$E$18*($F$75-298.15)+'Data Termo'!$F$18/2*($F$75^2-298.15^2)+'Data Termo'!$G$18/3*($F$75^3-298.15^3)+'Data Termo'!$H$18/4*($F$75^4-298.15^4)+'Data Termo'!$I$18/5*($F$75^5-298.15^5))</f>
        <v>-1452.0962993633736</v>
      </c>
      <c r="H91" s="216">
        <f>Q29</f>
        <v>0.0</v>
      </c>
      <c r="I91" s="217">
        <f>('Data Termo'!$E$18*($H$75-298.15)+'Data Termo'!$F$18/2*($H$75^2-298.15^2)+'Data Termo'!$G$18/3*($H$75^3-298.15^3)+'Data Termo'!$H$18/4*($H$75^4-298.15^4)+'Data Termo'!$I$18/5*($H$75^5-298.15^5))</f>
        <v>290.77108187013283</v>
      </c>
      <c r="J91" s="216">
        <f>U29</f>
        <v>0.0</v>
      </c>
      <c r="K91" s="217">
        <f>('Data Termo'!$E$18*($J$75-298.15)+'Data Termo'!$F$18/2*($J$75^2-298.15^2)+'Data Termo'!$G$18/3*($J$75^3-298.15^3)+'Data Termo'!$H$18/4*($J$75^4-298.15^4)+'Data Termo'!$I$18/5*($J$75^5-298.15^5))</f>
        <v>290.77108187013283</v>
      </c>
    </row>
    <row r="92">
      <c r="A92" s="163" t="inlineStr">
        <is>
          <t>CO₂ (g)</t>
        </is>
      </c>
      <c r="B92" s="216">
        <f>E30</f>
        <v>0.0</v>
      </c>
      <c r="C92" s="217">
        <f>('Data Termo'!$E$19*($B$75-298.15)+'Data Termo'!$F$19/2*($B$75^2-298.15^2)+'Data Termo'!$G$19/3*($B$75^3-298.15^3)+'Data Termo'!$H$19/4*($B$75^4-298.15^4)+'Data Termo'!$I$19/5*($B$75^5-298.15^5))</f>
        <v>1576.0065827985006</v>
      </c>
      <c r="D92" s="216">
        <f>'NME-2 Oksiklorinasi'!Q33</f>
        <v>2.0323938620725244</v>
      </c>
      <c r="E92" s="217">
        <f>('Data Termo'!$E$19*($D$75-298.15)+'Data Termo'!$F$19/2*($D$75^2-298.15^2)+'Data Termo'!$G$19/3*($D$75^3-298.15^3)+'Data Termo'!$H$19/4*($D$75^4-298.15^4)+'Data Termo'!$I$19/5*($D$75^5-298.15^5))</f>
        <v>8275.864857327086</v>
      </c>
      <c r="F92" s="216">
        <f>M30</f>
        <v>2.0323938620725244</v>
      </c>
      <c r="G92" s="217">
        <f>('Data Termo'!$E$19*($F$75-298.15)+'Data Termo'!$F$19/2*($F$75^2-298.15^2)+'Data Termo'!$G$19/3*($F$75^3-298.15^3)+'Data Termo'!$H$19/4*($F$75^4-298.15^4)+'Data Termo'!$I$19/5*($F$75^5-298.15^5))</f>
        <v>-1880.6348957197783</v>
      </c>
      <c r="H92" s="216">
        <f>Q30</f>
        <v>0.0</v>
      </c>
      <c r="I92" s="217">
        <f>('Data Termo'!$E$19*($H$75-298.15)+'Data Termo'!$F$19/2*($H$75^2-298.15^2)+'Data Termo'!$G$19/3*($H$75^3-298.15^3)+'Data Termo'!$H$19/4*($H$75^4-298.15^4)+'Data Termo'!$I$19/5*($H$75^5-298.15^5))</f>
        <v>385.7638105265518</v>
      </c>
      <c r="J92" s="216">
        <f>U30</f>
        <v>0.0</v>
      </c>
      <c r="K92" s="217">
        <f>('Data Termo'!$E$19*($J$75-298.15)+'Data Termo'!$F$19/2*($J$75^2-298.15^2)+'Data Termo'!$G$19/3*($J$75^3-298.15^3)+'Data Termo'!$H$19/4*($J$75^4-298.15^4)+'Data Termo'!$I$19/5*($J$75^5-298.15^5))</f>
        <v>385.7638105265518</v>
      </c>
    </row>
    <row r="93">
      <c r="A93" s="163" t="inlineStr">
        <is>
          <t>EDC (l)</t>
        </is>
      </c>
      <c r="B93" s="216">
        <f>E31</f>
        <v>215.97061771148134</v>
      </c>
      <c r="C93" s="217">
        <f>('Data Termo'!$J$20*($B$75-298.15)+'Data Termo'!$K$20/2*($B$75^2-298.15^2)+'Data Termo'!$L$20/3*($B$75^3-298.15^3)+'Data Termo'!$M$20/4*($B$75^4-298.15^4))</f>
        <v>5318.066696137506</v>
      </c>
      <c r="D93" s="172" t="inlineStr">
        <is>
          <t>-</t>
        </is>
      </c>
      <c r="E93" s="172" t="inlineStr">
        <is>
          <t>-</t>
        </is>
      </c>
      <c r="F93" s="172" t="inlineStr">
        <is>
          <t>-</t>
        </is>
      </c>
      <c r="G93" s="172" t="inlineStr">
        <is>
          <t>-</t>
        </is>
      </c>
      <c r="H93" s="216">
        <f>Q31</f>
        <v>0.030432657600596623</v>
      </c>
      <c r="I93" s="217">
        <f>('Data Termo'!$J$20*($H$75-298.15)+'Data Termo'!$K$20/2*($H$75^2-298.15^2)+'Data Termo'!$L$20/3*($H$75^3-298.15^3)+'Data Termo'!$M$20/4*($H$75^4-298.15^4))</f>
        <v>1294.871613376472</v>
      </c>
      <c r="J93" s="216">
        <f>U31</f>
        <v>414.5228599660036</v>
      </c>
      <c r="K93" s="217">
        <f>('Data Termo'!$J$20*($J$75-298.15)+'Data Termo'!$K$20/2*($J$75^2-298.15^2)+'Data Termo'!$L$20/3*($J$75^3-298.15^3)+'Data Termo'!$M$20/4*($J$75^4-298.15^4))</f>
        <v>1294.871613376472</v>
      </c>
    </row>
    <row r="94">
      <c r="A94" s="163" t="inlineStr">
        <is>
          <t>EDC (g)</t>
        </is>
      </c>
      <c r="B94" s="172" t="inlineStr">
        <is>
          <t>-</t>
        </is>
      </c>
      <c r="C94" s="172" t="inlineStr">
        <is>
          <t>-</t>
        </is>
      </c>
      <c r="D94" s="216">
        <f>'NME-2 Oksiklorinasi'!Q34</f>
        <v>199.58107725457117</v>
      </c>
      <c r="E94" s="217">
        <f>'Data Termo'!$V$20+('Data Termo'!$E$20*($D$75-298.15)+'Data Termo'!$F$20/2*($D$75^2-298.15^2)+'Data Termo'!$G$20/3*($D$75^3-298.15^3)+'Data Termo'!$H$20/4*($D$75^4-298.15^4)+'Data Termo'!$I$20/5*($D$75^5-298.15^5))</f>
        <v>53391.03921356976</v>
      </c>
      <c r="F94" s="216">
        <f>M31</f>
        <v>0.9984023424483701</v>
      </c>
      <c r="G94" s="217">
        <f>'Data Termo'!$V$20+('Data Termo'!$E$20*($F$75-298.15)+'Data Termo'!$F$20/2*($F$75^2-298.15^2)+'Data Termo'!$G$20/3*($F$75^3-298.15^3)+'Data Termo'!$H$20/4*($F$75^4-298.15^4)+'Data Termo'!$I$20/5*($F$75^5-298.15^5))</f>
        <v>31259.13868613562</v>
      </c>
      <c r="H94" s="172" t="inlineStr">
        <is>
          <t>-</t>
        </is>
      </c>
      <c r="I94" s="172" t="inlineStr">
        <is>
          <t>-</t>
        </is>
      </c>
      <c r="J94" s="172" t="inlineStr">
        <is>
          <t>-</t>
        </is>
      </c>
      <c r="K94" s="172" t="inlineStr">
        <is>
          <t>-</t>
        </is>
      </c>
    </row>
    <row r="95">
      <c r="A95" s="163" t="inlineStr">
        <is>
          <t>TCE (l)</t>
        </is>
      </c>
      <c r="B95" s="216">
        <f>E32</f>
        <v>0.04817685591565345</v>
      </c>
      <c r="C95" s="217">
        <f>('Data Termo'!$J$21*($B$75-298.15)+'Data Termo'!$K$21/2*($B$75^2-298.15^2)+'Data Termo'!$L$21/3*($B$75^3-298.15^3)+'Data Termo'!$M$21/4*($B$75^4-298.15^4))</f>
        <v>6250.937283062956</v>
      </c>
      <c r="D95" s="172" t="inlineStr">
        <is>
          <t>-</t>
        </is>
      </c>
      <c r="E95" s="172" t="inlineStr">
        <is>
          <t>-</t>
        </is>
      </c>
      <c r="F95" s="172" t="inlineStr">
        <is>
          <t>-</t>
        </is>
      </c>
      <c r="G95" s="172" t="inlineStr">
        <is>
          <t>-</t>
        </is>
      </c>
      <c r="H95" s="216">
        <f>Q32</f>
        <v>0.0</v>
      </c>
      <c r="I95" s="217">
        <f>('Data Termo'!$J$21*($H$75-298.15)+'Data Termo'!$K$21/2*($H$75^2-298.15^2)+'Data Termo'!$L$21/3*($H$75^3-298.15^3)+'Data Termo'!$M$21/4*($H$75^4-298.15^4))</f>
        <v>1522.960749517505</v>
      </c>
      <c r="J95" s="216">
        <f>U32</f>
        <v>0.04817685591565345</v>
      </c>
      <c r="K95" s="217">
        <f>('Data Termo'!$J$21*($J$75-298.15)+'Data Termo'!$K$21/2*($J$75^2-298.15^2)+'Data Termo'!$L$21/3*($J$75^3-298.15^3)+'Data Termo'!$M$21/4*($J$75^4-298.15^4))</f>
        <v>1522.960749517505</v>
      </c>
    </row>
    <row r="96">
      <c r="A96" s="163" t="inlineStr">
        <is>
          <t>HCl (g)</t>
        </is>
      </c>
      <c r="B96" s="216">
        <f>E33</f>
        <v>0.0</v>
      </c>
      <c r="C96" s="217">
        <f>('Data Termo'!$E$22*($B$75-298.15)+'Data Termo'!$F$22/2*($B$75^2-298.15^2)+'Data Termo'!$G$22/3*($B$75^3-298.15^3)+'Data Termo'!$H$22/4*($B$75^4-298.15^4)+'Data Termo'!$I$22/5*($B$75^5-298.15^5))</f>
        <v>1174.1062934300317</v>
      </c>
      <c r="D96" s="216">
        <f>'NME-2 Oksiklorinasi'!Q36</f>
        <v>5.690702813775847</v>
      </c>
      <c r="E96" s="217">
        <f>('Data Termo'!$E$22*($D$75-298.15)+'Data Termo'!$F$22/2*($D$75^2-298.15^2)+'Data Termo'!$G$22/3*($D$75^3-298.15^3)+'Data Termo'!$H$22/4*($D$75^4-298.15^4)+'Data Termo'!$I$22/5*($D$75^5-298.15^5))</f>
        <v>5837.15873281483</v>
      </c>
      <c r="F96" s="216">
        <f>M33</f>
        <v>0.0</v>
      </c>
      <c r="G96" s="217">
        <f>('Data Termo'!$E$22*($F$75-298.15)+'Data Termo'!$F$22/2*($F$75^2-298.15^2)+'Data Termo'!$G$22/3*($F$75^3-298.15^3)+'Data Termo'!$H$22/4*($F$75^4-298.15^4)+'Data Termo'!$I$22/5*($F$75^5-298.15^5))</f>
        <v>-1453.5625946582938</v>
      </c>
      <c r="H96" s="172" t="inlineStr">
        <is>
          <t>-</t>
        </is>
      </c>
      <c r="I96" s="172" t="inlineStr">
        <is>
          <t>-</t>
        </is>
      </c>
      <c r="J96" s="172" t="inlineStr">
        <is>
          <t>-</t>
        </is>
      </c>
      <c r="K96" s="172" t="inlineStr">
        <is>
          <t>-</t>
        </is>
      </c>
    </row>
    <row r="97">
      <c r="A97" s="163" t="inlineStr">
        <is>
          <t>HCl (aq)</t>
        </is>
      </c>
      <c r="B97" s="172" t="inlineStr">
        <is>
          <t>-</t>
        </is>
      </c>
      <c r="C97" s="172" t="inlineStr">
        <is>
          <t>-</t>
        </is>
      </c>
      <c r="D97" s="172" t="inlineStr">
        <is>
          <t>-</t>
        </is>
      </c>
      <c r="E97" s="172" t="inlineStr">
        <is>
          <t>-</t>
        </is>
      </c>
      <c r="F97" s="172" t="inlineStr">
        <is>
          <t>-</t>
        </is>
      </c>
      <c r="G97" s="172" t="inlineStr">
        <is>
          <t>-</t>
        </is>
      </c>
      <c r="H97" s="216">
        <f>Q33</f>
        <v>5.690702813775847</v>
      </c>
      <c r="I97" s="217">
        <f>('Data Termo'!$E$22*($H$75-298.15)+'Data Termo'!$F$22/2*($H$75^2-298.15^2)+'Data Termo'!$G$22/3*($H$75^3-298.15^3)+'Data Termo'!$H$22/4*($H$75^4-298.15^4)+'Data Termo'!$I$22/5*($H$75^5-298.15^5))</f>
        <v>290.81943527478916</v>
      </c>
      <c r="J97" s="172" t="inlineStr">
        <is>
          <t>-</t>
        </is>
      </c>
      <c r="K97" s="172" t="inlineStr">
        <is>
          <t>-</t>
        </is>
      </c>
    </row>
    <row r="98">
      <c r="A98" s="163" t="inlineStr">
        <is>
          <t>FeCl₃ (s)</t>
        </is>
      </c>
      <c r="B98" s="216">
        <f>E34</f>
        <v>0.02642235069805515</v>
      </c>
      <c r="C98" s="217">
        <f>('Data Termo'!$N$23*($B$75-298.15)+'Data Termo'!$O$23/2*($B$75^2-298.15^2)+'Data Termo'!$P$23/3*($B$75^3-298.15^3))</f>
        <v>4041.074231998374</v>
      </c>
      <c r="D98" s="216">
        <f>'NME-2 Oksiklorinasi'!Q37</f>
        <v>0.0</v>
      </c>
      <c r="E98" s="217">
        <f>('Data Termo'!$N$23*($D$75-298.15)+'Data Termo'!$O$23/2*($D$75^2-298.15^2)+'Data Termo'!$P$23/3*($D$75^3-298.15^3))</f>
        <v>21801.592235591663</v>
      </c>
      <c r="F98" s="216">
        <f>M34</f>
        <v>0.0</v>
      </c>
      <c r="G98" s="217">
        <f>('Data Termo'!$N$23*($F$75-298.15)+'Data Termo'!$O$23/2*($F$75^2-298.15^2)+'Data Termo'!$P$23/3*($F$75^3-298.15^3))</f>
        <v>-4676.946840147916</v>
      </c>
      <c r="H98" s="216">
        <f>Q34</f>
        <v>0.025661573995069138</v>
      </c>
      <c r="I98" s="217">
        <f>('Data Termo'!$N$23*($H$75-298.15)+'Data Termo'!$O$23/2*($H$75^2-298.15^2)+'Data Termo'!$P$23/3*($H$75^3-298.15^3))</f>
        <v>980.394326529583</v>
      </c>
      <c r="J98" s="216">
        <f>U34</f>
        <v>0.0007607767029859938</v>
      </c>
      <c r="K98" s="217">
        <f>('Data Termo'!$N$23*($J$75-298.15)+'Data Termo'!$O$23/2*($J$75^2-298.15^2)+'Data Termo'!$P$23/3*($J$75^3-298.15^3))</f>
        <v>980.394326529583</v>
      </c>
    </row>
    <row r="99">
      <c r="A99" s="163" t="inlineStr">
        <is>
          <t>C₂H₅Cl (l)</t>
        </is>
      </c>
      <c r="B99" s="216">
        <f>E35</f>
        <v>0.0</v>
      </c>
      <c r="C99" s="217">
        <f>-'Data Termo'!$V$24+('Data Termo'!$J$24*($B$75-298.15)+'Data Termo'!$K$24/2*($B$75^2-298.15^2)+'Data Termo'!$L$24/3*($B$75^3-298.15^3)+'Data Termo'!$M$24/4*($B$75^4-298.15^4))</f>
        <v>-19654.32225425627</v>
      </c>
      <c r="D99" s="172" t="inlineStr">
        <is>
          <t>-</t>
        </is>
      </c>
      <c r="E99" s="172" t="inlineStr">
        <is>
          <t>-</t>
        </is>
      </c>
      <c r="F99" s="172" t="inlineStr">
        <is>
          <t>-</t>
        </is>
      </c>
      <c r="G99" s="172" t="inlineStr">
        <is>
          <t>-</t>
        </is>
      </c>
      <c r="H99" s="216">
        <f>Q35</f>
        <v>0.0</v>
      </c>
      <c r="I99" s="217">
        <f>-'Data Termo'!$V$24+('Data Termo'!$J$24*($H$75-298.15)+'Data Termo'!$K$24/2*($H$75^2-298.15^2)+'Data Termo'!$L$24/3*($H$75^3-298.15^3)+'Data Termo'!$M$24/4*($H$75^4-298.15^4))</f>
        <v>-23008.296960401192</v>
      </c>
      <c r="J99" s="216">
        <f>U35</f>
        <v>1.6259150896419214</v>
      </c>
      <c r="K99" s="217">
        <f>-'Data Termo'!$V$24+('Data Termo'!$J$24*($J$75-298.15)+'Data Termo'!$K$24/2*($J$75^2-298.15^2)+'Data Termo'!$L$24/3*($J$75^3-298.15^3)+'Data Termo'!$M$24/4*($J$75^4-298.15^4))</f>
        <v>-23008.296960401192</v>
      </c>
    </row>
    <row r="100">
      <c r="A100" s="163" t="inlineStr">
        <is>
          <t>C₂H₅Cl (g)</t>
        </is>
      </c>
      <c r="B100" s="172" t="inlineStr">
        <is>
          <t>-</t>
        </is>
      </c>
      <c r="C100" s="172" t="inlineStr">
        <is>
          <t>-</t>
        </is>
      </c>
      <c r="D100" s="216">
        <f>'NME-2 Oksiklorinasi'!Q38</f>
        <v>1.6259150896419214</v>
      </c>
      <c r="E100" s="217">
        <f>('Data Termo'!$E$24*($D$75-298.15)+'Data Termo'!$F$24/2*($D$75^2-298.15^2)+'Data Termo'!$G$24/3*($D$75^3-298.15^3)+'Data Termo'!$H$24/4*($D$75^4-298.15^4)+'Data Termo'!$I$24/5*($D$75^5-298.15^5))</f>
        <v>15264.08853789719</v>
      </c>
      <c r="F100" s="216">
        <f>M35</f>
        <v>0.0</v>
      </c>
      <c r="G100" s="217">
        <f>('Data Termo'!$E$24*($F$75-298.15)+'Data Termo'!$F$24/2*($F$75^2-298.15^2)+'Data Termo'!$G$24/3*($F$75^3-298.15^3)+'Data Termo'!$H$24/4*($F$75^4-298.15^4)+'Data Termo'!$I$24/5*($F$75^5-298.15^5))</f>
        <v>-3057.0421027958914</v>
      </c>
      <c r="H100" s="172" t="inlineStr">
        <is>
          <t>-</t>
        </is>
      </c>
      <c r="I100" s="172" t="inlineStr">
        <is>
          <t>-</t>
        </is>
      </c>
      <c r="J100" s="172" t="inlineStr">
        <is>
          <t>-</t>
        </is>
      </c>
      <c r="K100" s="172" t="inlineStr">
        <is>
          <t>-</t>
        </is>
      </c>
    </row>
    <row r="101">
      <c r="A101" s="163" t="inlineStr">
        <is>
          <t>VCM (g)</t>
        </is>
      </c>
      <c r="B101" s="172" t="inlineStr">
        <is>
          <t>-</t>
        </is>
      </c>
      <c r="C101" s="172" t="inlineStr">
        <is>
          <t>-</t>
        </is>
      </c>
      <c r="D101" s="216">
        <f>'NME-2 Oksiklorinasi'!Q39</f>
        <v>0.0409614752558173</v>
      </c>
      <c r="E101" s="217">
        <f>('Data Termo'!$E$25*($D$75-298.15)+'Data Termo'!$F$25/2*($D$75^2-298.15^2)+'Data Termo'!$G$25/3*($D$75^3-298.15^3)+'Data Termo'!$H$25/4*($D$75^4-298.15^4)+'Data Termo'!$I$25/5*($D$75^5-298.15^5))</f>
        <v>12950.039819909229</v>
      </c>
      <c r="F101" s="216">
        <f>M36</f>
        <v>0.0409614752558173</v>
      </c>
      <c r="G101" s="217">
        <f>('Data Termo'!$E$25*($F$75-298.15)+'Data Termo'!$F$25/2*($F$75^2-298.15^2)+'Data Termo'!$G$25/3*($F$75^3-298.15^3)+'Data Termo'!$H$25/4*($F$75^4-298.15^4)+'Data Termo'!$I$25/5*($F$75^5-298.15^5))</f>
        <v>-2606.84890519349</v>
      </c>
      <c r="H101" s="172" t="inlineStr">
        <is>
          <t>-</t>
        </is>
      </c>
      <c r="I101" s="172" t="inlineStr">
        <is>
          <t>-</t>
        </is>
      </c>
      <c r="J101" s="172" t="inlineStr">
        <is>
          <t>-</t>
        </is>
      </c>
      <c r="K101" s="172" t="inlineStr">
        <is>
          <t>-</t>
        </is>
      </c>
    </row>
    <row r="102">
      <c r="A102" s="200" t="inlineStr">
        <is>
          <t>Sub Total ṅᵢĤᵢ (kJ/h)</t>
        </is>
      </c>
      <c r="B102" s="218">
        <f>SUMPRODUCT(B81:B101,C81:C101)</f>
        <v>1148993.9361277747</v>
      </c>
      <c r="C102" s="211" t="n"/>
      <c r="D102" s="218">
        <f>SUMPRODUCT(D81:D101,E81:E101)</f>
        <v>24752450.755441733</v>
      </c>
      <c r="E102" s="211" t="n"/>
      <c r="F102" s="218">
        <f>SUMPRODUCT(F81:F101,G81:G101)</f>
        <v>-902506.2706173981</v>
      </c>
      <c r="G102" s="211" t="n"/>
      <c r="H102" s="218">
        <f>SUMPRODUCT(H81:H101,I81:I101)</f>
        <v>150384.4863815675</v>
      </c>
      <c r="I102" s="211" t="n"/>
      <c r="J102" s="218">
        <f>SUMPRODUCT(J81:J101,K81:K101)</f>
        <v>502857.0943629125</v>
      </c>
      <c r="K102" s="211" t="n"/>
    </row>
    <row r="103">
      <c r="A103" s="163" t="inlineStr">
        <is>
          <t>Heat of reaction / heat of mixing (kJ/h)</t>
        </is>
      </c>
      <c r="B103" s="219" t="inlineStr">
        <is>
          <t>-</t>
        </is>
      </c>
      <c r="C103" s="210" t="n"/>
      <c r="D103" s="210" t="n"/>
      <c r="E103" s="211" t="n"/>
      <c r="F103" s="217">
        <f>Q33*'Termodinamika'!$F$112*1000</f>
        <v>-426273.4756715074</v>
      </c>
      <c r="G103" s="210" t="n"/>
      <c r="H103" s="210" t="n"/>
      <c r="I103" s="210" t="n"/>
      <c r="J103" s="210" t="n"/>
      <c r="K103" s="211" t="n"/>
    </row>
    <row r="104">
      <c r="A104" s="200" t="inlineStr">
        <is>
          <t>Q (kJ/h)</t>
        </is>
      </c>
      <c r="B104" s="218">
        <f>(F102+H102+J102+$F$103)-(B102+D102)</f>
        <v>-26576982.85711393</v>
      </c>
      <c r="C104" s="210" t="n"/>
      <c r="D104" s="210" t="n"/>
      <c r="E104" s="210" t="n"/>
      <c r="F104" s="210" t="n"/>
      <c r="G104" s="210" t="n"/>
      <c r="H104" s="210" t="n"/>
      <c r="I104" s="210" t="n"/>
      <c r="J104" s="210" t="n"/>
      <c r="K104" s="211" t="n"/>
    </row>
    <row r="105">
      <c r="A105" s="200" t="inlineStr">
        <is>
          <t>W (kJ/h)</t>
        </is>
      </c>
      <c r="B105" s="218" t="n">
        <v>0</v>
      </c>
      <c r="C105" s="210" t="n"/>
      <c r="D105" s="210" t="n"/>
      <c r="E105" s="210" t="n"/>
      <c r="F105" s="210" t="n"/>
      <c r="G105" s="210" t="n"/>
      <c r="H105" s="210" t="n"/>
      <c r="I105" s="210" t="n"/>
      <c r="J105" s="210" t="n"/>
      <c r="K105" s="211" t="n"/>
    </row>
    <row r="106">
      <c r="A106" s="200" t="inlineStr">
        <is>
          <t>TOTAL (kJ/h)</t>
        </is>
      </c>
      <c r="B106" s="218">
        <f>B102+D102+$B$104+$B$105</f>
        <v>-675538.1655444242</v>
      </c>
      <c r="C106" s="210" t="n"/>
      <c r="D106" s="210" t="n"/>
      <c r="E106" s="211" t="n"/>
      <c r="F106" s="218">
        <f>(F102+H102+J102+$F$103)</f>
        <v>-675538.1655444256</v>
      </c>
      <c r="G106" s="210" t="n"/>
      <c r="H106" s="210" t="n"/>
      <c r="I106" s="210" t="n"/>
      <c r="J106" s="210" t="n"/>
      <c r="K106" s="211" t="n"/>
    </row>
    <row r="107">
      <c r="A107" s="163" t="inlineStr">
        <is>
          <t>Selisih masuk − keluar (kJ/h)</t>
        </is>
      </c>
      <c r="B107" s="217">
        <f>B106-F106</f>
        <v>1.3969838619232178e-09</v>
      </c>
      <c r="C107" s="210" t="n"/>
      <c r="D107" s="210" t="n"/>
      <c r="E107" s="210" t="n"/>
      <c r="F107" s="210" t="n"/>
      <c r="G107" s="210" t="n"/>
      <c r="H107" s="210" t="n"/>
      <c r="I107" s="210" t="n"/>
      <c r="J107" s="210" t="n"/>
      <c r="K107" s="211" t="n"/>
    </row>
    <row r="108">
      <c r="A108" s="163" t="inlineStr">
        <is>
          <t>Q (kW)</t>
        </is>
      </c>
      <c r="B108" s="217">
        <f>$B$104/3600</f>
        <v>-7382.495238087203</v>
      </c>
      <c r="C108" s="210" t="n"/>
      <c r="D108" s="210" t="n"/>
      <c r="E108" s="210" t="n"/>
      <c r="F108" s="210" t="n"/>
      <c r="G108" s="210" t="n"/>
      <c r="H108" s="210" t="n"/>
      <c r="I108" s="210" t="n"/>
      <c r="J108" s="210" t="n"/>
      <c r="K108" s="211" t="n"/>
    </row>
    <row r="109">
      <c r="A109" s="163" t="inlineStr">
        <is>
          <t>W (kW)</t>
        </is>
      </c>
      <c r="B109" s="217">
        <f>$B$105/3600</f>
        <v>0.0</v>
      </c>
      <c r="C109" s="210" t="n"/>
      <c r="D109" s="210" t="n"/>
      <c r="E109" s="210" t="n"/>
      <c r="F109" s="210" t="n"/>
      <c r="G109" s="210" t="n"/>
      <c r="H109" s="210" t="n"/>
      <c r="I109" s="210" t="n"/>
      <c r="J109" s="210" t="n"/>
      <c r="K109" s="211" t="n"/>
    </row>
  </sheetData>
  <mergeCells count="98">
    <mergeCell ref="B108:K108"/>
    <mergeCell ref="D60:E60"/>
    <mergeCell ref="B65:E65"/>
    <mergeCell ref="C7:L7"/>
    <mergeCell ref="F106:K106"/>
    <mergeCell ref="B102:C102"/>
    <mergeCell ref="D45:E45"/>
    <mergeCell ref="B77:C77"/>
    <mergeCell ref="D77:E77"/>
    <mergeCell ref="B61:C61"/>
    <mergeCell ref="D61:E61"/>
    <mergeCell ref="D48:E48"/>
    <mergeCell ref="F79:G79"/>
    <mergeCell ref="H79:I79"/>
    <mergeCell ref="D72:E72"/>
    <mergeCell ref="F72:G72"/>
    <mergeCell ref="H72:I72"/>
    <mergeCell ref="B105:K105"/>
    <mergeCell ref="F15:I15"/>
    <mergeCell ref="J39:U39"/>
    <mergeCell ref="B49:C49"/>
    <mergeCell ref="F103:K103"/>
    <mergeCell ref="B107:K107"/>
    <mergeCell ref="B64:C64"/>
    <mergeCell ref="D64:E64"/>
    <mergeCell ref="B51:C51"/>
    <mergeCell ref="D73:E73"/>
    <mergeCell ref="D51:E51"/>
    <mergeCell ref="B78:E78"/>
    <mergeCell ref="C12:L12"/>
    <mergeCell ref="J73:K73"/>
    <mergeCell ref="A14:A16"/>
    <mergeCell ref="H102:I102"/>
    <mergeCell ref="F74:G74"/>
    <mergeCell ref="J102:K102"/>
    <mergeCell ref="H74:I74"/>
    <mergeCell ref="B63:E63"/>
    <mergeCell ref="J77:K77"/>
    <mergeCell ref="B39:I39"/>
    <mergeCell ref="B106:E106"/>
    <mergeCell ref="D76:E76"/>
    <mergeCell ref="F76:G76"/>
    <mergeCell ref="B14:I14"/>
    <mergeCell ref="B109:K109"/>
    <mergeCell ref="D75:E75"/>
    <mergeCell ref="B66:E66"/>
    <mergeCell ref="F75:G75"/>
    <mergeCell ref="D47:E47"/>
    <mergeCell ref="A51:A53"/>
    <mergeCell ref="H75:I75"/>
    <mergeCell ref="J75:K75"/>
    <mergeCell ref="C10:L10"/>
    <mergeCell ref="B67:E67"/>
    <mergeCell ref="B40:U40"/>
    <mergeCell ref="C9:L9"/>
    <mergeCell ref="J14:U14"/>
    <mergeCell ref="B103:E103"/>
    <mergeCell ref="B79:C79"/>
    <mergeCell ref="D79:E79"/>
    <mergeCell ref="F73:G73"/>
    <mergeCell ref="B72:C72"/>
    <mergeCell ref="B15:E15"/>
    <mergeCell ref="N15:Q15"/>
    <mergeCell ref="B52:C52"/>
    <mergeCell ref="D52:E52"/>
    <mergeCell ref="H73:I73"/>
    <mergeCell ref="D49:E49"/>
    <mergeCell ref="B60:C60"/>
    <mergeCell ref="C6:L6"/>
    <mergeCell ref="J74:K74"/>
    <mergeCell ref="D102:E102"/>
    <mergeCell ref="F102:G102"/>
    <mergeCell ref="F77:G77"/>
    <mergeCell ref="H77:I77"/>
    <mergeCell ref="B76:C76"/>
    <mergeCell ref="B45:C45"/>
    <mergeCell ref="B5:L5"/>
    <mergeCell ref="B75:C75"/>
    <mergeCell ref="B47:C47"/>
    <mergeCell ref="C8:L8"/>
    <mergeCell ref="J72:K72"/>
    <mergeCell ref="B46:C46"/>
    <mergeCell ref="D46:E46"/>
    <mergeCell ref="B104:K104"/>
    <mergeCell ref="B48:C48"/>
    <mergeCell ref="B62:E62"/>
    <mergeCell ref="B73:C73"/>
    <mergeCell ref="J79:K79"/>
    <mergeCell ref="R15:U15"/>
    <mergeCell ref="J15:M15"/>
    <mergeCell ref="F78:K78"/>
    <mergeCell ref="B74:C74"/>
    <mergeCell ref="A78:A80"/>
    <mergeCell ref="D74:E74"/>
    <mergeCell ref="H76:I76"/>
    <mergeCell ref="J76:K76"/>
    <mergeCell ref="B50:C50"/>
    <mergeCell ref="D50:E5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3:Q186"/>
  <sheetViews>
    <sheetView tabSelected="0" zoomScale="85"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</cols>
  <sheetData>
    <row r="3">
      <c r="A3" s="169" t="inlineStr">
        <is>
          <t>Neraca Massa dan Energi</t>
        </is>
      </c>
    </row>
    <row r="4">
      <c r="A4" s="169" t="inlineStr">
        <is>
          <t>NM Blok 4: Pemisahan Fraksi Ringan (Kolom Ringan)</t>
        </is>
      </c>
    </row>
    <row r="5">
      <c r="A5" s="202" t="inlineStr">
        <is>
          <t>Tujuan:</t>
        </is>
      </c>
      <c r="B5" s="187" t="inlineStr">
        <is>
          <t>Memisahkan air dan komponen yang lebih ringan dari EDC</t>
        </is>
      </c>
    </row>
    <row r="6">
      <c r="A6" s="202" t="inlineStr">
        <is>
          <t>Unjuk Kerja</t>
        </is>
      </c>
      <c r="B6" s="204">
        <f>35/1000000</f>
        <v>3.5e-05</v>
      </c>
      <c r="C6" s="187" t="inlineStr">
        <is>
          <t>Kadar air dalam EDC kering di produk bawah (fraksi berat)</t>
        </is>
      </c>
    </row>
    <row r="7">
      <c r="B7" s="204">
        <f>10/1000000</f>
        <v>1e-05</v>
      </c>
      <c r="C7" s="187" t="inlineStr">
        <is>
          <t>Kadar VCM dalam produk bawah (fraksi berat)</t>
        </is>
      </c>
    </row>
    <row r="8">
      <c r="B8" s="224">
        <f>3/1000</f>
        <v>0.003</v>
      </c>
      <c r="C8" s="187" t="inlineStr">
        <is>
          <t>EDC terbawa keluar lewat vent kolom (kg/kg EDC R-01 + R-02)</t>
        </is>
      </c>
    </row>
    <row r="9">
      <c r="B9" s="225" t="inlineStr">
        <is>
          <t>Ringan</t>
        </is>
      </c>
      <c r="C9" s="187" t="inlineStr">
        <is>
          <t>Etil klorida, Br₂, NCl₃, dan gas terlarut ke distilat</t>
        </is>
      </c>
    </row>
    <row r="10">
      <c r="B10" s="221" t="n">
        <v>0.6</v>
      </c>
      <c r="C10" s="187" t="inlineStr">
        <is>
          <t>Boil-up ratio V/B reboiler KD-101</t>
        </is>
      </c>
    </row>
    <row r="12">
      <c r="A12" s="202" t="inlineStr">
        <is>
          <t>Basis Perhitungan</t>
        </is>
      </c>
      <c r="B12" s="209">
        <f>'NME-1 Klorinasi Langsung'!$B$16</f>
        <v>6100.572183061604</v>
      </c>
      <c r="C12" s="187" t="inlineStr">
        <is>
          <t>kg/h aliran etilena ke R-01 (NME-1)</t>
        </is>
      </c>
    </row>
    <row r="14">
      <c r="A14" s="162" t="inlineStr">
        <is>
          <t>Substance</t>
        </is>
      </c>
      <c r="B14" s="162" t="inlineStr">
        <is>
          <t>Inlet</t>
        </is>
      </c>
      <c r="C14" s="210" t="n"/>
      <c r="D14" s="210" t="n"/>
      <c r="E14" s="210" t="n"/>
      <c r="F14" s="210" t="n"/>
      <c r="G14" s="210" t="n"/>
      <c r="H14" s="210" t="n"/>
      <c r="I14" s="211" t="n"/>
      <c r="J14" s="162" t="inlineStr">
        <is>
          <t>Outlet</t>
        </is>
      </c>
      <c r="K14" s="210" t="n"/>
      <c r="L14" s="210" t="n"/>
      <c r="M14" s="210" t="n"/>
      <c r="N14" s="210" t="n"/>
      <c r="O14" s="210" t="n"/>
      <c r="P14" s="210" t="n"/>
      <c r="Q14" s="211" t="n"/>
    </row>
    <row r="15">
      <c r="A15" s="212" t="n"/>
      <c r="B15" s="162" t="inlineStr">
        <is>
          <t>Aliran 31</t>
        </is>
      </c>
      <c r="C15" s="210" t="n"/>
      <c r="D15" s="210" t="n"/>
      <c r="E15" s="211" t="n"/>
      <c r="F15" s="162" t="inlineStr">
        <is>
          <t>Aliran 51</t>
        </is>
      </c>
      <c r="G15" s="210" t="n"/>
      <c r="H15" s="210" t="n"/>
      <c r="I15" s="211" t="n"/>
      <c r="J15" s="162" t="inlineStr">
        <is>
          <t>Aliran 32</t>
        </is>
      </c>
      <c r="K15" s="210" t="n"/>
      <c r="L15" s="210" t="n"/>
      <c r="M15" s="211" t="n"/>
      <c r="N15" s="162" t="inlineStr">
        <is>
          <t>Aliran 33</t>
        </is>
      </c>
      <c r="O15" s="210" t="n"/>
      <c r="P15" s="210" t="n"/>
      <c r="Q15" s="211" t="n"/>
    </row>
    <row r="16">
      <c r="A16" s="213" t="n"/>
      <c r="B16" s="214" t="inlineStr">
        <is>
          <t>ẋᵢ</t>
        </is>
      </c>
      <c r="C16" s="214" t="inlineStr">
        <is>
          <t>ṁᵢ (kg/h)</t>
        </is>
      </c>
      <c r="D16" s="214" t="inlineStr">
        <is>
          <t>ẏᵢ</t>
        </is>
      </c>
      <c r="E16" s="214" t="inlineStr">
        <is>
          <t>ṅᵢ (kmol/h)</t>
        </is>
      </c>
      <c r="F16" s="214" t="inlineStr">
        <is>
          <t>ẋᵢ</t>
        </is>
      </c>
      <c r="G16" s="214" t="inlineStr">
        <is>
          <t>ṁᵢ (kg/h)</t>
        </is>
      </c>
      <c r="H16" s="214" t="inlineStr">
        <is>
          <t>ẏᵢ</t>
        </is>
      </c>
      <c r="I16" s="214" t="inlineStr">
        <is>
          <t>ṅᵢ (kmol/h)</t>
        </is>
      </c>
      <c r="J16" s="214" t="inlineStr">
        <is>
          <t>ẋᵢ</t>
        </is>
      </c>
      <c r="K16" s="214" t="inlineStr">
        <is>
          <t>ṁᵢ (kg/h)</t>
        </is>
      </c>
      <c r="L16" s="214" t="inlineStr">
        <is>
          <t>ẏᵢ</t>
        </is>
      </c>
      <c r="M16" s="214" t="inlineStr">
        <is>
          <t>ṅᵢ (kmol/h)</t>
        </is>
      </c>
      <c r="N16" s="214" t="inlineStr">
        <is>
          <t>ẋᵢ</t>
        </is>
      </c>
      <c r="O16" s="214" t="inlineStr">
        <is>
          <t>ṁᵢ (kg/h)</t>
        </is>
      </c>
      <c r="P16" s="214" t="inlineStr">
        <is>
          <t>ẏᵢ</t>
        </is>
      </c>
      <c r="Q16" s="214" t="inlineStr">
        <is>
          <t>ṅᵢ (kmol/h)</t>
        </is>
      </c>
    </row>
    <row r="17">
      <c r="A17" s="163" t="inlineStr">
        <is>
          <t>C₂H₄</t>
        </is>
      </c>
      <c r="B17" s="189">
        <f>C17/C$38</f>
        <v>0.0</v>
      </c>
      <c r="C17" s="215">
        <f>E17*'Data Komponen'!$D$3</f>
        <v>0.0</v>
      </c>
      <c r="D17" s="189">
        <f>E17/E$38</f>
        <v>0.0</v>
      </c>
      <c r="E17" s="216">
        <f>'NME-3 Kondensasi-Dekantasi'!U17</f>
        <v>0.0</v>
      </c>
      <c r="F17" s="189">
        <f>G17/G$38</f>
        <v>0.0</v>
      </c>
      <c r="G17" s="215">
        <f>I17*'Data Komponen'!$D$3</f>
        <v>0.0</v>
      </c>
      <c r="H17" s="189">
        <f>I17/I$38</f>
        <v>0.0</v>
      </c>
      <c r="I17" s="216">
        <f>'NME-8 Kolom VCM'!M16</f>
        <v>0.0</v>
      </c>
      <c r="J17" s="189">
        <f>K17/K$38</f>
        <v>0.0</v>
      </c>
      <c r="K17" s="215">
        <f>M17*'Data Komponen'!$D$3</f>
        <v>0.0</v>
      </c>
      <c r="L17" s="189">
        <f>M17/M$38</f>
        <v>0.0</v>
      </c>
      <c r="M17" s="216">
        <f>E17+I17</f>
        <v>0.0</v>
      </c>
      <c r="N17" s="189">
        <f>O17/O$38</f>
        <v>0.0</v>
      </c>
      <c r="O17" s="215">
        <f>Q17*'Data Komponen'!$D$3</f>
        <v>0.0</v>
      </c>
      <c r="P17" s="189">
        <f>Q17/Q$38</f>
        <v>0.0</v>
      </c>
      <c r="Q17" s="216">
        <f>0</f>
        <v>0.0</v>
      </c>
    </row>
    <row r="18">
      <c r="A18" s="163" t="inlineStr">
        <is>
          <t>CH₄</t>
        </is>
      </c>
      <c r="B18" s="189">
        <f>C18/C$38</f>
        <v>0.0</v>
      </c>
      <c r="C18" s="215">
        <f>E18*'Data Komponen'!$D$4</f>
        <v>0.0</v>
      </c>
      <c r="D18" s="189">
        <f>E18/E$38</f>
        <v>0.0</v>
      </c>
      <c r="E18" s="216">
        <f>'NME-3 Kondensasi-Dekantasi'!U18</f>
        <v>0.0</v>
      </c>
      <c r="F18" s="189">
        <f>G18/G$38</f>
        <v>0.0</v>
      </c>
      <c r="G18" s="215">
        <f>I18*'Data Komponen'!$D$4</f>
        <v>0.0</v>
      </c>
      <c r="H18" s="189">
        <f>I18/I$38</f>
        <v>0.0</v>
      </c>
      <c r="I18" s="216">
        <f>'NME-8 Kolom VCM'!M17</f>
        <v>0.0</v>
      </c>
      <c r="J18" s="189">
        <f>K18/K$38</f>
        <v>0.0</v>
      </c>
      <c r="K18" s="215">
        <f>M18*'Data Komponen'!$D$4</f>
        <v>0.0</v>
      </c>
      <c r="L18" s="189">
        <f>M18/M$38</f>
        <v>0.0</v>
      </c>
      <c r="M18" s="216">
        <f>E18+I18</f>
        <v>0.0</v>
      </c>
      <c r="N18" s="189">
        <f>O18/O$38</f>
        <v>0.0</v>
      </c>
      <c r="O18" s="215">
        <f>Q18*'Data Komponen'!$D$4</f>
        <v>0.0</v>
      </c>
      <c r="P18" s="189">
        <f>Q18/Q$38</f>
        <v>0.0</v>
      </c>
      <c r="Q18" s="216">
        <f>0</f>
        <v>0.0</v>
      </c>
    </row>
    <row r="19">
      <c r="A19" s="163" t="inlineStr">
        <is>
          <t>C₂H₆</t>
        </is>
      </c>
      <c r="B19" s="189">
        <f>C19/C$38</f>
        <v>0.0</v>
      </c>
      <c r="C19" s="215">
        <f>E19*'Data Komponen'!$D$5</f>
        <v>0.0</v>
      </c>
      <c r="D19" s="189">
        <f>E19/E$38</f>
        <v>0.0</v>
      </c>
      <c r="E19" s="216">
        <f>'NME-3 Kondensasi-Dekantasi'!U19</f>
        <v>0.0</v>
      </c>
      <c r="F19" s="189">
        <f>G19/G$38</f>
        <v>0.0</v>
      </c>
      <c r="G19" s="215">
        <f>I19*'Data Komponen'!$D$5</f>
        <v>0.0</v>
      </c>
      <c r="H19" s="189">
        <f>I19/I$38</f>
        <v>0.0</v>
      </c>
      <c r="I19" s="216">
        <f>'NME-8 Kolom VCM'!M18</f>
        <v>0.0</v>
      </c>
      <c r="J19" s="189">
        <f>K19/K$38</f>
        <v>0.0</v>
      </c>
      <c r="K19" s="215">
        <f>M19*'Data Komponen'!$D$5</f>
        <v>0.0</v>
      </c>
      <c r="L19" s="189">
        <f>M19/M$38</f>
        <v>0.0</v>
      </c>
      <c r="M19" s="216">
        <f>E19+I19</f>
        <v>0.0</v>
      </c>
      <c r="N19" s="189">
        <f>O19/O$38</f>
        <v>0.0</v>
      </c>
      <c r="O19" s="215">
        <f>Q19*'Data Komponen'!$D$5</f>
        <v>0.0</v>
      </c>
      <c r="P19" s="189">
        <f>Q19/Q$38</f>
        <v>0.0</v>
      </c>
      <c r="Q19" s="216">
        <f>0</f>
        <v>0.0</v>
      </c>
    </row>
    <row r="20">
      <c r="A20" s="163" t="inlineStr">
        <is>
          <t>C₂H₂</t>
        </is>
      </c>
      <c r="B20" s="189">
        <f>C20/C$38</f>
        <v>0.0</v>
      </c>
      <c r="C20" s="215">
        <f>E20*'Data Komponen'!$D$6</f>
        <v>0.0</v>
      </c>
      <c r="D20" s="189">
        <f>E20/E$38</f>
        <v>0.0</v>
      </c>
      <c r="E20" s="216">
        <f>'NME-3 Kondensasi-Dekantasi'!U20</f>
        <v>0.0</v>
      </c>
      <c r="F20" s="189">
        <f>G20/G$38</f>
        <v>0.0</v>
      </c>
      <c r="G20" s="215">
        <f>I20*'Data Komponen'!$D$6</f>
        <v>0.0</v>
      </c>
      <c r="H20" s="189">
        <f>I20/I$38</f>
        <v>0.0</v>
      </c>
      <c r="I20" s="216">
        <f>'NME-8 Kolom VCM'!M19</f>
        <v>0.0</v>
      </c>
      <c r="J20" s="189">
        <f>K20/K$38</f>
        <v>0.0</v>
      </c>
      <c r="K20" s="215">
        <f>M20*'Data Komponen'!$D$6</f>
        <v>0.0</v>
      </c>
      <c r="L20" s="189">
        <f>M20/M$38</f>
        <v>0.0</v>
      </c>
      <c r="M20" s="216">
        <f>E20+I20</f>
        <v>0.0</v>
      </c>
      <c r="N20" s="189">
        <f>O20/O$38</f>
        <v>0.0</v>
      </c>
      <c r="O20" s="215">
        <f>Q20*'Data Komponen'!$D$6</f>
        <v>0.0</v>
      </c>
      <c r="P20" s="189">
        <f>Q20/Q$38</f>
        <v>0.0</v>
      </c>
      <c r="Q20" s="216">
        <f>0</f>
        <v>0.0</v>
      </c>
    </row>
    <row r="21">
      <c r="A21" s="163" t="inlineStr">
        <is>
          <t>Cl₂</t>
        </is>
      </c>
      <c r="B21" s="189">
        <f>C21/C$38</f>
        <v>0.0</v>
      </c>
      <c r="C21" s="215">
        <f>E21*'Data Komponen'!$D$7</f>
        <v>0.0</v>
      </c>
      <c r="D21" s="189">
        <f>E21/E$38</f>
        <v>0.0</v>
      </c>
      <c r="E21" s="216">
        <f>'NME-3 Kondensasi-Dekantasi'!U21</f>
        <v>0.0</v>
      </c>
      <c r="F21" s="189">
        <f>G21/G$38</f>
        <v>0.0</v>
      </c>
      <c r="G21" s="215">
        <f>I21*'Data Komponen'!$D$7</f>
        <v>0.0</v>
      </c>
      <c r="H21" s="189">
        <f>I21/I$38</f>
        <v>0.0</v>
      </c>
      <c r="I21" s="216">
        <f>'NME-8 Kolom VCM'!M20</f>
        <v>0.0</v>
      </c>
      <c r="J21" s="189">
        <f>K21/K$38</f>
        <v>0.0</v>
      </c>
      <c r="K21" s="215">
        <f>M21*'Data Komponen'!$D$7</f>
        <v>0.0</v>
      </c>
      <c r="L21" s="189">
        <f>M21/M$38</f>
        <v>0.0</v>
      </c>
      <c r="M21" s="216">
        <f>E21+I21</f>
        <v>0.0</v>
      </c>
      <c r="N21" s="189">
        <f>O21/O$38</f>
        <v>0.0</v>
      </c>
      <c r="O21" s="215">
        <f>Q21*'Data Komponen'!$D$7</f>
        <v>0.0</v>
      </c>
      <c r="P21" s="189">
        <f>Q21/Q$38</f>
        <v>0.0</v>
      </c>
      <c r="Q21" s="216">
        <f>0</f>
        <v>0.0</v>
      </c>
    </row>
    <row r="22">
      <c r="A22" s="163" t="inlineStr">
        <is>
          <t>CₙHₘ</t>
        </is>
      </c>
      <c r="B22" s="189">
        <f>C22/C$38</f>
        <v>0.0</v>
      </c>
      <c r="C22" s="215">
        <f>E22*'Data Komponen'!$D$8</f>
        <v>0.0</v>
      </c>
      <c r="D22" s="189">
        <f>E22/E$38</f>
        <v>0.0</v>
      </c>
      <c r="E22" s="216">
        <f>'NME-3 Kondensasi-Dekantasi'!U22</f>
        <v>0.0</v>
      </c>
      <c r="F22" s="189">
        <f>G22/G$38</f>
        <v>0.0</v>
      </c>
      <c r="G22" s="215">
        <f>I22*'Data Komponen'!$D$8</f>
        <v>0.0</v>
      </c>
      <c r="H22" s="189">
        <f>I22/I$38</f>
        <v>0.0</v>
      </c>
      <c r="I22" s="216">
        <f>'NME-8 Kolom VCM'!M21</f>
        <v>0.0</v>
      </c>
      <c r="J22" s="189">
        <f>K22/K$38</f>
        <v>0.0</v>
      </c>
      <c r="K22" s="215">
        <f>M22*'Data Komponen'!$D$8</f>
        <v>0.0</v>
      </c>
      <c r="L22" s="189">
        <f>M22/M$38</f>
        <v>0.0</v>
      </c>
      <c r="M22" s="216">
        <f>E22+I22</f>
        <v>0.0</v>
      </c>
      <c r="N22" s="189">
        <f>O22/O$38</f>
        <v>0.0</v>
      </c>
      <c r="O22" s="215">
        <f>Q22*'Data Komponen'!$D$8</f>
        <v>0.0</v>
      </c>
      <c r="P22" s="189">
        <f>Q22/Q$38</f>
        <v>0.0</v>
      </c>
      <c r="Q22" s="216">
        <f>0</f>
        <v>0.0</v>
      </c>
    </row>
    <row r="23">
      <c r="A23" s="163" t="inlineStr">
        <is>
          <t>H₂O</t>
        </is>
      </c>
      <c r="B23" s="189">
        <f>C23/C$38</f>
        <v>0.0020000000000000456</v>
      </c>
      <c r="C23" s="215">
        <f>E23*'Data Komponen'!$D$9</f>
        <v>82.43221398205901</v>
      </c>
      <c r="D23" s="189">
        <f>E23/E$38</f>
        <v>0.010874386231391371</v>
      </c>
      <c r="E23" s="216">
        <f>'NME-3 Kondensasi-Dekantasi'!U23</f>
        <v>4.575754314852013</v>
      </c>
      <c r="F23" s="189">
        <f>G23/G$38</f>
        <v>7.698402996787963e-05</v>
      </c>
      <c r="G23" s="215">
        <f>I23*'Data Komponen'!$D$9</f>
        <v>2.614266409950987</v>
      </c>
      <c r="H23" s="189">
        <f>I23/I$38</f>
        <v>0.0004225882076954554</v>
      </c>
      <c r="I23" s="216">
        <f>'NME-8 Kolom VCM'!M22</f>
        <v>0.14511609269780668</v>
      </c>
      <c r="J23" s="189">
        <f>K23/K$38</f>
        <v>0.171257143156629</v>
      </c>
      <c r="K23" s="215">
        <f>M23*'Data Komponen'!$D$9</f>
        <v>82.43221398205901</v>
      </c>
      <c r="L23" s="189">
        <f>M23/M$38</f>
        <v>0.4502015289509185</v>
      </c>
      <c r="M23" s="216">
        <f>E23+I23-Q23</f>
        <v>4.575754314852013</v>
      </c>
      <c r="N23" s="189">
        <f>O23/O$38</f>
        <v>3.500000000000072e-05</v>
      </c>
      <c r="O23" s="215">
        <f>Q23*'Data Komponen'!$D$9</f>
        <v>2.614266409950987</v>
      </c>
      <c r="P23" s="189">
        <f>Q23/Q$38</f>
        <v>0.00019245723964859897</v>
      </c>
      <c r="Q23" s="216">
        <f>$B$6/(1-$B$6-$B$7)*(O31+O32+O34+O37)/'Data Komponen'!$D$9</f>
        <v>0.14511609269780668</v>
      </c>
    </row>
    <row r="24">
      <c r="A24" s="163" t="inlineStr">
        <is>
          <t>CₓHᵧCl</t>
        </is>
      </c>
      <c r="B24" s="189">
        <f>C24/C$38</f>
        <v>0.0</v>
      </c>
      <c r="C24" s="215">
        <f>E24*'Data Komponen'!$D$10</f>
        <v>0.0</v>
      </c>
      <c r="D24" s="189">
        <f>E24/E$38</f>
        <v>0.0</v>
      </c>
      <c r="E24" s="216">
        <f>'NME-3 Kondensasi-Dekantasi'!U24</f>
        <v>0.0</v>
      </c>
      <c r="F24" s="189">
        <f>G24/G$38</f>
        <v>0.0</v>
      </c>
      <c r="G24" s="215">
        <f>I24*'Data Komponen'!$D$10</f>
        <v>0.0</v>
      </c>
      <c r="H24" s="189">
        <f>I24/I$38</f>
        <v>0.0</v>
      </c>
      <c r="I24" s="216">
        <f>'NME-8 Kolom VCM'!M23</f>
        <v>0.0</v>
      </c>
      <c r="J24" s="189">
        <f>K24/K$38</f>
        <v>0.0</v>
      </c>
      <c r="K24" s="215">
        <f>M24*'Data Komponen'!$D$10</f>
        <v>0.0</v>
      </c>
      <c r="L24" s="189">
        <f>M24/M$38</f>
        <v>0.0</v>
      </c>
      <c r="M24" s="216">
        <f>E24+I24</f>
        <v>0.0</v>
      </c>
      <c r="N24" s="189">
        <f>O24/O$38</f>
        <v>0.0</v>
      </c>
      <c r="O24" s="215">
        <f>Q24*'Data Komponen'!$D$10</f>
        <v>0.0</v>
      </c>
      <c r="P24" s="189">
        <f>Q24/Q$38</f>
        <v>0.0</v>
      </c>
      <c r="Q24" s="216">
        <f>0</f>
        <v>0.0</v>
      </c>
    </row>
    <row r="25">
      <c r="A25" s="163" t="inlineStr">
        <is>
          <t>Br₂</t>
        </is>
      </c>
      <c r="B25" s="189">
        <f>C25/C$38</f>
        <v>3.3577694986409765e-05</v>
      </c>
      <c r="C25" s="215">
        <f>E25*'Data Komponen'!$D$11</f>
        <v>1.3839418690719882</v>
      </c>
      <c r="D25" s="189">
        <f>E25/E$38</f>
        <v>2.0580759051855356e-05</v>
      </c>
      <c r="E25" s="216">
        <f>'NME-3 Kondensasi-Dekantasi'!U25</f>
        <v>0.008660028716159318</v>
      </c>
      <c r="F25" s="189">
        <f>G25/G$38</f>
        <v>0.0</v>
      </c>
      <c r="G25" s="215">
        <f>I25*'Data Komponen'!$D$11</f>
        <v>0.0</v>
      </c>
      <c r="H25" s="189">
        <f>I25/I$38</f>
        <v>0.0</v>
      </c>
      <c r="I25" s="216">
        <f>'NME-8 Kolom VCM'!M24</f>
        <v>0.0</v>
      </c>
      <c r="J25" s="189">
        <f>K25/K$38</f>
        <v>0.002875210058578535</v>
      </c>
      <c r="K25" s="215">
        <f>M25*'Data Komponen'!$D$11</f>
        <v>1.3839418690719882</v>
      </c>
      <c r="L25" s="189">
        <f>M25/M$38</f>
        <v>0.0008520470944253213</v>
      </c>
      <c r="M25" s="216">
        <f>E25+I25</f>
        <v>0.008660028716159318</v>
      </c>
      <c r="N25" s="189">
        <f>O25/O$38</f>
        <v>0.0</v>
      </c>
      <c r="O25" s="215">
        <f>Q25*'Data Komponen'!$D$11</f>
        <v>0.0</v>
      </c>
      <c r="P25" s="189">
        <f>Q25/Q$38</f>
        <v>0.0</v>
      </c>
      <c r="Q25" s="216">
        <f>0</f>
        <v>0.0</v>
      </c>
    </row>
    <row r="26">
      <c r="A26" s="163" t="inlineStr">
        <is>
          <t>NCl₃</t>
        </is>
      </c>
      <c r="B26" s="189">
        <f>C26/C$38</f>
        <v>1.865427499244987e-06</v>
      </c>
      <c r="C26" s="215">
        <f>E26*'Data Komponen'!$D$12</f>
        <v>0.07688565939288824</v>
      </c>
      <c r="D26" s="189">
        <f>E26/E$38</f>
        <v>1.518053855891525e-06</v>
      </c>
      <c r="E26" s="216">
        <f>'NME-3 Kondensasi-Dekantasi'!U26</f>
        <v>0.0006387709001195385</v>
      </c>
      <c r="F26" s="189">
        <f>G26/G$38</f>
        <v>0.0</v>
      </c>
      <c r="G26" s="215">
        <f>I26*'Data Komponen'!$D$12</f>
        <v>0.0</v>
      </c>
      <c r="H26" s="189">
        <f>I26/I$38</f>
        <v>0.0</v>
      </c>
      <c r="I26" s="216">
        <f>'NME-8 Kolom VCM'!M25</f>
        <v>0.0</v>
      </c>
      <c r="J26" s="189">
        <f>K26/K$38</f>
        <v>0.00015973389214325194</v>
      </c>
      <c r="K26" s="215">
        <f>M26*'Data Komponen'!$D$12</f>
        <v>0.07688565939288824</v>
      </c>
      <c r="L26" s="189">
        <f>M26/M$38</f>
        <v>6.284770031243936e-05</v>
      </c>
      <c r="M26" s="216">
        <f>E26+I26</f>
        <v>0.0006387709001195385</v>
      </c>
      <c r="N26" s="189">
        <f>O26/O$38</f>
        <v>0.0</v>
      </c>
      <c r="O26" s="215">
        <f>Q26*'Data Komponen'!$D$12</f>
        <v>0.0</v>
      </c>
      <c r="P26" s="189">
        <f>Q26/Q$38</f>
        <v>0.0</v>
      </c>
      <c r="Q26" s="216">
        <f>0</f>
        <v>0.0</v>
      </c>
    </row>
    <row r="27">
      <c r="A27" s="163" t="inlineStr">
        <is>
          <t>H₂</t>
        </is>
      </c>
      <c r="B27" s="189">
        <f>C27/C$38</f>
        <v>0.0</v>
      </c>
      <c r="C27" s="215">
        <f>E27*'Data Komponen'!$D$13</f>
        <v>0.0</v>
      </c>
      <c r="D27" s="189">
        <f>E27/E$38</f>
        <v>0.0</v>
      </c>
      <c r="E27" s="216">
        <f>'NME-3 Kondensasi-Dekantasi'!U27</f>
        <v>0.0</v>
      </c>
      <c r="F27" s="189">
        <f>G27/G$38</f>
        <v>0.0</v>
      </c>
      <c r="G27" s="215">
        <f>I27*'Data Komponen'!$D$13</f>
        <v>0.0</v>
      </c>
      <c r="H27" s="189">
        <f>I27/I$38</f>
        <v>0.0</v>
      </c>
      <c r="I27" s="216">
        <f>'NME-8 Kolom VCM'!M26</f>
        <v>0.0</v>
      </c>
      <c r="J27" s="189">
        <f>K27/K$38</f>
        <v>0.0</v>
      </c>
      <c r="K27" s="215">
        <f>M27*'Data Komponen'!$D$13</f>
        <v>0.0</v>
      </c>
      <c r="L27" s="189">
        <f>M27/M$38</f>
        <v>0.0</v>
      </c>
      <c r="M27" s="216">
        <f>E27+I27</f>
        <v>0.0</v>
      </c>
      <c r="N27" s="189">
        <f>O27/O$38</f>
        <v>0.0</v>
      </c>
      <c r="O27" s="215">
        <f>Q27*'Data Komponen'!$D$13</f>
        <v>0.0</v>
      </c>
      <c r="P27" s="189">
        <f>Q27/Q$38</f>
        <v>0.0</v>
      </c>
      <c r="Q27" s="216">
        <f>0</f>
        <v>0.0</v>
      </c>
    </row>
    <row r="28">
      <c r="A28" s="163" t="inlineStr">
        <is>
          <t>O₂</t>
        </is>
      </c>
      <c r="B28" s="189">
        <f>C28/C$38</f>
        <v>0.0</v>
      </c>
      <c r="C28" s="215">
        <f>E28*'Data Komponen'!$D$14</f>
        <v>0.0</v>
      </c>
      <c r="D28" s="189">
        <f>E28/E$38</f>
        <v>0.0</v>
      </c>
      <c r="E28" s="216">
        <f>'NME-3 Kondensasi-Dekantasi'!U28</f>
        <v>0.0</v>
      </c>
      <c r="F28" s="189">
        <f>G28/G$38</f>
        <v>0.0</v>
      </c>
      <c r="G28" s="215">
        <f>I28*'Data Komponen'!$D$14</f>
        <v>0.0</v>
      </c>
      <c r="H28" s="189">
        <f>I28/I$38</f>
        <v>0.0</v>
      </c>
      <c r="I28" s="216">
        <f>'NME-8 Kolom VCM'!M27</f>
        <v>0.0</v>
      </c>
      <c r="J28" s="189">
        <f>K28/K$38</f>
        <v>0.0</v>
      </c>
      <c r="K28" s="215">
        <f>M28*'Data Komponen'!$D$14</f>
        <v>0.0</v>
      </c>
      <c r="L28" s="189">
        <f>M28/M$38</f>
        <v>0.0</v>
      </c>
      <c r="M28" s="216">
        <f>E28+I28</f>
        <v>0.0</v>
      </c>
      <c r="N28" s="189">
        <f>O28/O$38</f>
        <v>0.0</v>
      </c>
      <c r="O28" s="215">
        <f>Q28*'Data Komponen'!$D$14</f>
        <v>0.0</v>
      </c>
      <c r="P28" s="189">
        <f>Q28/Q$38</f>
        <v>0.0</v>
      </c>
      <c r="Q28" s="216">
        <f>0</f>
        <v>0.0</v>
      </c>
    </row>
    <row r="29">
      <c r="A29" s="163" t="inlineStr">
        <is>
          <t>N₂</t>
        </is>
      </c>
      <c r="B29" s="189">
        <f>C29/C$38</f>
        <v>0.0</v>
      </c>
      <c r="C29" s="215">
        <f>E29*'Data Komponen'!$D$15</f>
        <v>0.0</v>
      </c>
      <c r="D29" s="189">
        <f>E29/E$38</f>
        <v>0.0</v>
      </c>
      <c r="E29" s="216">
        <f>'NME-3 Kondensasi-Dekantasi'!U29</f>
        <v>0.0</v>
      </c>
      <c r="F29" s="189">
        <f>G29/G$38</f>
        <v>0.0</v>
      </c>
      <c r="G29" s="215">
        <f>I29*'Data Komponen'!$D$15</f>
        <v>0.0</v>
      </c>
      <c r="H29" s="189">
        <f>I29/I$38</f>
        <v>0.0</v>
      </c>
      <c r="I29" s="216">
        <f>'NME-8 Kolom VCM'!M28</f>
        <v>0.0</v>
      </c>
      <c r="J29" s="189">
        <f>K29/K$38</f>
        <v>0.0</v>
      </c>
      <c r="K29" s="215">
        <f>M29*'Data Komponen'!$D$15</f>
        <v>0.0</v>
      </c>
      <c r="L29" s="189">
        <f>M29/M$38</f>
        <v>0.0</v>
      </c>
      <c r="M29" s="216">
        <f>E29+I29</f>
        <v>0.0</v>
      </c>
      <c r="N29" s="189">
        <f>O29/O$38</f>
        <v>0.0</v>
      </c>
      <c r="O29" s="215">
        <f>Q29*'Data Komponen'!$D$15</f>
        <v>0.0</v>
      </c>
      <c r="P29" s="189">
        <f>Q29/Q$38</f>
        <v>0.0</v>
      </c>
      <c r="Q29" s="216">
        <f>0</f>
        <v>0.0</v>
      </c>
    </row>
    <row r="30">
      <c r="A30" s="163" t="inlineStr">
        <is>
          <t>CO₂</t>
        </is>
      </c>
      <c r="B30" s="189">
        <f>C30/C$38</f>
        <v>0.0</v>
      </c>
      <c r="C30" s="215">
        <f>E30*'Data Komponen'!$D$16</f>
        <v>0.0</v>
      </c>
      <c r="D30" s="189">
        <f>E30/E$38</f>
        <v>0.0</v>
      </c>
      <c r="E30" s="216">
        <f>'NME-3 Kondensasi-Dekantasi'!U30</f>
        <v>0.0</v>
      </c>
      <c r="F30" s="189">
        <f>G30/G$38</f>
        <v>0.0</v>
      </c>
      <c r="G30" s="215">
        <f>I30*'Data Komponen'!$D$16</f>
        <v>0.0</v>
      </c>
      <c r="H30" s="189">
        <f>I30/I$38</f>
        <v>0.0</v>
      </c>
      <c r="I30" s="216">
        <f>'NME-8 Kolom VCM'!M29</f>
        <v>0.0</v>
      </c>
      <c r="J30" s="189">
        <f>K30/K$38</f>
        <v>0.0</v>
      </c>
      <c r="K30" s="215">
        <f>M30*'Data Komponen'!$D$16</f>
        <v>0.0</v>
      </c>
      <c r="L30" s="189">
        <f>M30/M$38</f>
        <v>0.0</v>
      </c>
      <c r="M30" s="216">
        <f>E30+I30</f>
        <v>0.0</v>
      </c>
      <c r="N30" s="189">
        <f>O30/O$38</f>
        <v>0.0</v>
      </c>
      <c r="O30" s="215">
        <f>Q30*'Data Komponen'!$D$16</f>
        <v>0.0</v>
      </c>
      <c r="P30" s="189">
        <f>Q30/Q$38</f>
        <v>0.0</v>
      </c>
      <c r="Q30" s="216">
        <f>0</f>
        <v>0.0</v>
      </c>
    </row>
    <row r="31">
      <c r="A31" s="163" t="inlineStr">
        <is>
          <t>EDC</t>
        </is>
      </c>
      <c r="B31" s="189">
        <f>C31/C$38</f>
        <v>0.9952606079051731</v>
      </c>
      <c r="C31" s="215">
        <f>E31*'Data Komponen'!$D$17</f>
        <v>41020.76769937575</v>
      </c>
      <c r="D31" s="189">
        <f>E31/E$38</f>
        <v>0.9851231886249269</v>
      </c>
      <c r="E31" s="216">
        <f>'NME-3 Kondensasi-Dekantasi'!U31</f>
        <v>414.5228599660036</v>
      </c>
      <c r="F31" s="189">
        <f>G31/G$38</f>
        <v>0.9833272358941256</v>
      </c>
      <c r="G31" s="215">
        <f>I31*'Data Komponen'!$D$17</f>
        <v>33392.37194857867</v>
      </c>
      <c r="H31" s="189">
        <f>I31/I$38</f>
        <v>0.982638483963473</v>
      </c>
      <c r="I31" s="216">
        <f>'NME-8 Kolom VCM'!M30</f>
        <v>337.43643275072174</v>
      </c>
      <c r="J31" s="189">
        <f>K31/K$38</f>
        <v>0.2565799008322923</v>
      </c>
      <c r="K31" s="215">
        <f>M31*'Data Komponen'!$D$17</f>
        <v>123.50112175793534</v>
      </c>
      <c r="L31" s="189">
        <f>M31/M$38</f>
        <v>0.12278911578018468</v>
      </c>
      <c r="M31" s="216">
        <f>$B$8*('NME-1 Klorinasi Langsung'!Q35+'NME-1 Klorinasi Langsung'!U35+'NME-2 Oksiklorinasi'!Q34)</f>
        <v>1.2480029280604628</v>
      </c>
      <c r="N31" s="189">
        <f>O31/O$38</f>
        <v>0.9945954010347825</v>
      </c>
      <c r="O31" s="215">
        <f>Q31*'Data Komponen'!$D$17</f>
        <v>74289.63852619742</v>
      </c>
      <c r="P31" s="189">
        <f>Q31/Q$38</f>
        <v>0.9956154408500664</v>
      </c>
      <c r="Q31" s="216">
        <f>E31+I31-M31</f>
        <v>750.7112897886648</v>
      </c>
    </row>
    <row r="32">
      <c r="A32" s="163" t="inlineStr">
        <is>
          <t>TCE</t>
        </is>
      </c>
      <c r="B32" s="189">
        <f>C32/C$38</f>
        <v>0.00015593265785909514</v>
      </c>
      <c r="C32" s="215">
        <f>E32*'Data Komponen'!$D$18</f>
        <v>6.426937109715917</v>
      </c>
      <c r="D32" s="189">
        <f>E32/E$38</f>
        <v>0.00011449341520379496</v>
      </c>
      <c r="E32" s="216">
        <f>'NME-3 Kondensasi-Dekantasi'!U32</f>
        <v>0.04817685591565345</v>
      </c>
      <c r="F32" s="189">
        <f>G32/G$38</f>
        <v>1.9680702534415202e-05</v>
      </c>
      <c r="G32" s="215">
        <f>I32*'Data Komponen'!$D$18</f>
        <v>0.6683282179619057</v>
      </c>
      <c r="H32" s="189">
        <f>I32/I$38</f>
        <v>1.458901596459023e-05</v>
      </c>
      <c r="I32" s="216">
        <f>'NME-8 Kolom VCM'!M31</f>
        <v>0.005009843991228876</v>
      </c>
      <c r="J32" s="189">
        <f>K32/K$38</f>
        <v>0.0</v>
      </c>
      <c r="K32" s="215">
        <f>M32*'Data Komponen'!$D$18</f>
        <v>0.0</v>
      </c>
      <c r="L32" s="189">
        <f>M32/M$38</f>
        <v>0.0</v>
      </c>
      <c r="M32" s="216">
        <f>0</f>
        <v>0.0</v>
      </c>
      <c r="N32" s="189">
        <f>O32/O$38</f>
        <v>9.499195855612233e-05</v>
      </c>
      <c r="O32" s="215">
        <f>Q32*'Data Komponen'!$D$18</f>
        <v>7.095265327677765</v>
      </c>
      <c r="P32" s="189">
        <f>Q32/Q$38</f>
        <v>7.053776917362992e-05</v>
      </c>
      <c r="Q32" s="216">
        <f>E32+I32</f>
        <v>0.05318669990688233</v>
      </c>
    </row>
    <row r="33">
      <c r="A33" s="163" t="inlineStr">
        <is>
          <t>HCl</t>
        </is>
      </c>
      <c r="B33" s="189">
        <f>C33/C$38</f>
        <v>0.0</v>
      </c>
      <c r="C33" s="215">
        <f>E33*'Data Komponen'!$D$19</f>
        <v>0.0</v>
      </c>
      <c r="D33" s="189">
        <f>E33/E$38</f>
        <v>0.0</v>
      </c>
      <c r="E33" s="216">
        <f>'NME-3 Kondensasi-Dekantasi'!U33</f>
        <v>0.0</v>
      </c>
      <c r="F33" s="189">
        <f>G33/G$38</f>
        <v>0.0</v>
      </c>
      <c r="G33" s="215">
        <f>I33*'Data Komponen'!$D$19</f>
        <v>0.0</v>
      </c>
      <c r="H33" s="189">
        <f>I33/I$38</f>
        <v>0.0</v>
      </c>
      <c r="I33" s="216">
        <f>'NME-8 Kolom VCM'!M32</f>
        <v>0.0</v>
      </c>
      <c r="J33" s="189">
        <f>K33/K$38</f>
        <v>0.0</v>
      </c>
      <c r="K33" s="215">
        <f>M33*'Data Komponen'!$D$19</f>
        <v>0.0</v>
      </c>
      <c r="L33" s="189">
        <f>M33/M$38</f>
        <v>0.0</v>
      </c>
      <c r="M33" s="216">
        <f>E33+I33</f>
        <v>0.0</v>
      </c>
      <c r="N33" s="189">
        <f>O33/O$38</f>
        <v>0.0</v>
      </c>
      <c r="O33" s="215">
        <f>Q33*'Data Komponen'!$D$19</f>
        <v>0.0</v>
      </c>
      <c r="P33" s="189">
        <f>Q33/Q$38</f>
        <v>0.0</v>
      </c>
      <c r="Q33" s="216">
        <f>0</f>
        <v>0.0</v>
      </c>
    </row>
    <row r="34">
      <c r="A34" s="163" t="inlineStr">
        <is>
          <t>FeCl₃</t>
        </is>
      </c>
      <c r="B34" s="189">
        <f>C34/C$38</f>
        <v>2.994000000000015e-06</v>
      </c>
      <c r="C34" s="215">
        <f>E34*'Data Komponen'!$D$20</f>
        <v>0.12340102433114014</v>
      </c>
      <c r="D34" s="189">
        <f>E34/E$38</f>
        <v>1.8080034754623346e-06</v>
      </c>
      <c r="E34" s="216">
        <f>'NME-3 Kondensasi-Dekantasi'!U34</f>
        <v>0.0007607767029859938</v>
      </c>
      <c r="F34" s="189">
        <f>G34/G$38</f>
        <v>0.0</v>
      </c>
      <c r="G34" s="215">
        <f>I34*'Data Komponen'!$D$20</f>
        <v>0.0</v>
      </c>
      <c r="H34" s="189">
        <f>I34/I$38</f>
        <v>0.0</v>
      </c>
      <c r="I34" s="216">
        <f>'NME-8 Kolom VCM'!M33</f>
        <v>0.0</v>
      </c>
      <c r="J34" s="189">
        <f>K34/K$38</f>
        <v>0.0</v>
      </c>
      <c r="K34" s="215">
        <f>M34*'Data Komponen'!$D$20</f>
        <v>0.0</v>
      </c>
      <c r="L34" s="189">
        <f>M34/M$38</f>
        <v>0.0</v>
      </c>
      <c r="M34" s="216">
        <f>0</f>
        <v>0.0</v>
      </c>
      <c r="N34" s="189">
        <f>O34/O$38</f>
        <v>1.6521024158632195e-06</v>
      </c>
      <c r="O34" s="215">
        <f>Q34*'Data Komponen'!$D$20</f>
        <v>0.12340102433114294</v>
      </c>
      <c r="P34" s="189">
        <f>Q34/Q$38</f>
        <v>1.0089644885253956e-06</v>
      </c>
      <c r="Q34" s="216">
        <f>E34+I34</f>
        <v>0.0007607767029859938</v>
      </c>
    </row>
    <row r="35">
      <c r="A35" s="163" t="inlineStr">
        <is>
          <t>C₂H₅Cl</t>
        </is>
      </c>
      <c r="B35" s="189">
        <f>C35/C$38</f>
        <v>0.0025450223144820798</v>
      </c>
      <c r="C35" s="215">
        <f>E35*'Data Komponen'!$D$21</f>
        <v>104.89591200824856</v>
      </c>
      <c r="D35" s="189">
        <f>E35/E$38</f>
        <v>0.0038640249120948274</v>
      </c>
      <c r="E35" s="216">
        <f>'NME-3 Kondensasi-Dekantasi'!U35</f>
        <v>1.6259150896419214</v>
      </c>
      <c r="F35" s="189">
        <f>G35/G$38</f>
        <v>0.0</v>
      </c>
      <c r="G35" s="215">
        <f>I35*'Data Komponen'!$D$21</f>
        <v>0.0</v>
      </c>
      <c r="H35" s="189">
        <f>I35/I$38</f>
        <v>0.0</v>
      </c>
      <c r="I35" s="216">
        <f>'NME-8 Kolom VCM'!M34</f>
        <v>0.0</v>
      </c>
      <c r="J35" s="189">
        <f>K35/K$38</f>
        <v>0.21792662542403146</v>
      </c>
      <c r="K35" s="215">
        <f>M35*'Data Komponen'!$D$21</f>
        <v>104.89591200824856</v>
      </c>
      <c r="L35" s="189">
        <f>M35/M$38</f>
        <v>0.15997132034061937</v>
      </c>
      <c r="M35" s="216">
        <f>E35+I35</f>
        <v>1.6259150896419214</v>
      </c>
      <c r="N35" s="189">
        <f>O35/O$38</f>
        <v>0.0</v>
      </c>
      <c r="O35" s="215">
        <f>Q35*'Data Komponen'!$D$21</f>
        <v>0.0</v>
      </c>
      <c r="P35" s="189">
        <f>Q35/Q$38</f>
        <v>0.0</v>
      </c>
      <c r="Q35" s="216">
        <f>0</f>
        <v>0.0</v>
      </c>
    </row>
    <row r="36">
      <c r="A36" s="163" t="inlineStr">
        <is>
          <t>VCM</t>
        </is>
      </c>
      <c r="B36" s="189">
        <f>C36/C$38</f>
        <v>0.0</v>
      </c>
      <c r="C36" s="215">
        <f>E36*'Data Komponen'!$D$22</f>
        <v>0.0</v>
      </c>
      <c r="D36" s="189">
        <f>E36/E$38</f>
        <v>0.0</v>
      </c>
      <c r="E36" s="216">
        <f>'NME-3 Kondensasi-Dekantasi'!U36</f>
        <v>0.0</v>
      </c>
      <c r="F36" s="189">
        <f>G36/G$38</f>
        <v>0.005000000000000001</v>
      </c>
      <c r="G36" s="215">
        <f>I36*'Data Komponen'!$D$22</f>
        <v>169.79277462103175</v>
      </c>
      <c r="H36" s="189">
        <f>I36/I$38</f>
        <v>0.007911428057227938</v>
      </c>
      <c r="I36" s="216">
        <f>'NME-8 Kolom VCM'!M35</f>
        <v>2.716771330619088</v>
      </c>
      <c r="J36" s="189">
        <f>K36/K$38</f>
        <v>0.3512013866363254</v>
      </c>
      <c r="K36" s="215">
        <f>M36*'Data Komponen'!$D$22</f>
        <v>169.04584136104577</v>
      </c>
      <c r="L36" s="189">
        <f>M36/M$38</f>
        <v>0.26612314013353977</v>
      </c>
      <c r="M36" s="216">
        <f>E36+I36-Q36</f>
        <v>2.704820016017245</v>
      </c>
      <c r="N36" s="189">
        <f>O36/O$38</f>
        <v>1e-05</v>
      </c>
      <c r="O36" s="215">
        <f>Q36*'Data Komponen'!$D$22</f>
        <v>0.746933259985981</v>
      </c>
      <c r="P36" s="189">
        <f>Q36/Q$38</f>
        <v>1.58501857077458e-05</v>
      </c>
      <c r="Q36" s="216">
        <f>$B$7/(1-$B$6-$B$7)*(O31+O32+O34+O37)/'Data Komponen'!$D$22</f>
        <v>0.011951314601842957</v>
      </c>
    </row>
    <row r="37">
      <c r="A37" s="163" t="inlineStr">
        <is>
          <t>C₄H₈Cl₂ (berat)</t>
        </is>
      </c>
      <c r="B37" s="189">
        <f>C37/C$38</f>
        <v>0.0</v>
      </c>
      <c r="C37" s="215">
        <f>E37*'Data Komponen'!$D$23</f>
        <v>0.0</v>
      </c>
      <c r="D37" s="189">
        <f>E37/E$38</f>
        <v>0.0</v>
      </c>
      <c r="E37" s="216">
        <f>'NME-3 Kondensasi-Dekantasi'!U37</f>
        <v>0.0</v>
      </c>
      <c r="F37" s="189">
        <f>G37/G$38</f>
        <v>0.01157609937337197</v>
      </c>
      <c r="G37" s="215">
        <f>I37*'Data Komponen'!$D$23</f>
        <v>393.10760637872266</v>
      </c>
      <c r="H37" s="189">
        <f>I37/I$38</f>
        <v>0.009012910755638958</v>
      </c>
      <c r="I37" s="216">
        <f>'NME-8 Kolom VCM'!M36</f>
        <v>3.095018670362267</v>
      </c>
      <c r="J37" s="189">
        <f>K37/K$38</f>
        <v>0.0</v>
      </c>
      <c r="K37" s="215">
        <f>M37*'Data Komponen'!$D$23</f>
        <v>0.0</v>
      </c>
      <c r="L37" s="189">
        <f>M37/M$38</f>
        <v>0.0</v>
      </c>
      <c r="M37" s="216">
        <f>0</f>
        <v>0.0</v>
      </c>
      <c r="N37" s="189">
        <f>O37/O$38</f>
        <v>0.005262954904245515</v>
      </c>
      <c r="O37" s="215">
        <f>Q37*'Data Komponen'!$D$23</f>
        <v>393.10760637873085</v>
      </c>
      <c r="P37" s="189">
        <f>Q37/Q$38</f>
        <v>0.004104704990915194</v>
      </c>
      <c r="Q37" s="216">
        <f>E37+I37</f>
        <v>3.095018670362267</v>
      </c>
    </row>
    <row r="38">
      <c r="A38" s="162" t="inlineStr">
        <is>
          <t>Sub Total</t>
        </is>
      </c>
      <c r="B38" s="189">
        <f>SUM(B17:B37)</f>
        <v>1.0</v>
      </c>
      <c r="C38" s="215">
        <f>SUM(C17:C37)</f>
        <v>41216.106991028566</v>
      </c>
      <c r="D38" s="189">
        <f>SUM(D17:D37)</f>
        <v>1.0</v>
      </c>
      <c r="E38" s="216">
        <f>SUM(E17:E37)</f>
        <v>420.7827658027324</v>
      </c>
      <c r="F38" s="189">
        <f>SUM(F17:F37)</f>
        <v>1.0</v>
      </c>
      <c r="G38" s="215">
        <f>SUM(G17:G37)</f>
        <v>33958.55492420634</v>
      </c>
      <c r="H38" s="189">
        <f>SUM(H17:H37)</f>
        <v>0.9999999999999999</v>
      </c>
      <c r="I38" s="216">
        <f>SUM(I17:I37)</f>
        <v>343.39834868839216</v>
      </c>
      <c r="J38" s="189">
        <f>SUM(J17:J37)</f>
        <v>0.9999999999999999</v>
      </c>
      <c r="K38" s="215">
        <f>SUM(K17:K37)</f>
        <v>481.3359166377536</v>
      </c>
      <c r="L38" s="189">
        <f>SUM(L17:L37)</f>
        <v>1.0</v>
      </c>
      <c r="M38" s="216">
        <f>SUM(M17:M37)</f>
        <v>10.16379114818792</v>
      </c>
      <c r="N38" s="189">
        <f>SUM(N17:N37)</f>
        <v>1.0</v>
      </c>
      <c r="O38" s="215">
        <f>SUM(O17:O37)</f>
        <v>74693.3259985981</v>
      </c>
      <c r="P38" s="189">
        <f>SUM(P17:P37)</f>
        <v>1.0</v>
      </c>
      <c r="Q38" s="216">
        <f>SUM(Q17:Q37)</f>
        <v>754.0173233429365</v>
      </c>
    </row>
    <row r="39">
      <c r="A39" s="162" t="inlineStr">
        <is>
          <t>TOTAL MASSA</t>
        </is>
      </c>
      <c r="B39" s="215">
        <f>C38+G38</f>
        <v>75174.6619152349</v>
      </c>
      <c r="C39" s="210" t="n"/>
      <c r="D39" s="210" t="n"/>
      <c r="E39" s="210" t="n"/>
      <c r="F39" s="210" t="n"/>
      <c r="G39" s="210" t="n"/>
      <c r="H39" s="210" t="n"/>
      <c r="I39" s="211" t="n"/>
      <c r="J39" s="215">
        <f>K38+O38</f>
        <v>75174.66191523585</v>
      </c>
      <c r="K39" s="210" t="n"/>
      <c r="L39" s="210" t="n"/>
      <c r="M39" s="210" t="n"/>
      <c r="N39" s="210" t="n"/>
      <c r="O39" s="210" t="n"/>
      <c r="P39" s="210" t="n"/>
      <c r="Q39" s="211" t="n"/>
    </row>
    <row r="40">
      <c r="A40" s="162" t="inlineStr">
        <is>
          <t>Selisih (Inlet − Outlet), kg/h</t>
        </is>
      </c>
      <c r="B40" s="215">
        <f>B39-J39</f>
        <v>-9.458744898438454e-10</v>
      </c>
      <c r="C40" s="210" t="n"/>
      <c r="D40" s="210" t="n"/>
      <c r="E40" s="210" t="n"/>
      <c r="F40" s="210" t="n"/>
      <c r="G40" s="210" t="n"/>
      <c r="H40" s="210" t="n"/>
      <c r="I40" s="210" t="n"/>
      <c r="J40" s="210" t="n"/>
      <c r="K40" s="210" t="n"/>
      <c r="L40" s="210" t="n"/>
      <c r="M40" s="210" t="n"/>
      <c r="N40" s="210" t="n"/>
      <c r="O40" s="210" t="n"/>
      <c r="P40" s="210" t="n"/>
      <c r="Q40" s="211" t="n"/>
    </row>
    <row r="43">
      <c r="A43" s="169" t="inlineStr">
        <is>
          <t>Neraca Energi P-102: Pompa EDC basah</t>
        </is>
      </c>
    </row>
    <row r="44">
      <c r="A44" s="187" t="inlineStr">
        <is>
          <t>Reference state: H₂O, Br₂, EDC, TCE fasa liquid @ 25°C, 1 bar; NCl₃, C₂H₅Cl fasa gas @ 25°C, 1 bar; FeCl₃ fasa solid @ 25°C, 1 bar</t>
        </is>
      </c>
    </row>
    <row r="45">
      <c r="A45" s="162" t="inlineStr">
        <is>
          <t>No. aliran PFD</t>
        </is>
      </c>
      <c r="B45" s="162" t="n">
        <v>29</v>
      </c>
      <c r="C45" s="211" t="n"/>
      <c r="D45" s="162" t="n">
        <v>30</v>
      </c>
      <c r="E45" s="211" t="n"/>
    </row>
    <row r="46">
      <c r="A46" s="162" t="inlineStr">
        <is>
          <t>Dari</t>
        </is>
      </c>
      <c r="B46" s="172" t="inlineStr">
        <is>
          <t>D-101</t>
        </is>
      </c>
      <c r="C46" s="211" t="n"/>
      <c r="D46" s="172" t="inlineStr">
        <is>
          <t>P-102</t>
        </is>
      </c>
      <c r="E46" s="211" t="n"/>
    </row>
    <row r="47">
      <c r="A47" s="162" t="inlineStr">
        <is>
          <t>Ke</t>
        </is>
      </c>
      <c r="B47" s="172" t="inlineStr">
        <is>
          <t>P-102</t>
        </is>
      </c>
      <c r="C47" s="211" t="n"/>
      <c r="D47" s="172" t="inlineStr">
        <is>
          <t>E-106</t>
        </is>
      </c>
      <c r="E47" s="211" t="n"/>
    </row>
    <row r="48">
      <c r="A48" s="162" t="inlineStr">
        <is>
          <t>T (K)</t>
        </is>
      </c>
      <c r="B48" s="185">
        <f>'NME-3 Kondensasi-Dekantasi'!$J$75</f>
        <v>308.15</v>
      </c>
      <c r="C48" s="211" t="n"/>
      <c r="D48" s="185">
        <f>'NME-3 Kondensasi-Dekantasi'!$J$75</f>
        <v>308.15</v>
      </c>
      <c r="E48" s="211" t="n"/>
    </row>
    <row r="49">
      <c r="A49" s="162" t="inlineStr">
        <is>
          <t>T (°C)</t>
        </is>
      </c>
      <c r="B49" s="185">
        <f>'NME-3 Kondensasi-Dekantasi'!$J$76</f>
        <v>35.0</v>
      </c>
      <c r="C49" s="211" t="n"/>
      <c r="D49" s="185">
        <f>IF(ISNUMBER(D48),D48-273.15,"-")</f>
        <v>35.0</v>
      </c>
      <c r="E49" s="211" t="n"/>
    </row>
    <row r="50">
      <c r="A50" s="162" t="inlineStr">
        <is>
          <t>P (bar abs)</t>
        </is>
      </c>
      <c r="B50" s="190">
        <f>'NME-3 Kondensasi-Dekantasi'!$J$77</f>
        <v>5.370225</v>
      </c>
      <c r="C50" s="211" t="n"/>
      <c r="D50" s="190" t="n">
        <v>5.370225</v>
      </c>
      <c r="E50" s="211" t="n"/>
    </row>
    <row r="51">
      <c r="A51" s="162" t="inlineStr">
        <is>
          <t>Substance</t>
        </is>
      </c>
      <c r="B51" s="162" t="inlineStr">
        <is>
          <t>INLET</t>
        </is>
      </c>
      <c r="C51" s="211" t="n"/>
      <c r="D51" s="162" t="inlineStr">
        <is>
          <t>OUTLET</t>
        </is>
      </c>
      <c r="E51" s="211" t="n"/>
    </row>
    <row r="52">
      <c r="A52" s="212" t="n"/>
      <c r="B52" s="162" t="inlineStr">
        <is>
          <t>Aliran 29</t>
        </is>
      </c>
      <c r="C52" s="211" t="n"/>
      <c r="D52" s="162" t="inlineStr">
        <is>
          <t>Aliran 30</t>
        </is>
      </c>
      <c r="E52" s="211" t="n"/>
    </row>
    <row r="53">
      <c r="A53" s="213" t="n"/>
      <c r="B53" s="162" t="inlineStr">
        <is>
          <t>ṅᵢ (kmol/h)</t>
        </is>
      </c>
      <c r="C53" s="162" t="inlineStr">
        <is>
          <t>Ĥᵢ (kJ/kmol)</t>
        </is>
      </c>
      <c r="D53" s="162" t="inlineStr">
        <is>
          <t>ṅᵢ (kmol/h)</t>
        </is>
      </c>
      <c r="E53" s="162" t="inlineStr">
        <is>
          <t>Ĥᵢ (kJ/kmol)</t>
        </is>
      </c>
    </row>
    <row r="54">
      <c r="A54" s="163" t="inlineStr">
        <is>
          <t>H₂O (l)</t>
        </is>
      </c>
      <c r="B54" s="216">
        <f>'NME-3 Kondensasi-Dekantasi'!U23</f>
        <v>4.575754314852013</v>
      </c>
      <c r="C54" s="217">
        <f>('Data Termo'!$J$12*($B$48-298.15)+'Data Termo'!$K$12/2*($B$48^2-298.15^2)+'Data Termo'!$L$12/3*($B$48^3-298.15^3)+'Data Termo'!$M$12/4*($B$48^4-298.15^4))</f>
        <v>754.4607657590545</v>
      </c>
      <c r="D54" s="216">
        <f>'NME-3 Kondensasi-Dekantasi'!U23</f>
        <v>4.575754314852013</v>
      </c>
      <c r="E54" s="217">
        <f>('Data Termo'!$J$12*($D$48-298.15)+'Data Termo'!$K$12/2*($D$48^2-298.15^2)+'Data Termo'!$L$12/3*($D$48^3-298.15^3)+'Data Termo'!$M$12/4*($D$48^4-298.15^4))</f>
        <v>754.4607657590545</v>
      </c>
    </row>
    <row r="55">
      <c r="A55" s="163" t="inlineStr">
        <is>
          <t>Br₂ (l)</t>
        </is>
      </c>
      <c r="B55" s="216">
        <f>'NME-3 Kondensasi-Dekantasi'!U25</f>
        <v>0.008660028716159318</v>
      </c>
      <c r="C55" s="217">
        <f>('Data Termo'!$J$14*($B$48-298.15)+'Data Termo'!$K$14/2*($B$48^2-298.15^2)+'Data Termo'!$L$14/3*($B$48^3-298.15^3)+'Data Termo'!$M$14/4*($B$48^4-298.15^4))</f>
        <v>767.1143166804618</v>
      </c>
      <c r="D55" s="216">
        <f>'NME-3 Kondensasi-Dekantasi'!U25</f>
        <v>0.008660028716159318</v>
      </c>
      <c r="E55" s="217">
        <f>('Data Termo'!$J$14*($D$48-298.15)+'Data Termo'!$K$14/2*($D$48^2-298.15^2)+'Data Termo'!$L$14/3*($D$48^3-298.15^3)+'Data Termo'!$M$14/4*($D$48^4-298.15^4))</f>
        <v>767.1143166804618</v>
      </c>
    </row>
    <row r="56">
      <c r="A56" s="163" t="inlineStr">
        <is>
          <t>NCl₃ (l)</t>
        </is>
      </c>
      <c r="B56" s="216">
        <f>'NME-3 Kondensasi-Dekantasi'!U26</f>
        <v>0.0006387709001195385</v>
      </c>
      <c r="C56" s="217">
        <f>-'Data Termo'!$V$15+('Data Termo'!$J$15*($B$48-298.15)+'Data Termo'!$K$15/2*($B$48^2-298.15^2)+'Data Termo'!$L$15/3*($B$48^3-298.15^3)+'Data Termo'!$M$15/4*($B$48^4-298.15^4))</f>
        <v>-31686.70628400893</v>
      </c>
      <c r="D56" s="216">
        <f>'NME-3 Kondensasi-Dekantasi'!U26</f>
        <v>0.0006387709001195385</v>
      </c>
      <c r="E56" s="217">
        <f>-'Data Termo'!$V$15+('Data Termo'!$J$15*($D$48-298.15)+'Data Termo'!$K$15/2*($D$48^2-298.15^2)+'Data Termo'!$L$15/3*($D$48^3-298.15^3)+'Data Termo'!$M$15/4*($D$48^4-298.15^4))</f>
        <v>-31686.70628400893</v>
      </c>
    </row>
    <row r="57">
      <c r="A57" s="163" t="inlineStr">
        <is>
          <t>EDC (l)</t>
        </is>
      </c>
      <c r="B57" s="216">
        <f>'NME-3 Kondensasi-Dekantasi'!U31</f>
        <v>414.5228599660036</v>
      </c>
      <c r="C57" s="217">
        <f>('Data Termo'!$J$20*($B$48-298.15)+'Data Termo'!$K$20/2*($B$48^2-298.15^2)+'Data Termo'!$L$20/3*($B$48^3-298.15^3)+'Data Termo'!$M$20/4*($B$48^4-298.15^4))</f>
        <v>1294.871613376472</v>
      </c>
      <c r="D57" s="216">
        <f>'NME-3 Kondensasi-Dekantasi'!U31</f>
        <v>414.5228599660036</v>
      </c>
      <c r="E57" s="217">
        <f>('Data Termo'!$J$20*($D$48-298.15)+'Data Termo'!$K$20/2*($D$48^2-298.15^2)+'Data Termo'!$L$20/3*($D$48^3-298.15^3)+'Data Termo'!$M$20/4*($D$48^4-298.15^4))</f>
        <v>1294.871613376472</v>
      </c>
    </row>
    <row r="58">
      <c r="A58" s="163" t="inlineStr">
        <is>
          <t>TCE (l)</t>
        </is>
      </c>
      <c r="B58" s="216">
        <f>'NME-3 Kondensasi-Dekantasi'!U32</f>
        <v>0.04817685591565345</v>
      </c>
      <c r="C58" s="217">
        <f>('Data Termo'!$J$21*($B$48-298.15)+'Data Termo'!$K$21/2*($B$48^2-298.15^2)+'Data Termo'!$L$21/3*($B$48^3-298.15^3)+'Data Termo'!$M$21/4*($B$48^4-298.15^4))</f>
        <v>1522.960749517505</v>
      </c>
      <c r="D58" s="216">
        <f>'NME-3 Kondensasi-Dekantasi'!U32</f>
        <v>0.04817685591565345</v>
      </c>
      <c r="E58" s="217">
        <f>('Data Termo'!$J$21*($D$48-298.15)+'Data Termo'!$K$21/2*($D$48^2-298.15^2)+'Data Termo'!$L$21/3*($D$48^3-298.15^3)+'Data Termo'!$M$21/4*($D$48^4-298.15^4))</f>
        <v>1522.960749517505</v>
      </c>
    </row>
    <row r="59">
      <c r="A59" s="163" t="inlineStr">
        <is>
          <t>FeCl₃ (s)</t>
        </is>
      </c>
      <c r="B59" s="216">
        <f>'NME-3 Kondensasi-Dekantasi'!U34</f>
        <v>0.0007607767029859938</v>
      </c>
      <c r="C59" s="217">
        <f>('Data Termo'!$N$23*($B$48-298.15)+'Data Termo'!$O$23/2*($B$48^2-298.15^2)+'Data Termo'!$P$23/3*($B$48^3-298.15^3))</f>
        <v>980.394326529583</v>
      </c>
      <c r="D59" s="216">
        <f>'NME-3 Kondensasi-Dekantasi'!U34</f>
        <v>0.0007607767029859938</v>
      </c>
      <c r="E59" s="217">
        <f>('Data Termo'!$N$23*($D$48-298.15)+'Data Termo'!$O$23/2*($D$48^2-298.15^2)+'Data Termo'!$P$23/3*($D$48^3-298.15^3))</f>
        <v>980.394326529583</v>
      </c>
    </row>
    <row r="60">
      <c r="A60" s="163" t="inlineStr">
        <is>
          <t>C₂H₅Cl (l)</t>
        </is>
      </c>
      <c r="B60" s="216">
        <f>'NME-3 Kondensasi-Dekantasi'!U35</f>
        <v>1.6259150896419214</v>
      </c>
      <c r="C60" s="217">
        <f>-'Data Termo'!$V$24+('Data Termo'!$J$24*($B$48-298.15)+'Data Termo'!$K$24/2*($B$48^2-298.15^2)+'Data Termo'!$L$24/3*($B$48^3-298.15^3)+'Data Termo'!$M$24/4*($B$48^4-298.15^4))</f>
        <v>-23008.296960401192</v>
      </c>
      <c r="D60" s="216">
        <f>'NME-3 Kondensasi-Dekantasi'!U35</f>
        <v>1.6259150896419214</v>
      </c>
      <c r="E60" s="217">
        <f>-'Data Termo'!$V$24+('Data Termo'!$J$24*($D$48-298.15)+'Data Termo'!$K$24/2*($D$48^2-298.15^2)+'Data Termo'!$L$24/3*($D$48^3-298.15^3)+'Data Termo'!$M$24/4*($D$48^4-298.15^4))</f>
        <v>-23008.296960401192</v>
      </c>
    </row>
    <row r="61">
      <c r="A61" s="200" t="inlineStr">
        <is>
          <t>Sub Total ṅᵢĤᵢ (kJ/h)</t>
        </is>
      </c>
      <c r="B61" s="218">
        <f>SUMPRODUCT(B54:B60,C54:C60)</f>
        <v>502857.0943629125</v>
      </c>
      <c r="C61" s="211" t="n"/>
      <c r="D61" s="218">
        <f>SUMPRODUCT(D54:D60,E54:E60)</f>
        <v>502857.0943629125</v>
      </c>
      <c r="E61" s="211" t="n"/>
    </row>
    <row r="62">
      <c r="A62" s="163" t="inlineStr">
        <is>
          <t>Heat of reaction / heat of mixing (kJ/h)</t>
        </is>
      </c>
      <c r="B62" s="219" t="inlineStr">
        <is>
          <t>-</t>
        </is>
      </c>
      <c r="C62" s="211" t="n"/>
      <c r="D62" s="220" t="inlineStr">
        <is>
          <t>-</t>
        </is>
      </c>
      <c r="E62" s="211" t="n"/>
    </row>
    <row r="63">
      <c r="A63" s="200" t="inlineStr">
        <is>
          <t>Q (kJ/h)</t>
        </is>
      </c>
      <c r="B63" s="218" t="n">
        <v>0</v>
      </c>
      <c r="C63" s="210" t="n"/>
      <c r="D63" s="210" t="n"/>
      <c r="E63" s="211" t="n"/>
    </row>
    <row r="64">
      <c r="A64" s="200" t="inlineStr">
        <is>
          <t>W (kJ/h)</t>
        </is>
      </c>
      <c r="B64" s="218" t="n">
        <v>0</v>
      </c>
      <c r="C64" s="210" t="n"/>
      <c r="D64" s="210" t="n"/>
      <c r="E64" s="211" t="n"/>
    </row>
    <row r="65">
      <c r="A65" s="200" t="inlineStr">
        <is>
          <t>TOTAL (kJ/h)</t>
        </is>
      </c>
      <c r="B65" s="218">
        <f>B61+$B$63+$B$64</f>
        <v>502857.0943629125</v>
      </c>
      <c r="C65" s="211" t="n"/>
      <c r="D65" s="218">
        <f>(D61)</f>
        <v>502857.0943629125</v>
      </c>
      <c r="E65" s="211" t="n"/>
    </row>
    <row r="66">
      <c r="A66" s="163" t="inlineStr">
        <is>
          <t>Selisih masuk − keluar (kJ/h)</t>
        </is>
      </c>
      <c r="B66" s="217">
        <f>B65-D65</f>
        <v>0.0</v>
      </c>
      <c r="C66" s="210" t="n"/>
      <c r="D66" s="210" t="n"/>
      <c r="E66" s="211" t="n"/>
    </row>
    <row r="67">
      <c r="A67" s="163" t="inlineStr">
        <is>
          <t>Q (kW)</t>
        </is>
      </c>
      <c r="B67" s="217">
        <f>$B$63/3600</f>
        <v>0.0</v>
      </c>
      <c r="C67" s="210" t="n"/>
      <c r="D67" s="210" t="n"/>
      <c r="E67" s="211" t="n"/>
    </row>
    <row r="68">
      <c r="A68" s="163" t="inlineStr">
        <is>
          <t>W (kW)</t>
        </is>
      </c>
      <c r="B68" s="217">
        <f>$B$64/3600</f>
        <v>0.0</v>
      </c>
      <c r="C68" s="210" t="n"/>
      <c r="D68" s="210" t="n"/>
      <c r="E68" s="211" t="n"/>
    </row>
    <row r="71">
      <c r="A71" s="169" t="inlineStr">
        <is>
          <t>Neraca Energi E-106: Pemanas umpan kolom ringan</t>
        </is>
      </c>
    </row>
    <row r="72">
      <c r="A72" s="187" t="inlineStr">
        <is>
          <t>Reference state: H₂O, Br₂, EDC, TCE fasa liquid @ 25°C, 1 bar; NCl₃, C₂H₅Cl fasa gas @ 25°C, 1 bar; FeCl₃ fasa solid @ 25°C, 1 bar</t>
        </is>
      </c>
    </row>
    <row r="73">
      <c r="A73" s="162" t="inlineStr">
        <is>
          <t>No. aliran PFD</t>
        </is>
      </c>
      <c r="B73" s="162" t="n">
        <v>30</v>
      </c>
      <c r="C73" s="211" t="n"/>
      <c r="D73" s="162" t="n">
        <v>31</v>
      </c>
      <c r="E73" s="211" t="n"/>
    </row>
    <row r="74">
      <c r="A74" s="162" t="inlineStr">
        <is>
          <t>Dari</t>
        </is>
      </c>
      <c r="B74" s="172" t="inlineStr">
        <is>
          <t>P-102</t>
        </is>
      </c>
      <c r="C74" s="211" t="n"/>
      <c r="D74" s="172" t="inlineStr">
        <is>
          <t>E-106</t>
        </is>
      </c>
      <c r="E74" s="211" t="n"/>
    </row>
    <row r="75">
      <c r="A75" s="162" t="inlineStr">
        <is>
          <t>Ke</t>
        </is>
      </c>
      <c r="B75" s="172" t="inlineStr">
        <is>
          <t>E-106</t>
        </is>
      </c>
      <c r="C75" s="211" t="n"/>
      <c r="D75" s="172" t="inlineStr">
        <is>
          <t>KD-101</t>
        </is>
      </c>
      <c r="E75" s="211" t="n"/>
    </row>
    <row r="76">
      <c r="A76" s="162" t="inlineStr">
        <is>
          <t>T (K)</t>
        </is>
      </c>
      <c r="B76" s="185">
        <f>$D$48</f>
        <v>308.15</v>
      </c>
      <c r="C76" s="211" t="n"/>
      <c r="D76" s="185">
        <f>'Data Termo'!$D$39</f>
        <v>356.59</v>
      </c>
      <c r="E76" s="211" t="n"/>
    </row>
    <row r="77">
      <c r="A77" s="162" t="inlineStr">
        <is>
          <t>T (°C)</t>
        </is>
      </c>
      <c r="B77" s="185">
        <f>$D$49</f>
        <v>35.0</v>
      </c>
      <c r="C77" s="211" t="n"/>
      <c r="D77" s="185">
        <f>IF(ISNUMBER(D76),D76-273.15,"-")</f>
        <v>83.44</v>
      </c>
      <c r="E77" s="211" t="n"/>
    </row>
    <row r="78">
      <c r="A78" s="162" t="inlineStr">
        <is>
          <t>P (bar abs)</t>
        </is>
      </c>
      <c r="B78" s="190">
        <f>$D$50</f>
        <v>5.370225</v>
      </c>
      <c r="C78" s="211" t="n"/>
      <c r="D78" s="190" t="n">
        <v>1.01325</v>
      </c>
      <c r="E78" s="211" t="n"/>
    </row>
    <row r="79">
      <c r="A79" s="162" t="inlineStr">
        <is>
          <t>Substance</t>
        </is>
      </c>
      <c r="B79" s="162" t="inlineStr">
        <is>
          <t>INLET</t>
        </is>
      </c>
      <c r="C79" s="211" t="n"/>
      <c r="D79" s="162" t="inlineStr">
        <is>
          <t>OUTLET</t>
        </is>
      </c>
      <c r="E79" s="211" t="n"/>
    </row>
    <row r="80">
      <c r="A80" s="212" t="n"/>
      <c r="B80" s="162" t="inlineStr">
        <is>
          <t>Aliran 30</t>
        </is>
      </c>
      <c r="C80" s="211" t="n"/>
      <c r="D80" s="162" t="inlineStr">
        <is>
          <t>Aliran 31</t>
        </is>
      </c>
      <c r="E80" s="211" t="n"/>
    </row>
    <row r="81">
      <c r="A81" s="213" t="n"/>
      <c r="B81" s="162" t="inlineStr">
        <is>
          <t>ṅᵢ (kmol/h)</t>
        </is>
      </c>
      <c r="C81" s="162" t="inlineStr">
        <is>
          <t>Ĥᵢ (kJ/kmol)</t>
        </is>
      </c>
      <c r="D81" s="162" t="inlineStr">
        <is>
          <t>ṅᵢ (kmol/h)</t>
        </is>
      </c>
      <c r="E81" s="162" t="inlineStr">
        <is>
          <t>Ĥᵢ (kJ/kmol)</t>
        </is>
      </c>
    </row>
    <row r="82">
      <c r="A82" s="163" t="inlineStr">
        <is>
          <t>H₂O (l)</t>
        </is>
      </c>
      <c r="B82" s="216">
        <f>'NME-3 Kondensasi-Dekantasi'!U23</f>
        <v>4.575754314852013</v>
      </c>
      <c r="C82" s="217">
        <f>('Data Termo'!$J$12*($B$76-298.15)+'Data Termo'!$K$12/2*($B$76^2-298.15^2)+'Data Termo'!$L$12/3*($B$76^3-298.15^3)+'Data Termo'!$M$12/4*($B$76^4-298.15^4))</f>
        <v>754.4607657590545</v>
      </c>
      <c r="D82" s="216">
        <f>E23</f>
        <v>4.575754314852013</v>
      </c>
      <c r="E82" s="217">
        <f>('Data Termo'!$J$12*($D$76-298.15)+'Data Termo'!$K$12/2*($D$76^2-298.15^2)+'Data Termo'!$L$12/3*($D$76^3-298.15^3)+'Data Termo'!$M$12/4*($D$76^4-298.15^4))</f>
        <v>4395.041391071417</v>
      </c>
    </row>
    <row r="83">
      <c r="A83" s="163" t="inlineStr">
        <is>
          <t>Br₂ (l)</t>
        </is>
      </c>
      <c r="B83" s="216">
        <f>'NME-3 Kondensasi-Dekantasi'!U25</f>
        <v>0.008660028716159318</v>
      </c>
      <c r="C83" s="217">
        <f>('Data Termo'!$J$14*($B$76-298.15)+'Data Termo'!$K$14/2*($B$76^2-298.15^2)+'Data Termo'!$L$14/3*($B$76^3-298.15^3)+'Data Termo'!$M$14/4*($B$76^4-298.15^4))</f>
        <v>767.1143166804618</v>
      </c>
      <c r="D83" s="216">
        <f>E25</f>
        <v>0.008660028716159318</v>
      </c>
      <c r="E83" s="217">
        <f>('Data Termo'!$J$14*($D$76-298.15)+'Data Termo'!$K$14/2*($D$76^2-298.15^2)+'Data Termo'!$L$14/3*($D$76^3-298.15^3)+'Data Termo'!$M$14/4*($D$76^4-298.15^4))</f>
        <v>4541.59132209599</v>
      </c>
    </row>
    <row r="84">
      <c r="A84" s="163" t="inlineStr">
        <is>
          <t>NCl₃ (l)</t>
        </is>
      </c>
      <c r="B84" s="216">
        <f>'NME-3 Kondensasi-Dekantasi'!U26</f>
        <v>0.0006387709001195385</v>
      </c>
      <c r="C84" s="217">
        <f>-'Data Termo'!$V$15+('Data Termo'!$J$15*($B$76-298.15)+'Data Termo'!$K$15/2*($B$76^2-298.15^2)+'Data Termo'!$L$15/3*($B$76^3-298.15^3)+'Data Termo'!$M$15/4*($B$76^4-298.15^4))</f>
        <v>-31686.70628400893</v>
      </c>
      <c r="D84" s="216">
        <f>E26</f>
        <v>0.0006387709001195385</v>
      </c>
      <c r="E84" s="217">
        <f>-'Data Termo'!$V$15+('Data Termo'!$J$15*($D$76-298.15)+'Data Termo'!$K$15/2*($D$76^2-298.15^2)+'Data Termo'!$L$15/3*($D$76^3-298.15^3)+'Data Termo'!$M$15/4*($D$76^4-298.15^4))</f>
        <v>-26613.40619681532</v>
      </c>
    </row>
    <row r="85">
      <c r="A85" s="163" t="inlineStr">
        <is>
          <t>EDC (l)</t>
        </is>
      </c>
      <c r="B85" s="216">
        <f>'NME-3 Kondensasi-Dekantasi'!U31</f>
        <v>414.5228599660036</v>
      </c>
      <c r="C85" s="217">
        <f>('Data Termo'!$J$20*($B$76-298.15)+'Data Termo'!$K$20/2*($B$76^2-298.15^2)+'Data Termo'!$L$20/3*($B$76^3-298.15^3)+'Data Termo'!$M$20/4*($B$76^4-298.15^4))</f>
        <v>1294.871613376472</v>
      </c>
      <c r="D85" s="216">
        <f>E31</f>
        <v>414.5228599660036</v>
      </c>
      <c r="E85" s="217">
        <f>('Data Termo'!$J$20*($D$76-298.15)+'Data Termo'!$K$20/2*($D$76^2-298.15^2)+'Data Termo'!$L$20/3*($D$76^3-298.15^3)+'Data Termo'!$M$20/4*($D$76^4-298.15^4))</f>
        <v>7785.338844978988</v>
      </c>
    </row>
    <row r="86">
      <c r="A86" s="163" t="inlineStr">
        <is>
          <t>TCE (l)</t>
        </is>
      </c>
      <c r="B86" s="216">
        <f>'NME-3 Kondensasi-Dekantasi'!U32</f>
        <v>0.04817685591565345</v>
      </c>
      <c r="C86" s="217">
        <f>('Data Termo'!$J$21*($B$76-298.15)+'Data Termo'!$K$21/2*($B$76^2-298.15^2)+'Data Termo'!$L$21/3*($B$76^3-298.15^3)+'Data Termo'!$M$21/4*($B$76^4-298.15^4))</f>
        <v>1522.960749517505</v>
      </c>
      <c r="D86" s="216">
        <f>E32</f>
        <v>0.04817685591565345</v>
      </c>
      <c r="E86" s="217">
        <f>('Data Termo'!$J$21*($D$76-298.15)+'Data Termo'!$K$21/2*($D$76^2-298.15^2)+'Data Termo'!$L$21/3*($D$76^3-298.15^3)+'Data Termo'!$M$21/4*($D$76^4-298.15^4))</f>
        <v>9145.553680082052</v>
      </c>
    </row>
    <row r="87">
      <c r="A87" s="163" t="inlineStr">
        <is>
          <t>FeCl₃ (s)</t>
        </is>
      </c>
      <c r="B87" s="216">
        <f>'NME-3 Kondensasi-Dekantasi'!U34</f>
        <v>0.0007607767029859938</v>
      </c>
      <c r="C87" s="217">
        <f>('Data Termo'!$N$23*($B$76-298.15)+'Data Termo'!$O$23/2*($B$76^2-298.15^2)+'Data Termo'!$P$23/3*($B$76^3-298.15^3))</f>
        <v>980.394326529583</v>
      </c>
      <c r="D87" s="216">
        <f>E34</f>
        <v>0.0007607767029859938</v>
      </c>
      <c r="E87" s="217">
        <f>('Data Termo'!$N$23*($D$76-298.15)+'Data Termo'!$O$23/2*($D$76^2-298.15^2)+'Data Termo'!$P$23/3*($D$76^3-298.15^3))</f>
        <v>5920.543228804779</v>
      </c>
    </row>
    <row r="88">
      <c r="A88" s="163" t="inlineStr">
        <is>
          <t>C₂H₅Cl (l)</t>
        </is>
      </c>
      <c r="B88" s="216">
        <f>'NME-3 Kondensasi-Dekantasi'!U35</f>
        <v>1.6259150896419214</v>
      </c>
      <c r="C88" s="217">
        <f>-'Data Termo'!$V$24+('Data Termo'!$J$24*($B$76-298.15)+'Data Termo'!$K$24/2*($B$76^2-298.15^2)+'Data Termo'!$L$24/3*($B$76^3-298.15^3)+'Data Termo'!$M$24/4*($B$76^4-298.15^4))</f>
        <v>-23008.296960401192</v>
      </c>
      <c r="D88" s="216">
        <f>E35</f>
        <v>1.6259150896419214</v>
      </c>
      <c r="E88" s="217">
        <f>-'Data Termo'!$V$24+('Data Termo'!$J$24*($D$76-298.15)+'Data Termo'!$K$24/2*($D$76^2-298.15^2)+'Data Termo'!$L$24/3*($D$76^3-298.15^3)+'Data Termo'!$M$24/4*($D$76^4-298.15^4))</f>
        <v>-17562.845697812754</v>
      </c>
    </row>
    <row r="89">
      <c r="A89" s="200" t="inlineStr">
        <is>
          <t>Sub Total ṅᵢĤᵢ (kJ/h)</t>
        </is>
      </c>
      <c r="B89" s="218">
        <f>SUMPRODUCT(B82:B88,C82:C88)</f>
        <v>502857.0943629125</v>
      </c>
      <c r="C89" s="211" t="n"/>
      <c r="D89" s="218">
        <f>SUMPRODUCT(D82:D88,E82:E88)</f>
        <v>3219223.296272241</v>
      </c>
      <c r="E89" s="211" t="n"/>
    </row>
    <row r="90">
      <c r="A90" s="163" t="inlineStr">
        <is>
          <t>Heat of reaction / heat of mixing (kJ/h)</t>
        </is>
      </c>
      <c r="B90" s="219" t="inlineStr">
        <is>
          <t>-</t>
        </is>
      </c>
      <c r="C90" s="211" t="n"/>
      <c r="D90" s="220" t="inlineStr">
        <is>
          <t>-</t>
        </is>
      </c>
      <c r="E90" s="211" t="n"/>
    </row>
    <row r="91">
      <c r="A91" s="200" t="inlineStr">
        <is>
          <t>Q (kJ/h)</t>
        </is>
      </c>
      <c r="B91" s="218">
        <f>(D89)-(B89)</f>
        <v>2716366.2019093283</v>
      </c>
      <c r="C91" s="210" t="n"/>
      <c r="D91" s="210" t="n"/>
      <c r="E91" s="211" t="n"/>
    </row>
    <row r="92">
      <c r="A92" s="200" t="inlineStr">
        <is>
          <t>W (kJ/h)</t>
        </is>
      </c>
      <c r="B92" s="218" t="n">
        <v>0</v>
      </c>
      <c r="C92" s="210" t="n"/>
      <c r="D92" s="210" t="n"/>
      <c r="E92" s="211" t="n"/>
    </row>
    <row r="93">
      <c r="A93" s="200" t="inlineStr">
        <is>
          <t>TOTAL (kJ/h)</t>
        </is>
      </c>
      <c r="B93" s="218">
        <f>B89+$B$91+$B$92</f>
        <v>3219223.296272241</v>
      </c>
      <c r="C93" s="211" t="n"/>
      <c r="D93" s="218">
        <f>(D89)</f>
        <v>3219223.296272241</v>
      </c>
      <c r="E93" s="211" t="n"/>
    </row>
    <row r="94">
      <c r="A94" s="163" t="inlineStr">
        <is>
          <t>Selisih masuk − keluar (kJ/h)</t>
        </is>
      </c>
      <c r="B94" s="217">
        <f>B93-D93</f>
        <v>0.0</v>
      </c>
      <c r="C94" s="210" t="n"/>
      <c r="D94" s="210" t="n"/>
      <c r="E94" s="211" t="n"/>
    </row>
    <row r="95">
      <c r="A95" s="163" t="inlineStr">
        <is>
          <t>Q (kW)</t>
        </is>
      </c>
      <c r="B95" s="217">
        <f>$B$91/3600</f>
        <v>754.5461671970356</v>
      </c>
      <c r="C95" s="210" t="n"/>
      <c r="D95" s="210" t="n"/>
      <c r="E95" s="211" t="n"/>
    </row>
    <row r="96">
      <c r="A96" s="163" t="inlineStr">
        <is>
          <t>W (kW)</t>
        </is>
      </c>
      <c r="B96" s="217">
        <f>$B$92/3600</f>
        <v>0.0</v>
      </c>
      <c r="C96" s="210" t="n"/>
      <c r="D96" s="210" t="n"/>
      <c r="E96" s="211" t="n"/>
    </row>
    <row r="99">
      <c r="A99" s="169" t="inlineStr">
        <is>
          <t>Neraca Energi E-111: Pendingin EDC daur ulang</t>
        </is>
      </c>
    </row>
    <row r="100">
      <c r="A100" s="187" t="inlineStr">
        <is>
          <t>Reference state: H₂O, EDC, TCE, C₄H₈Cl₂ (berat) fasa liquid @ 25°C, 1 bar; VCM fasa gas @ 25°C, 1 bar</t>
        </is>
      </c>
    </row>
    <row r="101">
      <c r="A101" s="162" t="inlineStr">
        <is>
          <t>No. aliran PFD</t>
        </is>
      </c>
      <c r="B101" s="162" t="n">
        <v>49</v>
      </c>
      <c r="C101" s="211" t="n"/>
      <c r="D101" s="162" t="n">
        <v>50</v>
      </c>
      <c r="E101" s="211" t="n"/>
    </row>
    <row r="102">
      <c r="A102" s="162" t="inlineStr">
        <is>
          <t>Dari</t>
        </is>
      </c>
      <c r="B102" s="172" t="inlineStr">
        <is>
          <t>KD-104</t>
        </is>
      </c>
      <c r="C102" s="211" t="n"/>
      <c r="D102" s="172" t="inlineStr">
        <is>
          <t>E-111</t>
        </is>
      </c>
      <c r="E102" s="211" t="n"/>
    </row>
    <row r="103">
      <c r="A103" s="162" t="inlineStr">
        <is>
          <t>Ke</t>
        </is>
      </c>
      <c r="B103" s="172" t="inlineStr">
        <is>
          <t>E-111</t>
        </is>
      </c>
      <c r="C103" s="211" t="n"/>
      <c r="D103" s="172" t="inlineStr">
        <is>
          <t>V-106</t>
        </is>
      </c>
      <c r="E103" s="211" t="n"/>
    </row>
    <row r="104">
      <c r="A104" s="162" t="inlineStr">
        <is>
          <t>T (K)</t>
        </is>
      </c>
      <c r="B104" s="185">
        <f>'NME-8 Kolom VCM'!$F$74</f>
        <v>425.15</v>
      </c>
      <c r="C104" s="211" t="n"/>
      <c r="D104" s="185">
        <f>'Data Termo'!$D$39</f>
        <v>356.59</v>
      </c>
      <c r="E104" s="211" t="n"/>
    </row>
    <row r="105">
      <c r="A105" s="162" t="inlineStr">
        <is>
          <t>T (°C)</t>
        </is>
      </c>
      <c r="B105" s="185">
        <f>'NME-8 Kolom VCM'!$F$75</f>
        <v>152.0</v>
      </c>
      <c r="C105" s="211" t="n"/>
      <c r="D105" s="185">
        <f>IF(ISNUMBER(D104),D104-273.15,"-")</f>
        <v>83.44</v>
      </c>
      <c r="E105" s="211" t="n"/>
    </row>
    <row r="106">
      <c r="A106" s="162" t="inlineStr">
        <is>
          <t>P (bar abs)</t>
        </is>
      </c>
      <c r="B106" s="190">
        <f>'NME-8 Kolom VCM'!$F$76</f>
        <v>6.5</v>
      </c>
      <c r="C106" s="211" t="n"/>
      <c r="D106" s="190" t="n">
        <v>6.5</v>
      </c>
      <c r="E106" s="211" t="n"/>
    </row>
    <row r="107">
      <c r="A107" s="162" t="inlineStr">
        <is>
          <t>Substance</t>
        </is>
      </c>
      <c r="B107" s="162" t="inlineStr">
        <is>
          <t>INLET</t>
        </is>
      </c>
      <c r="C107" s="211" t="n"/>
      <c r="D107" s="162" t="inlineStr">
        <is>
          <t>OUTLET</t>
        </is>
      </c>
      <c r="E107" s="211" t="n"/>
    </row>
    <row r="108">
      <c r="A108" s="212" t="n"/>
      <c r="B108" s="162" t="inlineStr">
        <is>
          <t>Aliran 49</t>
        </is>
      </c>
      <c r="C108" s="211" t="n"/>
      <c r="D108" s="162" t="inlineStr">
        <is>
          <t>Aliran 50</t>
        </is>
      </c>
      <c r="E108" s="211" t="n"/>
    </row>
    <row r="109">
      <c r="A109" s="213" t="n"/>
      <c r="B109" s="162" t="inlineStr">
        <is>
          <t>ṅᵢ (kmol/h)</t>
        </is>
      </c>
      <c r="C109" s="162" t="inlineStr">
        <is>
          <t>Ĥᵢ (kJ/kmol)</t>
        </is>
      </c>
      <c r="D109" s="162" t="inlineStr">
        <is>
          <t>ṅᵢ (kmol/h)</t>
        </is>
      </c>
      <c r="E109" s="162" t="inlineStr">
        <is>
          <t>Ĥᵢ (kJ/kmol)</t>
        </is>
      </c>
    </row>
    <row r="110">
      <c r="A110" s="163" t="inlineStr">
        <is>
          <t>H₂O (l)</t>
        </is>
      </c>
      <c r="B110" s="216">
        <f>'NME-8 Kolom VCM'!M22</f>
        <v>0.14511609269780668</v>
      </c>
      <c r="C110" s="217">
        <f>('Data Termo'!$J$12*($B$104-298.15)+'Data Termo'!$K$12/2*($B$104^2-298.15^2)+'Data Termo'!$L$12/3*($B$104^3-298.15^3)+'Data Termo'!$M$12/4*($B$104^4-298.15^4))</f>
        <v>9625.380006476644</v>
      </c>
      <c r="D110" s="216">
        <f>'NME-8 Kolom VCM'!M22</f>
        <v>0.14511609269780668</v>
      </c>
      <c r="E110" s="217">
        <f>('Data Termo'!$J$12*($D$104-298.15)+'Data Termo'!$K$12/2*($D$104^2-298.15^2)+'Data Termo'!$L$12/3*($D$104^3-298.15^3)+'Data Termo'!$M$12/4*($D$104^4-298.15^4))</f>
        <v>4395.041391071417</v>
      </c>
    </row>
    <row r="111">
      <c r="A111" s="163" t="inlineStr">
        <is>
          <t>EDC (l)</t>
        </is>
      </c>
      <c r="B111" s="216">
        <f>'NME-8 Kolom VCM'!M30</f>
        <v>337.4364327507174</v>
      </c>
      <c r="C111" s="217">
        <f>('Data Termo'!$J$20*($B$104-298.15)+'Data Termo'!$K$20/2*($B$104^2-298.15^2)+'Data Termo'!$L$20/3*($B$104^3-298.15^3)+'Data Termo'!$M$20/4*($B$104^4-298.15^4))</f>
        <v>17756.428085734064</v>
      </c>
      <c r="D111" s="216">
        <f>'NME-8 Kolom VCM'!M30</f>
        <v>337.4364327507174</v>
      </c>
      <c r="E111" s="217">
        <f>('Data Termo'!$J$20*($D$104-298.15)+'Data Termo'!$K$20/2*($D$104^2-298.15^2)+'Data Termo'!$L$20/3*($D$104^3-298.15^3)+'Data Termo'!$M$20/4*($D$104^4-298.15^4))</f>
        <v>7785.338844978988</v>
      </c>
    </row>
    <row r="112">
      <c r="A112" s="163" t="inlineStr">
        <is>
          <t>TCE (l)</t>
        </is>
      </c>
      <c r="B112" s="216">
        <f>'NME-8 Kolom VCM'!M31</f>
        <v>0.005009843991228917</v>
      </c>
      <c r="C112" s="217">
        <f>('Data Termo'!$J$21*($B$104-298.15)+'Data Termo'!$K$21/2*($B$104^2-298.15^2)+'Data Termo'!$L$21/3*($B$104^3-298.15^3)+'Data Termo'!$M$21/4*($B$104^4-298.15^4))</f>
        <v>20773.342687555734</v>
      </c>
      <c r="D112" s="216">
        <f>'NME-8 Kolom VCM'!M31</f>
        <v>0.005009843991228917</v>
      </c>
      <c r="E112" s="217">
        <f>('Data Termo'!$J$21*($D$104-298.15)+'Data Termo'!$K$21/2*($D$104^2-298.15^2)+'Data Termo'!$L$21/3*($D$104^3-298.15^3)+'Data Termo'!$M$21/4*($D$104^4-298.15^4))</f>
        <v>9145.553680082052</v>
      </c>
    </row>
    <row r="113">
      <c r="A113" s="163" t="inlineStr">
        <is>
          <t>VCM (l)</t>
        </is>
      </c>
      <c r="B113" s="216">
        <f>'NME-8 Kolom VCM'!M35</f>
        <v>2.716771330619088</v>
      </c>
      <c r="C113" s="217">
        <f>-'Data Termo'!$V$25+('Data Termo'!$J$25*($B$104-298.15)+'Data Termo'!$K$25/2*($B$104^2-298.15^2)+'Data Termo'!$L$25/3*($B$104^3-298.15^3)+'Data Termo'!$M$25/4*($B$104^4-298.15^4))</f>
        <v>-7180.501565890241</v>
      </c>
      <c r="D113" s="216">
        <f>'NME-8 Kolom VCM'!M35</f>
        <v>2.716771330619088</v>
      </c>
      <c r="E113" s="217">
        <f>-'Data Termo'!$V$25+('Data Termo'!$J$25*($D$104-298.15)+'Data Termo'!$K$25/2*($D$104^2-298.15^2)+'Data Termo'!$L$25/3*($D$104^3-298.15^3)+'Data Termo'!$M$25/4*($D$104^4-298.15^4))</f>
        <v>-14819.433777893064</v>
      </c>
    </row>
    <row r="114">
      <c r="A114" s="163" t="inlineStr">
        <is>
          <t>C₄H₈Cl₂ (berat) (l)</t>
        </is>
      </c>
      <c r="B114" s="216">
        <f>'NME-8 Kolom VCM'!M36</f>
        <v>3.0950186703622276</v>
      </c>
      <c r="C114" s="217">
        <f>('Data Termo'!$J$26*($B$104-298.15)+'Data Termo'!$K$26/2*($B$104^2-298.15^2)+'Data Termo'!$L$26/3*($B$104^3-298.15^3)+'Data Termo'!$M$26/4*($B$104^4-298.15^4))</f>
        <v>24964.931617977258</v>
      </c>
      <c r="D114" s="216">
        <f>'NME-8 Kolom VCM'!M36</f>
        <v>3.0950186703622276</v>
      </c>
      <c r="E114" s="217">
        <f>('Data Termo'!$J$26*($D$104-298.15)+'Data Termo'!$K$26/2*($D$104^2-298.15^2)+'Data Termo'!$L$26/3*($D$104^3-298.15^3)+'Data Termo'!$M$26/4*($D$104^4-298.15^4))</f>
        <v>11075.048794750957</v>
      </c>
    </row>
    <row r="115">
      <c r="A115" s="200" t="inlineStr">
        <is>
          <t>Sub Total ṅᵢĤᵢ (kJ/h)</t>
        </is>
      </c>
      <c r="B115" s="218">
        <f>SUMPRODUCT(B110:B114,C110:C114)</f>
        <v>6050925.769056344</v>
      </c>
      <c r="C115" s="211" t="n"/>
      <c r="D115" s="218">
        <f>SUMPRODUCT(D110:D114,E110:E114)</f>
        <v>2621757.046607507</v>
      </c>
      <c r="E115" s="211" t="n"/>
    </row>
    <row r="116">
      <c r="A116" s="163" t="inlineStr">
        <is>
          <t>Heat of reaction / heat of mixing (kJ/h)</t>
        </is>
      </c>
      <c r="B116" s="219" t="inlineStr">
        <is>
          <t>-</t>
        </is>
      </c>
      <c r="C116" s="211" t="n"/>
      <c r="D116" s="220" t="inlineStr">
        <is>
          <t>-</t>
        </is>
      </c>
      <c r="E116" s="211" t="n"/>
    </row>
    <row r="117">
      <c r="A117" s="200" t="inlineStr">
        <is>
          <t>Q (kJ/h)</t>
        </is>
      </c>
      <c r="B117" s="218">
        <f>(D115)-(B115)</f>
        <v>-3429168.7224488375</v>
      </c>
      <c r="C117" s="210" t="n"/>
      <c r="D117" s="210" t="n"/>
      <c r="E117" s="211" t="n"/>
    </row>
    <row r="118">
      <c r="A118" s="200" t="inlineStr">
        <is>
          <t>W (kJ/h)</t>
        </is>
      </c>
      <c r="B118" s="218" t="n">
        <v>0</v>
      </c>
      <c r="C118" s="210" t="n"/>
      <c r="D118" s="210" t="n"/>
      <c r="E118" s="211" t="n"/>
    </row>
    <row r="119">
      <c r="A119" s="200" t="inlineStr">
        <is>
          <t>TOTAL (kJ/h)</t>
        </is>
      </c>
      <c r="B119" s="218">
        <f>B115+$B$117+$B$118</f>
        <v>2621757.046607507</v>
      </c>
      <c r="C119" s="211" t="n"/>
      <c r="D119" s="218">
        <f>(D115)</f>
        <v>2621757.046607507</v>
      </c>
      <c r="E119" s="211" t="n"/>
    </row>
    <row r="120">
      <c r="A120" s="163" t="inlineStr">
        <is>
          <t>Selisih masuk − keluar (kJ/h)</t>
        </is>
      </c>
      <c r="B120" s="217">
        <f>B119-D119</f>
        <v>0.0</v>
      </c>
      <c r="C120" s="210" t="n"/>
      <c r="D120" s="210" t="n"/>
      <c r="E120" s="211" t="n"/>
    </row>
    <row r="121">
      <c r="A121" s="163" t="inlineStr">
        <is>
          <t>Q (kW)</t>
        </is>
      </c>
      <c r="B121" s="217">
        <f>$B$117/3600</f>
        <v>-952.5468673468993</v>
      </c>
      <c r="C121" s="210" t="n"/>
      <c r="D121" s="210" t="n"/>
      <c r="E121" s="211" t="n"/>
    </row>
    <row r="122">
      <c r="A122" s="163" t="inlineStr">
        <is>
          <t>W (kW)</t>
        </is>
      </c>
      <c r="B122" s="217">
        <f>$B$118/3600</f>
        <v>0.0</v>
      </c>
      <c r="C122" s="210" t="n"/>
      <c r="D122" s="210" t="n"/>
      <c r="E122" s="211" t="n"/>
    </row>
    <row r="125">
      <c r="A125" s="169" t="inlineStr">
        <is>
          <t>Neraca Energi V-106: Valve EDC daur ulang</t>
        </is>
      </c>
    </row>
    <row r="126">
      <c r="A126" s="187" t="inlineStr">
        <is>
          <t>Reference state: H₂O, EDC, TCE, C₄H₈Cl₂ (berat) fasa liquid @ 25°C, 1 bar; VCM fasa gas @ 25°C, 1 bar</t>
        </is>
      </c>
    </row>
    <row r="127">
      <c r="A127" s="162" t="inlineStr">
        <is>
          <t>No. aliran PFD</t>
        </is>
      </c>
      <c r="B127" s="162" t="n">
        <v>50</v>
      </c>
      <c r="C127" s="211" t="n"/>
      <c r="D127" s="162" t="n">
        <v>51</v>
      </c>
      <c r="E127" s="211" t="n"/>
    </row>
    <row r="128">
      <c r="A128" s="162" t="inlineStr">
        <is>
          <t>Dari</t>
        </is>
      </c>
      <c r="B128" s="172" t="inlineStr">
        <is>
          <t>E-111</t>
        </is>
      </c>
      <c r="C128" s="211" t="n"/>
      <c r="D128" s="172" t="inlineStr">
        <is>
          <t>V-106</t>
        </is>
      </c>
      <c r="E128" s="211" t="n"/>
    </row>
    <row r="129">
      <c r="A129" s="162" t="inlineStr">
        <is>
          <t>Ke</t>
        </is>
      </c>
      <c r="B129" s="172" t="inlineStr">
        <is>
          <t>V-106</t>
        </is>
      </c>
      <c r="C129" s="211" t="n"/>
      <c r="D129" s="172" t="inlineStr">
        <is>
          <t>KD-101</t>
        </is>
      </c>
      <c r="E129" s="211" t="n"/>
    </row>
    <row r="130">
      <c r="A130" s="162" t="inlineStr">
        <is>
          <t>T (K)</t>
        </is>
      </c>
      <c r="B130" s="185">
        <f>$D$104</f>
        <v>356.59</v>
      </c>
      <c r="C130" s="211" t="n"/>
      <c r="D130" s="185">
        <f>$D$104</f>
        <v>356.59</v>
      </c>
      <c r="E130" s="211" t="n"/>
    </row>
    <row r="131">
      <c r="A131" s="162" t="inlineStr">
        <is>
          <t>T (°C)</t>
        </is>
      </c>
      <c r="B131" s="185">
        <f>$D$105</f>
        <v>83.44</v>
      </c>
      <c r="C131" s="211" t="n"/>
      <c r="D131" s="185">
        <f>IF(ISNUMBER(D130),D130-273.15,"-")</f>
        <v>83.44</v>
      </c>
      <c r="E131" s="211" t="n"/>
    </row>
    <row r="132">
      <c r="A132" s="162" t="inlineStr">
        <is>
          <t>P (bar abs)</t>
        </is>
      </c>
      <c r="B132" s="190">
        <f>$D$106</f>
        <v>6.5</v>
      </c>
      <c r="C132" s="211" t="n"/>
      <c r="D132" s="190" t="n">
        <v>1.01325</v>
      </c>
      <c r="E132" s="211" t="n"/>
    </row>
    <row r="133">
      <c r="A133" s="162" t="inlineStr">
        <is>
          <t>Substance</t>
        </is>
      </c>
      <c r="B133" s="162" t="inlineStr">
        <is>
          <t>INLET</t>
        </is>
      </c>
      <c r="C133" s="211" t="n"/>
      <c r="D133" s="162" t="inlineStr">
        <is>
          <t>OUTLET</t>
        </is>
      </c>
      <c r="E133" s="211" t="n"/>
    </row>
    <row r="134">
      <c r="A134" s="212" t="n"/>
      <c r="B134" s="162" t="inlineStr">
        <is>
          <t>Aliran 50</t>
        </is>
      </c>
      <c r="C134" s="211" t="n"/>
      <c r="D134" s="162" t="inlineStr">
        <is>
          <t>Aliran 51</t>
        </is>
      </c>
      <c r="E134" s="211" t="n"/>
    </row>
    <row r="135">
      <c r="A135" s="213" t="n"/>
      <c r="B135" s="162" t="inlineStr">
        <is>
          <t>ṅᵢ (kmol/h)</t>
        </is>
      </c>
      <c r="C135" s="162" t="inlineStr">
        <is>
          <t>Ĥᵢ (kJ/kmol)</t>
        </is>
      </c>
      <c r="D135" s="162" t="inlineStr">
        <is>
          <t>ṅᵢ (kmol/h)</t>
        </is>
      </c>
      <c r="E135" s="162" t="inlineStr">
        <is>
          <t>Ĥᵢ (kJ/kmol)</t>
        </is>
      </c>
    </row>
    <row r="136">
      <c r="A136" s="163" t="inlineStr">
        <is>
          <t>H₂O (l)</t>
        </is>
      </c>
      <c r="B136" s="216">
        <f>'NME-8 Kolom VCM'!M22</f>
        <v>0.14511609269780668</v>
      </c>
      <c r="C136" s="217">
        <f>('Data Termo'!$J$12*($B$130-298.15)+'Data Termo'!$K$12/2*($B$130^2-298.15^2)+'Data Termo'!$L$12/3*($B$130^3-298.15^3)+'Data Termo'!$M$12/4*($B$130^4-298.15^4))</f>
        <v>4395.041391071417</v>
      </c>
      <c r="D136" s="216">
        <f>I23</f>
        <v>0.14511609269780668</v>
      </c>
      <c r="E136" s="217">
        <f>('Data Termo'!$J$12*($D$130-298.15)+'Data Termo'!$K$12/2*($D$130^2-298.15^2)+'Data Termo'!$L$12/3*($D$130^3-298.15^3)+'Data Termo'!$M$12/4*($D$130^4-298.15^4))</f>
        <v>4395.041391071417</v>
      </c>
    </row>
    <row r="137">
      <c r="A137" s="163" t="inlineStr">
        <is>
          <t>EDC (l)</t>
        </is>
      </c>
      <c r="B137" s="216">
        <f>'NME-8 Kolom VCM'!M30</f>
        <v>337.4364327507174</v>
      </c>
      <c r="C137" s="217">
        <f>('Data Termo'!$J$20*($B$130-298.15)+'Data Termo'!$K$20/2*($B$130^2-298.15^2)+'Data Termo'!$L$20/3*($B$130^3-298.15^3)+'Data Termo'!$M$20/4*($B$130^4-298.15^4))</f>
        <v>7785.338844978988</v>
      </c>
      <c r="D137" s="216">
        <f>I31</f>
        <v>337.43643275072174</v>
      </c>
      <c r="E137" s="217">
        <f>('Data Termo'!$J$20*($D$130-298.15)+'Data Termo'!$K$20/2*($D$130^2-298.15^2)+'Data Termo'!$L$20/3*($D$130^3-298.15^3)+'Data Termo'!$M$20/4*($D$130^4-298.15^4))</f>
        <v>7785.338844978988</v>
      </c>
    </row>
    <row r="138">
      <c r="A138" s="163" t="inlineStr">
        <is>
          <t>TCE (l)</t>
        </is>
      </c>
      <c r="B138" s="216">
        <f>'NME-8 Kolom VCM'!M31</f>
        <v>0.005009843991228917</v>
      </c>
      <c r="C138" s="217">
        <f>('Data Termo'!$J$21*($B$130-298.15)+'Data Termo'!$K$21/2*($B$130^2-298.15^2)+'Data Termo'!$L$21/3*($B$130^3-298.15^3)+'Data Termo'!$M$21/4*($B$130^4-298.15^4))</f>
        <v>9145.553680082052</v>
      </c>
      <c r="D138" s="216">
        <f>I32</f>
        <v>0.005009843991228876</v>
      </c>
      <c r="E138" s="217">
        <f>('Data Termo'!$J$21*($D$130-298.15)+'Data Termo'!$K$21/2*($D$130^2-298.15^2)+'Data Termo'!$L$21/3*($D$130^3-298.15^3)+'Data Termo'!$M$21/4*($D$130^4-298.15^4))</f>
        <v>9145.553680082052</v>
      </c>
    </row>
    <row r="139">
      <c r="A139" s="163" t="inlineStr">
        <is>
          <t>VCM (l)</t>
        </is>
      </c>
      <c r="B139" s="216">
        <f>'NME-8 Kolom VCM'!M35</f>
        <v>2.716771330619088</v>
      </c>
      <c r="C139" s="217">
        <f>-'Data Termo'!$V$25+('Data Termo'!$J$25*($B$130-298.15)+'Data Termo'!$K$25/2*($B$130^2-298.15^2)+'Data Termo'!$L$25/3*($B$130^3-298.15^3)+'Data Termo'!$M$25/4*($B$130^4-298.15^4))</f>
        <v>-14819.433777893064</v>
      </c>
      <c r="D139" s="216">
        <f>I36</f>
        <v>2.716771330619088</v>
      </c>
      <c r="E139" s="217">
        <f>-'Data Termo'!$V$25+('Data Termo'!$J$25*($D$130-298.15)+'Data Termo'!$K$25/2*($D$130^2-298.15^2)+'Data Termo'!$L$25/3*($D$130^3-298.15^3)+'Data Termo'!$M$25/4*($D$130^4-298.15^4))</f>
        <v>-14819.433777893064</v>
      </c>
    </row>
    <row r="140">
      <c r="A140" s="163" t="inlineStr">
        <is>
          <t>C₄H₈Cl₂ (berat) (l)</t>
        </is>
      </c>
      <c r="B140" s="216">
        <f>'NME-8 Kolom VCM'!M36</f>
        <v>3.0950186703622276</v>
      </c>
      <c r="C140" s="217">
        <f>('Data Termo'!$J$26*($B$130-298.15)+'Data Termo'!$K$26/2*($B$130^2-298.15^2)+'Data Termo'!$L$26/3*($B$130^3-298.15^3)+'Data Termo'!$M$26/4*($B$130^4-298.15^4))</f>
        <v>11075.048794750957</v>
      </c>
      <c r="D140" s="216">
        <f>I37</f>
        <v>3.095018670362267</v>
      </c>
      <c r="E140" s="217">
        <f>('Data Termo'!$J$26*($D$130-298.15)+'Data Termo'!$K$26/2*($D$130^2-298.15^2)+'Data Termo'!$L$26/3*($D$130^3-298.15^3)+'Data Termo'!$M$26/4*($D$130^4-298.15^4))</f>
        <v>11075.048794750957</v>
      </c>
    </row>
    <row r="141">
      <c r="A141" s="200" t="inlineStr">
        <is>
          <t>Sub Total ṅᵢĤᵢ (kJ/h)</t>
        </is>
      </c>
      <c r="B141" s="218">
        <f>SUMPRODUCT(B136:B140,C136:C140)</f>
        <v>2621757.046607507</v>
      </c>
      <c r="C141" s="211" t="n"/>
      <c r="D141" s="218">
        <f>SUMPRODUCT(D136:D140,E136:E140)</f>
        <v>2621757.046607541</v>
      </c>
      <c r="E141" s="211" t="n"/>
    </row>
    <row r="142">
      <c r="A142" s="163" t="inlineStr">
        <is>
          <t>Heat of reaction / heat of mixing (kJ/h)</t>
        </is>
      </c>
      <c r="B142" s="219" t="inlineStr">
        <is>
          <t>-</t>
        </is>
      </c>
      <c r="C142" s="211" t="n"/>
      <c r="D142" s="220" t="inlineStr">
        <is>
          <t>-</t>
        </is>
      </c>
      <c r="E142" s="211" t="n"/>
    </row>
    <row r="143">
      <c r="A143" s="200" t="inlineStr">
        <is>
          <t>Q (kJ/h)</t>
        </is>
      </c>
      <c r="B143" s="218" t="n">
        <v>0</v>
      </c>
      <c r="C143" s="210" t="n"/>
      <c r="D143" s="210" t="n"/>
      <c r="E143" s="211" t="n"/>
    </row>
    <row r="144">
      <c r="A144" s="200" t="inlineStr">
        <is>
          <t>W (kJ/h)</t>
        </is>
      </c>
      <c r="B144" s="218" t="n">
        <v>0</v>
      </c>
      <c r="C144" s="210" t="n"/>
      <c r="D144" s="210" t="n"/>
      <c r="E144" s="211" t="n"/>
    </row>
    <row r="145">
      <c r="A145" s="200" t="inlineStr">
        <is>
          <t>TOTAL (kJ/h)</t>
        </is>
      </c>
      <c r="B145" s="218">
        <f>B141+$B$143+$B$144</f>
        <v>2621757.046607507</v>
      </c>
      <c r="C145" s="211" t="n"/>
      <c r="D145" s="218">
        <f>(D141)</f>
        <v>2621757.046607541</v>
      </c>
      <c r="E145" s="211" t="n"/>
    </row>
    <row r="146">
      <c r="A146" s="163" t="inlineStr">
        <is>
          <t>Selisih masuk − keluar (kJ/h)</t>
        </is>
      </c>
      <c r="B146" s="217">
        <f>B145-D145</f>
        <v>-3.3993273973464966e-08</v>
      </c>
      <c r="C146" s="210" t="n"/>
      <c r="D146" s="210" t="n"/>
      <c r="E146" s="211" t="n"/>
    </row>
    <row r="147">
      <c r="A147" s="163" t="inlineStr">
        <is>
          <t>Q (kW)</t>
        </is>
      </c>
      <c r="B147" s="217">
        <f>$B$143/3600</f>
        <v>0.0</v>
      </c>
      <c r="C147" s="210" t="n"/>
      <c r="D147" s="210" t="n"/>
      <c r="E147" s="211" t="n"/>
    </row>
    <row r="148">
      <c r="A148" s="163" t="inlineStr">
        <is>
          <t>W (kW)</t>
        </is>
      </c>
      <c r="B148" s="217">
        <f>$B$144/3600</f>
        <v>0.0</v>
      </c>
      <c r="C148" s="210" t="n"/>
      <c r="D148" s="210" t="n"/>
      <c r="E148" s="211" t="n"/>
    </row>
    <row r="151">
      <c r="A151" s="169" t="inlineStr">
        <is>
          <t>Neraca Energi KD-101: Kolom ringan (kondensor dan reboiler)</t>
        </is>
      </c>
    </row>
    <row r="152">
      <c r="A152" s="187" t="inlineStr">
        <is>
          <t>Reference state: H₂O, Br₂, EDC, TCE, C₄H₈Cl₂ (berat) fasa liquid @ 25°C, 1 bar; NCl₃, C₂H₅Cl, VCM fasa gas @ 25°C, 1 bar; FeCl₃ fasa solid @ 25°C, 1 bar</t>
        </is>
      </c>
    </row>
    <row r="153">
      <c r="A153" s="162" t="inlineStr">
        <is>
          <t>No. aliran PFD</t>
        </is>
      </c>
      <c r="B153" s="162" t="n">
        <v>31</v>
      </c>
      <c r="C153" s="211" t="n"/>
      <c r="D153" s="162" t="n">
        <v>51</v>
      </c>
      <c r="E153" s="211" t="n"/>
      <c r="F153" s="162" t="n">
        <v>32</v>
      </c>
      <c r="G153" s="211" t="n"/>
      <c r="H153" s="162" t="n">
        <v>33</v>
      </c>
      <c r="I153" s="211" t="n"/>
    </row>
    <row r="154">
      <c r="A154" s="162" t="inlineStr">
        <is>
          <t>Dari</t>
        </is>
      </c>
      <c r="B154" s="172" t="inlineStr">
        <is>
          <t>E-106</t>
        </is>
      </c>
      <c r="C154" s="211" t="n"/>
      <c r="D154" s="172" t="inlineStr">
        <is>
          <t>V-106</t>
        </is>
      </c>
      <c r="E154" s="211" t="n"/>
      <c r="F154" s="172" t="inlineStr">
        <is>
          <t>KD-101</t>
        </is>
      </c>
      <c r="G154" s="211" t="n"/>
      <c r="H154" s="172" t="inlineStr">
        <is>
          <t>KD-101</t>
        </is>
      </c>
      <c r="I154" s="211" t="n"/>
    </row>
    <row r="155">
      <c r="A155" s="162" t="inlineStr">
        <is>
          <t>Ke</t>
        </is>
      </c>
      <c r="B155" s="172" t="inlineStr">
        <is>
          <t>KD-101</t>
        </is>
      </c>
      <c r="C155" s="211" t="n"/>
      <c r="D155" s="172" t="inlineStr">
        <is>
          <t>KD-101</t>
        </is>
      </c>
      <c r="E155" s="211" t="n"/>
      <c r="F155" s="172" t="inlineStr">
        <is>
          <t>UPL</t>
        </is>
      </c>
      <c r="G155" s="211" t="n"/>
      <c r="H155" s="172" t="inlineStr">
        <is>
          <t>P-103</t>
        </is>
      </c>
      <c r="I155" s="211" t="n"/>
    </row>
    <row r="156">
      <c r="A156" s="162" t="inlineStr">
        <is>
          <t>T (K)</t>
        </is>
      </c>
      <c r="B156" s="185">
        <f>$D$76</f>
        <v>356.59</v>
      </c>
      <c r="C156" s="211" t="n"/>
      <c r="D156" s="185">
        <f>$D$130</f>
        <v>356.59</v>
      </c>
      <c r="E156" s="211" t="n"/>
      <c r="F156" s="185">
        <f>F157+273.15</f>
        <v>348.15</v>
      </c>
      <c r="G156" s="211" t="n"/>
      <c r="H156" s="185">
        <f>'Data Termo'!$D$39</f>
        <v>356.59</v>
      </c>
      <c r="I156" s="211" t="n"/>
    </row>
    <row r="157">
      <c r="A157" s="162" t="inlineStr">
        <is>
          <t>T (°C)</t>
        </is>
      </c>
      <c r="B157" s="185">
        <f>$D$77</f>
        <v>83.44</v>
      </c>
      <c r="C157" s="211" t="n"/>
      <c r="D157" s="185">
        <f>$D$131</f>
        <v>83.44</v>
      </c>
      <c r="E157" s="211" t="n"/>
      <c r="F157" s="185" t="n">
        <v>75</v>
      </c>
      <c r="G157" s="211" t="n"/>
      <c r="H157" s="185">
        <f>IF(ISNUMBER(H156),H156-273.15,"-")</f>
        <v>83.44</v>
      </c>
      <c r="I157" s="211" t="n"/>
    </row>
    <row r="158">
      <c r="A158" s="162" t="inlineStr">
        <is>
          <t>P (bar abs)</t>
        </is>
      </c>
      <c r="B158" s="190">
        <f>$D$78</f>
        <v>1.01325</v>
      </c>
      <c r="C158" s="211" t="n"/>
      <c r="D158" s="190">
        <f>$D$132</f>
        <v>1.01325</v>
      </c>
      <c r="E158" s="211" t="n"/>
      <c r="F158" s="190" t="n">
        <v>1.01325</v>
      </c>
      <c r="G158" s="211" t="n"/>
      <c r="H158" s="190" t="n">
        <v>1.01325</v>
      </c>
      <c r="I158" s="211" t="n"/>
    </row>
    <row r="159">
      <c r="A159" s="162" t="inlineStr">
        <is>
          <t>Substance</t>
        </is>
      </c>
      <c r="B159" s="162" t="inlineStr">
        <is>
          <t>INLET</t>
        </is>
      </c>
      <c r="C159" s="210" t="n"/>
      <c r="D159" s="210" t="n"/>
      <c r="E159" s="211" t="n"/>
      <c r="F159" s="162" t="inlineStr">
        <is>
          <t>OUTLET</t>
        </is>
      </c>
      <c r="G159" s="210" t="n"/>
      <c r="H159" s="210" t="n"/>
      <c r="I159" s="211" t="n"/>
    </row>
    <row r="160">
      <c r="A160" s="212" t="n"/>
      <c r="B160" s="162" t="inlineStr">
        <is>
          <t>Aliran 31</t>
        </is>
      </c>
      <c r="C160" s="211" t="n"/>
      <c r="D160" s="162" t="inlineStr">
        <is>
          <t>Aliran 51</t>
        </is>
      </c>
      <c r="E160" s="211" t="n"/>
      <c r="F160" s="162" t="inlineStr">
        <is>
          <t>Aliran 32</t>
        </is>
      </c>
      <c r="G160" s="211" t="n"/>
      <c r="H160" s="162" t="inlineStr">
        <is>
          <t>Aliran 33</t>
        </is>
      </c>
      <c r="I160" s="211" t="n"/>
    </row>
    <row r="161">
      <c r="A161" s="213" t="n"/>
      <c r="B161" s="162" t="inlineStr">
        <is>
          <t>ṅᵢ (kmol/h)</t>
        </is>
      </c>
      <c r="C161" s="162" t="inlineStr">
        <is>
          <t>Ĥᵢ (kJ/kmol)</t>
        </is>
      </c>
      <c r="D161" s="162" t="inlineStr">
        <is>
          <t>ṅᵢ (kmol/h)</t>
        </is>
      </c>
      <c r="E161" s="162" t="inlineStr">
        <is>
          <t>Ĥᵢ (kJ/kmol)</t>
        </is>
      </c>
      <c r="F161" s="162" t="inlineStr">
        <is>
          <t>ṅᵢ (kmol/h)</t>
        </is>
      </c>
      <c r="G161" s="162" t="inlineStr">
        <is>
          <t>Ĥᵢ (kJ/kmol)</t>
        </is>
      </c>
      <c r="H161" s="162" t="inlineStr">
        <is>
          <t>ṅᵢ (kmol/h)</t>
        </is>
      </c>
      <c r="I161" s="162" t="inlineStr">
        <is>
          <t>Ĥᵢ (kJ/kmol)</t>
        </is>
      </c>
    </row>
    <row r="162">
      <c r="A162" s="163" t="inlineStr">
        <is>
          <t>H₂O (l)</t>
        </is>
      </c>
      <c r="B162" s="216">
        <f>E23</f>
        <v>4.575754314852013</v>
      </c>
      <c r="C162" s="217">
        <f>('Data Termo'!$J$12*($B$156-298.15)+'Data Termo'!$K$12/2*($B$156^2-298.15^2)+'Data Termo'!$L$12/3*($B$156^3-298.15^3)+'Data Termo'!$M$12/4*($B$156^4-298.15^4))</f>
        <v>4395.041391071417</v>
      </c>
      <c r="D162" s="216">
        <f>I23</f>
        <v>0.14511609269780668</v>
      </c>
      <c r="E162" s="217">
        <f>('Data Termo'!$J$12*($D$156-298.15)+'Data Termo'!$K$12/2*($D$156^2-298.15^2)+'Data Termo'!$L$12/3*($D$156^3-298.15^3)+'Data Termo'!$M$12/4*($D$156^4-298.15^4))</f>
        <v>4395.041391071417</v>
      </c>
      <c r="F162" s="172" t="inlineStr">
        <is>
          <t>-</t>
        </is>
      </c>
      <c r="G162" s="172" t="inlineStr">
        <is>
          <t>-</t>
        </is>
      </c>
      <c r="H162" s="216">
        <f>Q23</f>
        <v>0.14511609269780668</v>
      </c>
      <c r="I162" s="217">
        <f>('Data Termo'!$J$12*($H$156-298.15)+'Data Termo'!$K$12/2*($H$156^2-298.15^2)+'Data Termo'!$L$12/3*($H$156^3-298.15^3)+'Data Termo'!$M$12/4*($H$156^4-298.15^4))</f>
        <v>4395.041391071417</v>
      </c>
    </row>
    <row r="163">
      <c r="A163" s="163" t="inlineStr">
        <is>
          <t>H₂O (g)</t>
        </is>
      </c>
      <c r="B163" s="172" t="inlineStr">
        <is>
          <t>-</t>
        </is>
      </c>
      <c r="C163" s="172" t="inlineStr">
        <is>
          <t>-</t>
        </is>
      </c>
      <c r="D163" s="172" t="inlineStr">
        <is>
          <t>-</t>
        </is>
      </c>
      <c r="E163" s="172" t="inlineStr">
        <is>
          <t>-</t>
        </is>
      </c>
      <c r="F163" s="216">
        <f>M23</f>
        <v>4.575754314852013</v>
      </c>
      <c r="G163" s="217">
        <f>'Data Termo'!$V$12+('Data Termo'!$E$12*($F$156-298.15)+'Data Termo'!$F$12/2*($F$156^2-298.15^2)+'Data Termo'!$G$12/3*($F$156^3-298.15^3)+'Data Termo'!$H$12/4*($F$156^4-298.15^4)+'Data Termo'!$I$12/5*($F$156^5-298.15^5))</f>
        <v>44381.847067313334</v>
      </c>
      <c r="H163" s="172" t="inlineStr">
        <is>
          <t>-</t>
        </is>
      </c>
      <c r="I163" s="172" t="inlineStr">
        <is>
          <t>-</t>
        </is>
      </c>
    </row>
    <row r="164">
      <c r="A164" s="163" t="inlineStr">
        <is>
          <t>Br₂ (l)</t>
        </is>
      </c>
      <c r="B164" s="216">
        <f>E25</f>
        <v>0.008660028716159318</v>
      </c>
      <c r="C164" s="217">
        <f>('Data Termo'!$J$14*($B$156-298.15)+'Data Termo'!$K$14/2*($B$156^2-298.15^2)+'Data Termo'!$L$14/3*($B$156^3-298.15^3)+'Data Termo'!$M$14/4*($B$156^4-298.15^4))</f>
        <v>4541.59132209599</v>
      </c>
      <c r="D164" s="216">
        <f>I25</f>
        <v>0.0</v>
      </c>
      <c r="E164" s="217">
        <f>('Data Termo'!$J$14*($D$156-298.15)+'Data Termo'!$K$14/2*($D$156^2-298.15^2)+'Data Termo'!$L$14/3*($D$156^3-298.15^3)+'Data Termo'!$M$14/4*($D$156^4-298.15^4))</f>
        <v>4541.59132209599</v>
      </c>
      <c r="F164" s="172" t="inlineStr">
        <is>
          <t>-</t>
        </is>
      </c>
      <c r="G164" s="172" t="inlineStr">
        <is>
          <t>-</t>
        </is>
      </c>
      <c r="H164" s="216">
        <f>Q25</f>
        <v>0.0</v>
      </c>
      <c r="I164" s="217">
        <f>('Data Termo'!$J$14*($H$156-298.15)+'Data Termo'!$K$14/2*($H$156^2-298.15^2)+'Data Termo'!$L$14/3*($H$156^3-298.15^3)+'Data Termo'!$M$14/4*($H$156^4-298.15^4))</f>
        <v>4541.59132209599</v>
      </c>
    </row>
    <row r="165">
      <c r="A165" s="163" t="inlineStr">
        <is>
          <t>Br₂ (g)</t>
        </is>
      </c>
      <c r="B165" s="172" t="inlineStr">
        <is>
          <t>-</t>
        </is>
      </c>
      <c r="C165" s="172" t="inlineStr">
        <is>
          <t>-</t>
        </is>
      </c>
      <c r="D165" s="172" t="inlineStr">
        <is>
          <t>-</t>
        </is>
      </c>
      <c r="E165" s="172" t="inlineStr">
        <is>
          <t>-</t>
        </is>
      </c>
      <c r="F165" s="216">
        <f>M25</f>
        <v>0.008660028716159318</v>
      </c>
      <c r="G165" s="217">
        <f>'Data Termo'!$V$14+('Data Termo'!$E$14*($F$156-298.15)+'Data Termo'!$F$14/2*($F$156^2-298.15^2)+'Data Termo'!$G$14/3*($F$156^3-298.15^3)+'Data Termo'!$H$14/4*($F$156^4-298.15^4)+'Data Termo'!$I$14/5*($F$156^5-298.15^5))</f>
        <v>33273.55151979347</v>
      </c>
      <c r="H165" s="172" t="inlineStr">
        <is>
          <t>-</t>
        </is>
      </c>
      <c r="I165" s="172" t="inlineStr">
        <is>
          <t>-</t>
        </is>
      </c>
    </row>
    <row r="166">
      <c r="A166" s="163" t="inlineStr">
        <is>
          <t>NCl₃ (l)</t>
        </is>
      </c>
      <c r="B166" s="216">
        <f>E26</f>
        <v>0.0006387709001195385</v>
      </c>
      <c r="C166" s="217">
        <f>-'Data Termo'!$V$15+('Data Termo'!$J$15*($B$156-298.15)+'Data Termo'!$K$15/2*($B$156^2-298.15^2)+'Data Termo'!$L$15/3*($B$156^3-298.15^3)+'Data Termo'!$M$15/4*($B$156^4-298.15^4))</f>
        <v>-26613.40619681532</v>
      </c>
      <c r="D166" s="216">
        <f>I26</f>
        <v>0.0</v>
      </c>
      <c r="E166" s="217">
        <f>-'Data Termo'!$V$15+('Data Termo'!$J$15*($D$156-298.15)+'Data Termo'!$K$15/2*($D$156^2-298.15^2)+'Data Termo'!$L$15/3*($D$156^3-298.15^3)+'Data Termo'!$M$15/4*($D$156^4-298.15^4))</f>
        <v>-26613.40619681532</v>
      </c>
      <c r="F166" s="172" t="inlineStr">
        <is>
          <t>-</t>
        </is>
      </c>
      <c r="G166" s="172" t="inlineStr">
        <is>
          <t>-</t>
        </is>
      </c>
      <c r="H166" s="216">
        <f>Q26</f>
        <v>0.0</v>
      </c>
      <c r="I166" s="217">
        <f>-'Data Termo'!$V$15+('Data Termo'!$J$15*($H$156-298.15)+'Data Termo'!$K$15/2*($H$156^2-298.15^2)+'Data Termo'!$L$15/3*($H$156^3-298.15^3)+'Data Termo'!$M$15/4*($H$156^4-298.15^4))</f>
        <v>-26613.40619681532</v>
      </c>
    </row>
    <row r="167">
      <c r="A167" s="163" t="inlineStr">
        <is>
          <t>NCl₃ (g)</t>
        </is>
      </c>
      <c r="B167" s="172" t="inlineStr">
        <is>
          <t>-</t>
        </is>
      </c>
      <c r="C167" s="172" t="inlineStr">
        <is>
          <t>-</t>
        </is>
      </c>
      <c r="D167" s="172" t="inlineStr">
        <is>
          <t>-</t>
        </is>
      </c>
      <c r="E167" s="172" t="inlineStr">
        <is>
          <t>-</t>
        </is>
      </c>
      <c r="F167" s="216">
        <f>M26</f>
        <v>0.0006387709001195385</v>
      </c>
      <c r="G167" s="217">
        <f>-'Data Termo'!$V$15+('Data Termo'!$J$15*($F$156-298.15)+'Data Termo'!$K$15/2*($F$156^2-298.15^2)+'Data Termo'!$L$15/3*($F$156^3-298.15^3)+'Data Termo'!$M$15/4*($F$156^4-298.15^4))+('Data Termo'!$Q$15*1000*MAX(0,1-$F$156/'Data Termo'!$R$15)^'Data Termo'!$S$15)</f>
        <v>2717.2599988571274</v>
      </c>
      <c r="H167" s="172" t="inlineStr">
        <is>
          <t>-</t>
        </is>
      </c>
      <c r="I167" s="172" t="inlineStr">
        <is>
          <t>-</t>
        </is>
      </c>
    </row>
    <row r="168">
      <c r="A168" s="163" t="inlineStr">
        <is>
          <t>EDC (l)</t>
        </is>
      </c>
      <c r="B168" s="216">
        <f>E31</f>
        <v>414.5228599660036</v>
      </c>
      <c r="C168" s="217">
        <f>('Data Termo'!$J$20*($B$156-298.15)+'Data Termo'!$K$20/2*($B$156^2-298.15^2)+'Data Termo'!$L$20/3*($B$156^3-298.15^3)+'Data Termo'!$M$20/4*($B$156^4-298.15^4))</f>
        <v>7785.338844978988</v>
      </c>
      <c r="D168" s="216">
        <f>I31</f>
        <v>337.43643275072174</v>
      </c>
      <c r="E168" s="217">
        <f>('Data Termo'!$J$20*($D$156-298.15)+'Data Termo'!$K$20/2*($D$156^2-298.15^2)+'Data Termo'!$L$20/3*($D$156^3-298.15^3)+'Data Termo'!$M$20/4*($D$156^4-298.15^4))</f>
        <v>7785.338844978988</v>
      </c>
      <c r="F168" s="172" t="inlineStr">
        <is>
          <t>-</t>
        </is>
      </c>
      <c r="G168" s="172" t="inlineStr">
        <is>
          <t>-</t>
        </is>
      </c>
      <c r="H168" s="216">
        <f>Q31</f>
        <v>750.7112897886648</v>
      </c>
      <c r="I168" s="217">
        <f>('Data Termo'!$J$20*($H$156-298.15)+'Data Termo'!$K$20/2*($H$156^2-298.15^2)+'Data Termo'!$L$20/3*($H$156^3-298.15^3)+'Data Termo'!$M$20/4*($H$156^4-298.15^4))</f>
        <v>7785.338844978988</v>
      </c>
    </row>
    <row r="169">
      <c r="A169" s="163" t="inlineStr">
        <is>
          <t>EDC (g)</t>
        </is>
      </c>
      <c r="B169" s="172" t="inlineStr">
        <is>
          <t>-</t>
        </is>
      </c>
      <c r="C169" s="172" t="inlineStr">
        <is>
          <t>-</t>
        </is>
      </c>
      <c r="D169" s="172" t="inlineStr">
        <is>
          <t>-</t>
        </is>
      </c>
      <c r="E169" s="172" t="inlineStr">
        <is>
          <t>-</t>
        </is>
      </c>
      <c r="F169" s="216">
        <f>M31</f>
        <v>1.2480029280604628</v>
      </c>
      <c r="G169" s="217">
        <f>'Data Termo'!$V$20+('Data Termo'!$E$20*($F$156-298.15)+'Data Termo'!$F$20/2*($F$156^2-298.15^2)+'Data Termo'!$G$20/3*($F$156^3-298.15^3)+'Data Termo'!$H$20/4*($F$156^4-298.15^4)+'Data Termo'!$I$20/5*($F$156^5-298.15^5))</f>
        <v>39172.51616479702</v>
      </c>
      <c r="H169" s="172" t="inlineStr">
        <is>
          <t>-</t>
        </is>
      </c>
      <c r="I169" s="172" t="inlineStr">
        <is>
          <t>-</t>
        </is>
      </c>
    </row>
    <row r="170">
      <c r="A170" s="163" t="inlineStr">
        <is>
          <t>TCE (l)</t>
        </is>
      </c>
      <c r="B170" s="216">
        <f>E32</f>
        <v>0.04817685591565345</v>
      </c>
      <c r="C170" s="217">
        <f>('Data Termo'!$J$21*($B$156-298.15)+'Data Termo'!$K$21/2*($B$156^2-298.15^2)+'Data Termo'!$L$21/3*($B$156^3-298.15^3)+'Data Termo'!$M$21/4*($B$156^4-298.15^4))</f>
        <v>9145.553680082052</v>
      </c>
      <c r="D170" s="216">
        <f>I32</f>
        <v>0.005009843991228876</v>
      </c>
      <c r="E170" s="217">
        <f>('Data Termo'!$J$21*($D$156-298.15)+'Data Termo'!$K$21/2*($D$156^2-298.15^2)+'Data Termo'!$L$21/3*($D$156^3-298.15^3)+'Data Termo'!$M$21/4*($D$156^4-298.15^4))</f>
        <v>9145.553680082052</v>
      </c>
      <c r="F170" s="172" t="inlineStr">
        <is>
          <t>-</t>
        </is>
      </c>
      <c r="G170" s="172" t="inlineStr">
        <is>
          <t>-</t>
        </is>
      </c>
      <c r="H170" s="216">
        <f>Q32</f>
        <v>0.05318669990688233</v>
      </c>
      <c r="I170" s="217">
        <f>('Data Termo'!$J$21*($H$156-298.15)+'Data Termo'!$K$21/2*($H$156^2-298.15^2)+'Data Termo'!$L$21/3*($H$156^3-298.15^3)+'Data Termo'!$M$21/4*($H$156^4-298.15^4))</f>
        <v>9145.553680082052</v>
      </c>
    </row>
    <row r="171">
      <c r="A171" s="163" t="inlineStr">
        <is>
          <t>FeCl₃ (s)</t>
        </is>
      </c>
      <c r="B171" s="216">
        <f>E34</f>
        <v>0.0007607767029859938</v>
      </c>
      <c r="C171" s="217">
        <f>('Data Termo'!$N$23*($B$156-298.15)+'Data Termo'!$O$23/2*($B$156^2-298.15^2)+'Data Termo'!$P$23/3*($B$156^3-298.15^3))</f>
        <v>5920.543228804779</v>
      </c>
      <c r="D171" s="216">
        <f>I34</f>
        <v>0.0</v>
      </c>
      <c r="E171" s="217">
        <f>('Data Termo'!$N$23*($D$156-298.15)+'Data Termo'!$O$23/2*($D$156^2-298.15^2)+'Data Termo'!$P$23/3*($D$156^3-298.15^3))</f>
        <v>5920.543228804779</v>
      </c>
      <c r="F171" s="216">
        <f>M34</f>
        <v>0.0</v>
      </c>
      <c r="G171" s="217">
        <f>('Data Termo'!$N$23*($F$156-298.15)+'Data Termo'!$O$23/2*($F$156^2-298.15^2)+'Data Termo'!$P$23/3*($F$156^3-298.15^3))</f>
        <v>5038.164827647916</v>
      </c>
      <c r="H171" s="216">
        <f>Q34</f>
        <v>0.0007607767029859938</v>
      </c>
      <c r="I171" s="217">
        <f>('Data Termo'!$N$23*($H$156-298.15)+'Data Termo'!$O$23/2*($H$156^2-298.15^2)+'Data Termo'!$P$23/3*($H$156^3-298.15^3))</f>
        <v>5920.543228804779</v>
      </c>
    </row>
    <row r="172">
      <c r="A172" s="163" t="inlineStr">
        <is>
          <t>C₂H₅Cl (l)</t>
        </is>
      </c>
      <c r="B172" s="216">
        <f>E35</f>
        <v>1.6259150896419214</v>
      </c>
      <c r="C172" s="217">
        <f>-'Data Termo'!$V$24+('Data Termo'!$J$24*($B$156-298.15)+'Data Termo'!$K$24/2*($B$156^2-298.15^2)+'Data Termo'!$L$24/3*($B$156^3-298.15^3)+'Data Termo'!$M$24/4*($B$156^4-298.15^4))</f>
        <v>-17562.845697812754</v>
      </c>
      <c r="D172" s="216">
        <f>I35</f>
        <v>0.0</v>
      </c>
      <c r="E172" s="217">
        <f>-'Data Termo'!$V$24+('Data Termo'!$J$24*($D$156-298.15)+'Data Termo'!$K$24/2*($D$156^2-298.15^2)+'Data Termo'!$L$24/3*($D$156^3-298.15^3)+'Data Termo'!$M$24/4*($D$156^4-298.15^4))</f>
        <v>-17562.845697812754</v>
      </c>
      <c r="F172" s="172" t="inlineStr">
        <is>
          <t>-</t>
        </is>
      </c>
      <c r="G172" s="172" t="inlineStr">
        <is>
          <t>-</t>
        </is>
      </c>
      <c r="H172" s="216">
        <f>Q35</f>
        <v>0.0</v>
      </c>
      <c r="I172" s="217">
        <f>-'Data Termo'!$V$24+('Data Termo'!$J$24*($H$156-298.15)+'Data Termo'!$K$24/2*($H$156^2-298.15^2)+'Data Termo'!$L$24/3*($H$156^3-298.15^3)+'Data Termo'!$M$24/4*($H$156^4-298.15^4))</f>
        <v>-17562.845697812754</v>
      </c>
    </row>
    <row r="173">
      <c r="A173" s="163" t="inlineStr">
        <is>
          <t>C₂H₅Cl (g)</t>
        </is>
      </c>
      <c r="B173" s="172" t="inlineStr">
        <is>
          <t>-</t>
        </is>
      </c>
      <c r="C173" s="172" t="inlineStr">
        <is>
          <t>-</t>
        </is>
      </c>
      <c r="D173" s="172" t="inlineStr">
        <is>
          <t>-</t>
        </is>
      </c>
      <c r="E173" s="172" t="inlineStr">
        <is>
          <t>-</t>
        </is>
      </c>
      <c r="F173" s="216">
        <f>M35</f>
        <v>1.6259150896419214</v>
      </c>
      <c r="G173" s="217">
        <f>('Data Termo'!$E$24*($F$156-298.15)+'Data Termo'!$F$24/2*($F$156^2-298.15^2)+'Data Termo'!$G$24/3*($F$156^3-298.15^3)+'Data Termo'!$H$24/4*($F$156^4-298.15^4)+'Data Termo'!$I$24/5*($F$156^5-298.15^5))</f>
        <v>3356.6033272845525</v>
      </c>
      <c r="H173" s="172" t="inlineStr">
        <is>
          <t>-</t>
        </is>
      </c>
      <c r="I173" s="172" t="inlineStr">
        <is>
          <t>-</t>
        </is>
      </c>
    </row>
    <row r="174">
      <c r="A174" s="163" t="inlineStr">
        <is>
          <t>VCM (l)</t>
        </is>
      </c>
      <c r="B174" s="216">
        <f>E36</f>
        <v>0.0</v>
      </c>
      <c r="C174" s="217">
        <f>-'Data Termo'!$V$25+('Data Termo'!$J$25*($B$156-298.15)+'Data Termo'!$K$25/2*($B$156^2-298.15^2)+'Data Termo'!$L$25/3*($B$156^3-298.15^3)+'Data Termo'!$M$25/4*($B$156^4-298.15^4))</f>
        <v>-14819.433777893064</v>
      </c>
      <c r="D174" s="216">
        <f>I36</f>
        <v>2.716771330619088</v>
      </c>
      <c r="E174" s="217">
        <f>-'Data Termo'!$V$25+('Data Termo'!$J$25*($D$156-298.15)+'Data Termo'!$K$25/2*($D$156^2-298.15^2)+'Data Termo'!$L$25/3*($D$156^3-298.15^3)+'Data Termo'!$M$25/4*($D$156^4-298.15^4))</f>
        <v>-14819.433777893064</v>
      </c>
      <c r="F174" s="172" t="inlineStr">
        <is>
          <t>-</t>
        </is>
      </c>
      <c r="G174" s="172" t="inlineStr">
        <is>
          <t>-</t>
        </is>
      </c>
      <c r="H174" s="216">
        <f>Q36</f>
        <v>0.011951314601842957</v>
      </c>
      <c r="I174" s="217">
        <f>-'Data Termo'!$V$25+('Data Termo'!$J$25*($H$156-298.15)+'Data Termo'!$K$25/2*($H$156^2-298.15^2)+'Data Termo'!$L$25/3*($H$156^3-298.15^3)+'Data Termo'!$M$25/4*($H$156^4-298.15^4))</f>
        <v>-14819.433777893064</v>
      </c>
    </row>
    <row r="175">
      <c r="A175" s="163" t="inlineStr">
        <is>
          <t>VCM (g)</t>
        </is>
      </c>
      <c r="B175" s="172" t="inlineStr">
        <is>
          <t>-</t>
        </is>
      </c>
      <c r="C175" s="172" t="inlineStr">
        <is>
          <t>-</t>
        </is>
      </c>
      <c r="D175" s="172" t="inlineStr">
        <is>
          <t>-</t>
        </is>
      </c>
      <c r="E175" s="172" t="inlineStr">
        <is>
          <t>-</t>
        </is>
      </c>
      <c r="F175" s="216">
        <f>M36</f>
        <v>2.704820016017245</v>
      </c>
      <c r="G175" s="217">
        <f>('Data Termo'!$E$25*($F$156-298.15)+'Data Termo'!$F$25/2*($F$156^2-298.15^2)+'Data Termo'!$G$25/3*($F$156^3-298.15^3)+'Data Termo'!$H$25/4*($F$156^4-298.15^4)+'Data Termo'!$I$25/5*($F$156^5-298.15^5))</f>
        <v>2874.7771883928453</v>
      </c>
      <c r="H175" s="172" t="inlineStr">
        <is>
          <t>-</t>
        </is>
      </c>
      <c r="I175" s="172" t="inlineStr">
        <is>
          <t>-</t>
        </is>
      </c>
    </row>
    <row r="176">
      <c r="A176" s="163" t="inlineStr">
        <is>
          <t>C₄H₈Cl₂ (berat) (l)</t>
        </is>
      </c>
      <c r="B176" s="216">
        <f>E37</f>
        <v>0.0</v>
      </c>
      <c r="C176" s="217">
        <f>('Data Termo'!$J$26*($B$156-298.15)+'Data Termo'!$K$26/2*($B$156^2-298.15^2)+'Data Termo'!$L$26/3*($B$156^3-298.15^3)+'Data Termo'!$M$26/4*($B$156^4-298.15^4))</f>
        <v>11075.048794750957</v>
      </c>
      <c r="D176" s="216">
        <f>I37</f>
        <v>3.095018670362267</v>
      </c>
      <c r="E176" s="217">
        <f>('Data Termo'!$J$26*($D$156-298.15)+'Data Termo'!$K$26/2*($D$156^2-298.15^2)+'Data Termo'!$L$26/3*($D$156^3-298.15^3)+'Data Termo'!$M$26/4*($D$156^4-298.15^4))</f>
        <v>11075.048794750957</v>
      </c>
      <c r="F176" s="172" t="inlineStr">
        <is>
          <t>-</t>
        </is>
      </c>
      <c r="G176" s="172" t="inlineStr">
        <is>
          <t>-</t>
        </is>
      </c>
      <c r="H176" s="216">
        <f>Q37</f>
        <v>3.095018670362267</v>
      </c>
      <c r="I176" s="217">
        <f>('Data Termo'!$J$26*($H$156-298.15)+'Data Termo'!$K$26/2*($H$156^2-298.15^2)+'Data Termo'!$L$26/3*($H$156^3-298.15^3)+'Data Termo'!$M$26/4*($H$156^4-298.15^4))</f>
        <v>11075.048794750957</v>
      </c>
    </row>
    <row r="177">
      <c r="A177" s="200" t="inlineStr">
        <is>
          <t>Sub Total ṅᵢĤᵢ (kJ/h)</t>
        </is>
      </c>
      <c r="B177" s="218">
        <f>SUMPRODUCT(B162:B176,C162:C176)</f>
        <v>3219223.296272241</v>
      </c>
      <c r="C177" s="211" t="n"/>
      <c r="D177" s="218">
        <f>SUMPRODUCT(D162:D176,E162:E176)</f>
        <v>2621757.046607541</v>
      </c>
      <c r="E177" s="211" t="n"/>
      <c r="F177" s="218">
        <f>SUMPRODUCT(F162:F176,G162:G176)</f>
        <v>265491.035591318</v>
      </c>
      <c r="G177" s="211" t="n"/>
      <c r="H177" s="218">
        <f>SUMPRODUCT(H162:H176,I162:I176)</f>
        <v>5879770.854099937</v>
      </c>
      <c r="I177" s="211" t="n"/>
    </row>
    <row r="178">
      <c r="A178" s="163" t="inlineStr">
        <is>
          <t>Heat of reaction / heat of mixing (kJ/h)</t>
        </is>
      </c>
      <c r="B178" s="219" t="inlineStr">
        <is>
          <t>-</t>
        </is>
      </c>
      <c r="C178" s="210" t="n"/>
      <c r="D178" s="210" t="n"/>
      <c r="E178" s="211" t="n"/>
      <c r="F178" s="220" t="inlineStr">
        <is>
          <t>-</t>
        </is>
      </c>
      <c r="G178" s="210" t="n"/>
      <c r="H178" s="210" t="n"/>
      <c r="I178" s="211" t="n"/>
    </row>
    <row r="179">
      <c r="A179" s="200" t="inlineStr">
        <is>
          <t>Q kondensor (kJ/h)</t>
        </is>
      </c>
      <c r="B179" s="218">
        <f>(F177+H177)-(B177+D177)-$B$180</f>
        <v>-14246405.612550985</v>
      </c>
      <c r="C179" s="210" t="n"/>
      <c r="D179" s="210" t="n"/>
      <c r="E179" s="210" t="n"/>
      <c r="F179" s="210" t="n"/>
      <c r="G179" s="210" t="n"/>
      <c r="H179" s="210" t="n"/>
      <c r="I179" s="211" t="n"/>
    </row>
    <row r="180">
      <c r="A180" s="200" t="inlineStr">
        <is>
          <t>Q reboiler (kJ/h)</t>
        </is>
      </c>
      <c r="B180" s="218">
        <f>$B$10*SUM(H162:H176)*('Data Termo'!$Q$20*1000*MAX(0,1-$H$156/'Data Termo'!$R$20)^'Data Termo'!$S$20)</f>
        <v>14550687.15936246</v>
      </c>
      <c r="C180" s="210" t="n"/>
      <c r="D180" s="210" t="n"/>
      <c r="E180" s="210" t="n"/>
      <c r="F180" s="210" t="n"/>
      <c r="G180" s="210" t="n"/>
      <c r="H180" s="210" t="n"/>
      <c r="I180" s="211" t="n"/>
    </row>
    <row r="181">
      <c r="A181" s="200" t="inlineStr">
        <is>
          <t>W (kJ/h)</t>
        </is>
      </c>
      <c r="B181" s="218" t="n">
        <v>0</v>
      </c>
      <c r="C181" s="210" t="n"/>
      <c r="D181" s="210" t="n"/>
      <c r="E181" s="210" t="n"/>
      <c r="F181" s="210" t="n"/>
      <c r="G181" s="210" t="n"/>
      <c r="H181" s="210" t="n"/>
      <c r="I181" s="211" t="n"/>
    </row>
    <row r="182">
      <c r="A182" s="200" t="inlineStr">
        <is>
          <t>TOTAL (kJ/h)</t>
        </is>
      </c>
      <c r="B182" s="218">
        <f>B177+D177+$B$179+$B$180+$B$181</f>
        <v>6145261.889691256</v>
      </c>
      <c r="C182" s="210" t="n"/>
      <c r="D182" s="210" t="n"/>
      <c r="E182" s="211" t="n"/>
      <c r="F182" s="218">
        <f>(F177+H177)</f>
        <v>6145261.889691255</v>
      </c>
      <c r="G182" s="210" t="n"/>
      <c r="H182" s="210" t="n"/>
      <c r="I182" s="211" t="n"/>
    </row>
    <row r="183">
      <c r="A183" s="163" t="inlineStr">
        <is>
          <t>Selisih masuk − keluar (kJ/h)</t>
        </is>
      </c>
      <c r="B183" s="217">
        <f>B182-F182</f>
        <v>9.313225746154785e-10</v>
      </c>
      <c r="C183" s="210" t="n"/>
      <c r="D183" s="210" t="n"/>
      <c r="E183" s="210" t="n"/>
      <c r="F183" s="210" t="n"/>
      <c r="G183" s="210" t="n"/>
      <c r="H183" s="210" t="n"/>
      <c r="I183" s="211" t="n"/>
    </row>
    <row r="184">
      <c r="A184" s="163" t="inlineStr">
        <is>
          <t>Q kondensor (kW)</t>
        </is>
      </c>
      <c r="B184" s="217">
        <f>$B$179/3600</f>
        <v>-3957.3348923752737</v>
      </c>
      <c r="C184" s="210" t="n"/>
      <c r="D184" s="210" t="n"/>
      <c r="E184" s="210" t="n"/>
      <c r="F184" s="210" t="n"/>
      <c r="G184" s="210" t="n"/>
      <c r="H184" s="210" t="n"/>
      <c r="I184" s="211" t="n"/>
    </row>
    <row r="185">
      <c r="A185" s="163" t="inlineStr">
        <is>
          <t>Q reboiler (kW)</t>
        </is>
      </c>
      <c r="B185" s="217">
        <f>$B$180/3600</f>
        <v>4041.85754426735</v>
      </c>
      <c r="C185" s="210" t="n"/>
      <c r="D185" s="210" t="n"/>
      <c r="E185" s="210" t="n"/>
      <c r="F185" s="210" t="n"/>
      <c r="G185" s="210" t="n"/>
      <c r="H185" s="210" t="n"/>
      <c r="I185" s="211" t="n"/>
    </row>
    <row r="186">
      <c r="A186" s="163" t="inlineStr">
        <is>
          <t>W (kW)</t>
        </is>
      </c>
      <c r="B186" s="217">
        <f>$B$181/3600</f>
        <v>0.0</v>
      </c>
      <c r="C186" s="210" t="n"/>
      <c r="D186" s="210" t="n"/>
      <c r="E186" s="210" t="n"/>
      <c r="F186" s="210" t="n"/>
      <c r="G186" s="210" t="n"/>
      <c r="H186" s="210" t="n"/>
      <c r="I186" s="211" t="n"/>
    </row>
  </sheetData>
  <mergeCells count="175">
    <mergeCell ref="B146:E146"/>
    <mergeCell ref="J39:Q39"/>
    <mergeCell ref="B40:Q40"/>
    <mergeCell ref="J14:Q14"/>
    <mergeCell ref="B68:E68"/>
    <mergeCell ref="B141:C141"/>
    <mergeCell ref="C7:L7"/>
    <mergeCell ref="B115:C115"/>
    <mergeCell ref="B93:C93"/>
    <mergeCell ref="B155:C155"/>
    <mergeCell ref="D155:E155"/>
    <mergeCell ref="B102:C102"/>
    <mergeCell ref="D45:E45"/>
    <mergeCell ref="D158:E158"/>
    <mergeCell ref="F158:G158"/>
    <mergeCell ref="B77:C77"/>
    <mergeCell ref="D77:E77"/>
    <mergeCell ref="D108:E108"/>
    <mergeCell ref="B91:E91"/>
    <mergeCell ref="B61:C61"/>
    <mergeCell ref="D160:E160"/>
    <mergeCell ref="B101:C101"/>
    <mergeCell ref="D61:E61"/>
    <mergeCell ref="F160:G160"/>
    <mergeCell ref="D141:E141"/>
    <mergeCell ref="B181:I181"/>
    <mergeCell ref="D48:E48"/>
    <mergeCell ref="A107:A109"/>
    <mergeCell ref="F153:G153"/>
    <mergeCell ref="B78:C78"/>
    <mergeCell ref="D78:E78"/>
    <mergeCell ref="D134:E134"/>
    <mergeCell ref="F15:I15"/>
    <mergeCell ref="D62:E62"/>
    <mergeCell ref="B127:C127"/>
    <mergeCell ref="D127:E127"/>
    <mergeCell ref="B49:C49"/>
    <mergeCell ref="B177:C177"/>
    <mergeCell ref="D177:E177"/>
    <mergeCell ref="B104:C104"/>
    <mergeCell ref="B51:C51"/>
    <mergeCell ref="D73:E73"/>
    <mergeCell ref="F159:I159"/>
    <mergeCell ref="D51:E51"/>
    <mergeCell ref="B182:E182"/>
    <mergeCell ref="H154:I154"/>
    <mergeCell ref="C12:L12"/>
    <mergeCell ref="A133:A135"/>
    <mergeCell ref="B178:E178"/>
    <mergeCell ref="B154:C154"/>
    <mergeCell ref="B106:C106"/>
    <mergeCell ref="B129:C129"/>
    <mergeCell ref="D115:E115"/>
    <mergeCell ref="H156:I156"/>
    <mergeCell ref="B90:C90"/>
    <mergeCell ref="D90:E90"/>
    <mergeCell ref="B156:C156"/>
    <mergeCell ref="B64:E64"/>
    <mergeCell ref="B131:C131"/>
    <mergeCell ref="D131:E131"/>
    <mergeCell ref="A14:A16"/>
    <mergeCell ref="A159:A161"/>
    <mergeCell ref="B63:E63"/>
    <mergeCell ref="D101:E101"/>
    <mergeCell ref="B130:C130"/>
    <mergeCell ref="H157:I157"/>
    <mergeCell ref="B39:I39"/>
    <mergeCell ref="D76:E76"/>
    <mergeCell ref="B14:I14"/>
    <mergeCell ref="D132:E132"/>
    <mergeCell ref="B132:C132"/>
    <mergeCell ref="B157:C157"/>
    <mergeCell ref="D75:E75"/>
    <mergeCell ref="B66:E66"/>
    <mergeCell ref="B119:C119"/>
    <mergeCell ref="D47:E47"/>
    <mergeCell ref="B116:C116"/>
    <mergeCell ref="A51:A53"/>
    <mergeCell ref="B103:C103"/>
    <mergeCell ref="D103:E103"/>
    <mergeCell ref="B117:E117"/>
    <mergeCell ref="C10:L10"/>
    <mergeCell ref="B158:C158"/>
    <mergeCell ref="B67:E67"/>
    <mergeCell ref="B183:I183"/>
    <mergeCell ref="B142:C142"/>
    <mergeCell ref="C9:L9"/>
    <mergeCell ref="B80:C80"/>
    <mergeCell ref="D142:E142"/>
    <mergeCell ref="B89:C89"/>
    <mergeCell ref="B160:C160"/>
    <mergeCell ref="D89:E89"/>
    <mergeCell ref="D129:E129"/>
    <mergeCell ref="B79:C79"/>
    <mergeCell ref="D79:E79"/>
    <mergeCell ref="B153:C153"/>
    <mergeCell ref="B118:E118"/>
    <mergeCell ref="D153:E153"/>
    <mergeCell ref="B134:C134"/>
    <mergeCell ref="D128:E128"/>
    <mergeCell ref="B15:E15"/>
    <mergeCell ref="B95:E95"/>
    <mergeCell ref="N15:Q15"/>
    <mergeCell ref="D65:E65"/>
    <mergeCell ref="B105:C105"/>
    <mergeCell ref="B180:I180"/>
    <mergeCell ref="D105:E105"/>
    <mergeCell ref="B52:C52"/>
    <mergeCell ref="D52:E52"/>
    <mergeCell ref="B144:E144"/>
    <mergeCell ref="D49:E49"/>
    <mergeCell ref="B107:C107"/>
    <mergeCell ref="D107:E107"/>
    <mergeCell ref="A79:A81"/>
    <mergeCell ref="F154:G154"/>
    <mergeCell ref="D116:E116"/>
    <mergeCell ref="C6:L6"/>
    <mergeCell ref="B121:E121"/>
    <mergeCell ref="B122:E122"/>
    <mergeCell ref="D156:E156"/>
    <mergeCell ref="F156:G156"/>
    <mergeCell ref="D106:E106"/>
    <mergeCell ref="D93:E93"/>
    <mergeCell ref="F155:G155"/>
    <mergeCell ref="B108:C108"/>
    <mergeCell ref="B120:E120"/>
    <mergeCell ref="D102:E102"/>
    <mergeCell ref="H155:I155"/>
    <mergeCell ref="H158:I158"/>
    <mergeCell ref="D157:E157"/>
    <mergeCell ref="B148:E148"/>
    <mergeCell ref="B133:C133"/>
    <mergeCell ref="B76:C76"/>
    <mergeCell ref="B45:C45"/>
    <mergeCell ref="B5:L5"/>
    <mergeCell ref="D133:E133"/>
    <mergeCell ref="H160:I160"/>
    <mergeCell ref="B75:C75"/>
    <mergeCell ref="B47:C47"/>
    <mergeCell ref="B62:C62"/>
    <mergeCell ref="C8:L8"/>
    <mergeCell ref="B143:E143"/>
    <mergeCell ref="B185:I185"/>
    <mergeCell ref="B92:E92"/>
    <mergeCell ref="D119:E119"/>
    <mergeCell ref="B46:C46"/>
    <mergeCell ref="D46:E46"/>
    <mergeCell ref="D80:E80"/>
    <mergeCell ref="B184:I184"/>
    <mergeCell ref="B94:E94"/>
    <mergeCell ref="B48:C48"/>
    <mergeCell ref="F177:G177"/>
    <mergeCell ref="D104:E104"/>
    <mergeCell ref="H177:I177"/>
    <mergeCell ref="F182:I182"/>
    <mergeCell ref="B145:C145"/>
    <mergeCell ref="D145:E145"/>
    <mergeCell ref="D154:E154"/>
    <mergeCell ref="F178:I178"/>
    <mergeCell ref="B159:E159"/>
    <mergeCell ref="B179:I179"/>
    <mergeCell ref="B73:C73"/>
    <mergeCell ref="H153:I153"/>
    <mergeCell ref="B96:E96"/>
    <mergeCell ref="B128:C128"/>
    <mergeCell ref="B186:I186"/>
    <mergeCell ref="J15:M15"/>
    <mergeCell ref="B65:C65"/>
    <mergeCell ref="B74:C74"/>
    <mergeCell ref="D74:E74"/>
    <mergeCell ref="D130:E130"/>
    <mergeCell ref="B147:E147"/>
    <mergeCell ref="B50:C50"/>
    <mergeCell ref="D50:E50"/>
    <mergeCell ref="F157:G15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3:M96"/>
  <sheetViews>
    <sheetView tabSelected="0" zoomScale="85"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</cols>
  <sheetData>
    <row r="3">
      <c r="A3" s="169" t="inlineStr">
        <is>
          <t>Neraca Massa dan Energi</t>
        </is>
      </c>
    </row>
    <row r="4">
      <c r="A4" s="169" t="inlineStr">
        <is>
          <t>NM Blok 5: Pemisahan Fraksi Berat (Kolom Berat)</t>
        </is>
      </c>
    </row>
    <row r="5">
      <c r="A5" s="202" t="inlineStr">
        <is>
          <t>Tujuan:</t>
        </is>
      </c>
      <c r="B5" s="187" t="inlineStr">
        <is>
          <t>Memisahkan EDC murni (distilat) dari TCE, fraksi berat, dan FeCl₃ (produk bawah)</t>
        </is>
      </c>
    </row>
    <row r="6">
      <c r="A6" s="202" t="inlineStr">
        <is>
          <t>Unjuk Kerja</t>
        </is>
      </c>
      <c r="B6" s="224">
        <f>1/1000</f>
        <v>0.001</v>
      </c>
      <c r="C6" s="187" t="inlineStr">
        <is>
          <t>EDC ke produk bawah (mol per mol VCM produk)</t>
        </is>
      </c>
    </row>
    <row r="7">
      <c r="B7" s="224">
        <f>73*298/(74.5*3100)</f>
        <v>0.09419354838709677</v>
      </c>
      <c r="C7" s="187" t="inlineStr">
        <is>
          <t>Fraksi 1,1,2-trikloroetana umpan yang ikut distilat</t>
        </is>
      </c>
    </row>
    <row r="8">
      <c r="B8" s="225" t="inlineStr">
        <is>
          <t>Berat</t>
        </is>
      </c>
      <c r="C8" s="187" t="inlineStr">
        <is>
          <t>Fraksi berat (C₄H₈Cl₂) dan FeCl₃ ke produk bawah</t>
        </is>
      </c>
    </row>
    <row r="9">
      <c r="B9" s="221" t="n">
        <v>1</v>
      </c>
      <c r="C9" s="187" t="inlineStr">
        <is>
          <t>Rasio refluks L/D kolom berat KD-102</t>
        </is>
      </c>
    </row>
    <row r="10">
      <c r="B10" s="223" t="n">
        <v>0.75</v>
      </c>
      <c r="C10" s="187" t="inlineStr">
        <is>
          <t>Efisiensi pompa P-103</t>
        </is>
      </c>
    </row>
    <row r="12">
      <c r="A12" s="202" t="inlineStr">
        <is>
          <t>Basis Perhitungan</t>
        </is>
      </c>
      <c r="B12" s="209">
        <f>'NME-1 Klorinasi Langsung'!$B$16</f>
        <v>6100.572183061604</v>
      </c>
      <c r="C12" s="187" t="inlineStr">
        <is>
          <t>kg/h aliran etilena ke R-01 (NME-1)</t>
        </is>
      </c>
    </row>
    <row r="14">
      <c r="A14" s="162" t="inlineStr">
        <is>
          <t>Substance</t>
        </is>
      </c>
      <c r="B14" s="162" t="inlineStr">
        <is>
          <t>Inlet</t>
        </is>
      </c>
      <c r="C14" s="210" t="n"/>
      <c r="D14" s="210" t="n"/>
      <c r="E14" s="211" t="n"/>
      <c r="F14" s="162" t="inlineStr">
        <is>
          <t>Outlet</t>
        </is>
      </c>
      <c r="G14" s="210" t="n"/>
      <c r="H14" s="210" t="n"/>
      <c r="I14" s="210" t="n"/>
      <c r="J14" s="210" t="n"/>
      <c r="K14" s="210" t="n"/>
      <c r="L14" s="210" t="n"/>
      <c r="M14" s="211" t="n"/>
    </row>
    <row r="15">
      <c r="A15" s="212" t="n"/>
      <c r="B15" s="162" t="inlineStr">
        <is>
          <t>Aliran 34</t>
        </is>
      </c>
      <c r="C15" s="210" t="n"/>
      <c r="D15" s="210" t="n"/>
      <c r="E15" s="211" t="n"/>
      <c r="F15" s="162" t="inlineStr">
        <is>
          <t>Aliran 36</t>
        </is>
      </c>
      <c r="G15" s="210" t="n"/>
      <c r="H15" s="210" t="n"/>
      <c r="I15" s="211" t="n"/>
      <c r="J15" s="162" t="inlineStr">
        <is>
          <t>Aliran 35</t>
        </is>
      </c>
      <c r="K15" s="210" t="n"/>
      <c r="L15" s="210" t="n"/>
      <c r="M15" s="211" t="n"/>
    </row>
    <row r="16">
      <c r="A16" s="213" t="n"/>
      <c r="B16" s="214" t="inlineStr">
        <is>
          <t>ẋᵢ</t>
        </is>
      </c>
      <c r="C16" s="214" t="inlineStr">
        <is>
          <t>ṁᵢ (kg/h)</t>
        </is>
      </c>
      <c r="D16" s="214" t="inlineStr">
        <is>
          <t>ẏᵢ</t>
        </is>
      </c>
      <c r="E16" s="214" t="inlineStr">
        <is>
          <t>ṅᵢ (kmol/h)</t>
        </is>
      </c>
      <c r="F16" s="214" t="inlineStr">
        <is>
          <t>ẋᵢ</t>
        </is>
      </c>
      <c r="G16" s="214" t="inlineStr">
        <is>
          <t>ṁᵢ (kg/h)</t>
        </is>
      </c>
      <c r="H16" s="214" t="inlineStr">
        <is>
          <t>ẏᵢ</t>
        </is>
      </c>
      <c r="I16" s="214" t="inlineStr">
        <is>
          <t>ṅᵢ (kmol/h)</t>
        </is>
      </c>
      <c r="J16" s="214" t="inlineStr">
        <is>
          <t>ẋᵢ</t>
        </is>
      </c>
      <c r="K16" s="214" t="inlineStr">
        <is>
          <t>ṁᵢ (kg/h)</t>
        </is>
      </c>
      <c r="L16" s="214" t="inlineStr">
        <is>
          <t>ẏᵢ</t>
        </is>
      </c>
      <c r="M16" s="214" t="inlineStr">
        <is>
          <t>ṅᵢ (kmol/h)</t>
        </is>
      </c>
    </row>
    <row r="17">
      <c r="A17" s="163" t="inlineStr">
        <is>
          <t>C₂H₄</t>
        </is>
      </c>
      <c r="B17" s="189">
        <f>C17/C$38</f>
        <v>0.0</v>
      </c>
      <c r="C17" s="215">
        <f>E17*'Data Komponen'!$D$3</f>
        <v>0.0</v>
      </c>
      <c r="D17" s="189">
        <f>E17/E$38</f>
        <v>0.0</v>
      </c>
      <c r="E17" s="216">
        <f>'NME-4 Kolom Ringan'!Q17</f>
        <v>0.0</v>
      </c>
      <c r="F17" s="189">
        <f>G17/G$38</f>
        <v>0.0</v>
      </c>
      <c r="G17" s="215">
        <f>I17*'Data Komponen'!$D$3</f>
        <v>0.0</v>
      </c>
      <c r="H17" s="189">
        <f>I17/I$38</f>
        <v>0.0</v>
      </c>
      <c r="I17" s="216">
        <f>E17</f>
        <v>0.0</v>
      </c>
      <c r="J17" s="189">
        <f>K17/K$38</f>
        <v>0.0</v>
      </c>
      <c r="K17" s="215">
        <f>M17*'Data Komponen'!$D$3</f>
        <v>0.0</v>
      </c>
      <c r="L17" s="189">
        <f>M17/M$38</f>
        <v>0.0</v>
      </c>
      <c r="M17" s="216">
        <f>0</f>
        <v>0.0</v>
      </c>
    </row>
    <row r="18">
      <c r="A18" s="163" t="inlineStr">
        <is>
          <t>CH₄</t>
        </is>
      </c>
      <c r="B18" s="189">
        <f>C18/C$38</f>
        <v>0.0</v>
      </c>
      <c r="C18" s="215">
        <f>E18*'Data Komponen'!$D$4</f>
        <v>0.0</v>
      </c>
      <c r="D18" s="189">
        <f>E18/E$38</f>
        <v>0.0</v>
      </c>
      <c r="E18" s="216">
        <f>'NME-4 Kolom Ringan'!Q18</f>
        <v>0.0</v>
      </c>
      <c r="F18" s="189">
        <f>G18/G$38</f>
        <v>0.0</v>
      </c>
      <c r="G18" s="215">
        <f>I18*'Data Komponen'!$D$4</f>
        <v>0.0</v>
      </c>
      <c r="H18" s="189">
        <f>I18/I$38</f>
        <v>0.0</v>
      </c>
      <c r="I18" s="216">
        <f>E18</f>
        <v>0.0</v>
      </c>
      <c r="J18" s="189">
        <f>K18/K$38</f>
        <v>0.0</v>
      </c>
      <c r="K18" s="215">
        <f>M18*'Data Komponen'!$D$4</f>
        <v>0.0</v>
      </c>
      <c r="L18" s="189">
        <f>M18/M$38</f>
        <v>0.0</v>
      </c>
      <c r="M18" s="216">
        <f>0</f>
        <v>0.0</v>
      </c>
    </row>
    <row r="19">
      <c r="A19" s="163" t="inlineStr">
        <is>
          <t>C₂H₆</t>
        </is>
      </c>
      <c r="B19" s="189">
        <f>C19/C$38</f>
        <v>0.0</v>
      </c>
      <c r="C19" s="215">
        <f>E19*'Data Komponen'!$D$5</f>
        <v>0.0</v>
      </c>
      <c r="D19" s="189">
        <f>E19/E$38</f>
        <v>0.0</v>
      </c>
      <c r="E19" s="216">
        <f>'NME-4 Kolom Ringan'!Q19</f>
        <v>0.0</v>
      </c>
      <c r="F19" s="189">
        <f>G19/G$38</f>
        <v>0.0</v>
      </c>
      <c r="G19" s="215">
        <f>I19*'Data Komponen'!$D$5</f>
        <v>0.0</v>
      </c>
      <c r="H19" s="189">
        <f>I19/I$38</f>
        <v>0.0</v>
      </c>
      <c r="I19" s="216">
        <f>E19</f>
        <v>0.0</v>
      </c>
      <c r="J19" s="189">
        <f>K19/K$38</f>
        <v>0.0</v>
      </c>
      <c r="K19" s="215">
        <f>M19*'Data Komponen'!$D$5</f>
        <v>0.0</v>
      </c>
      <c r="L19" s="189">
        <f>M19/M$38</f>
        <v>0.0</v>
      </c>
      <c r="M19" s="216">
        <f>0</f>
        <v>0.0</v>
      </c>
    </row>
    <row r="20">
      <c r="A20" s="163" t="inlineStr">
        <is>
          <t>C₂H₂</t>
        </is>
      </c>
      <c r="B20" s="189">
        <f>C20/C$38</f>
        <v>0.0</v>
      </c>
      <c r="C20" s="215">
        <f>E20*'Data Komponen'!$D$6</f>
        <v>0.0</v>
      </c>
      <c r="D20" s="189">
        <f>E20/E$38</f>
        <v>0.0</v>
      </c>
      <c r="E20" s="216">
        <f>'NME-4 Kolom Ringan'!Q20</f>
        <v>0.0</v>
      </c>
      <c r="F20" s="189">
        <f>G20/G$38</f>
        <v>0.0</v>
      </c>
      <c r="G20" s="215">
        <f>I20*'Data Komponen'!$D$6</f>
        <v>0.0</v>
      </c>
      <c r="H20" s="189">
        <f>I20/I$38</f>
        <v>0.0</v>
      </c>
      <c r="I20" s="216">
        <f>E20</f>
        <v>0.0</v>
      </c>
      <c r="J20" s="189">
        <f>K20/K$38</f>
        <v>0.0</v>
      </c>
      <c r="K20" s="215">
        <f>M20*'Data Komponen'!$D$6</f>
        <v>0.0</v>
      </c>
      <c r="L20" s="189">
        <f>M20/M$38</f>
        <v>0.0</v>
      </c>
      <c r="M20" s="216">
        <f>0</f>
        <v>0.0</v>
      </c>
    </row>
    <row r="21">
      <c r="A21" s="163" t="inlineStr">
        <is>
          <t>Cl₂</t>
        </is>
      </c>
      <c r="B21" s="189">
        <f>C21/C$38</f>
        <v>0.0</v>
      </c>
      <c r="C21" s="215">
        <f>E21*'Data Komponen'!$D$7</f>
        <v>0.0</v>
      </c>
      <c r="D21" s="189">
        <f>E21/E$38</f>
        <v>0.0</v>
      </c>
      <c r="E21" s="216">
        <f>'NME-4 Kolom Ringan'!Q21</f>
        <v>0.0</v>
      </c>
      <c r="F21" s="189">
        <f>G21/G$38</f>
        <v>0.0</v>
      </c>
      <c r="G21" s="215">
        <f>I21*'Data Komponen'!$D$7</f>
        <v>0.0</v>
      </c>
      <c r="H21" s="189">
        <f>I21/I$38</f>
        <v>0.0</v>
      </c>
      <c r="I21" s="216">
        <f>E21</f>
        <v>0.0</v>
      </c>
      <c r="J21" s="189">
        <f>K21/K$38</f>
        <v>0.0</v>
      </c>
      <c r="K21" s="215">
        <f>M21*'Data Komponen'!$D$7</f>
        <v>0.0</v>
      </c>
      <c r="L21" s="189">
        <f>M21/M$38</f>
        <v>0.0</v>
      </c>
      <c r="M21" s="216">
        <f>0</f>
        <v>0.0</v>
      </c>
    </row>
    <row r="22">
      <c r="A22" s="163" t="inlineStr">
        <is>
          <t>CₙHₘ</t>
        </is>
      </c>
      <c r="B22" s="189">
        <f>C22/C$38</f>
        <v>0.0</v>
      </c>
      <c r="C22" s="215">
        <f>E22*'Data Komponen'!$D$8</f>
        <v>0.0</v>
      </c>
      <c r="D22" s="189">
        <f>E22/E$38</f>
        <v>0.0</v>
      </c>
      <c r="E22" s="216">
        <f>'NME-4 Kolom Ringan'!Q22</f>
        <v>0.0</v>
      </c>
      <c r="F22" s="189">
        <f>G22/G$38</f>
        <v>0.0</v>
      </c>
      <c r="G22" s="215">
        <f>I22*'Data Komponen'!$D$8</f>
        <v>0.0</v>
      </c>
      <c r="H22" s="189">
        <f>I22/I$38</f>
        <v>0.0</v>
      </c>
      <c r="I22" s="216">
        <f>E22</f>
        <v>0.0</v>
      </c>
      <c r="J22" s="189">
        <f>K22/K$38</f>
        <v>0.0</v>
      </c>
      <c r="K22" s="215">
        <f>M22*'Data Komponen'!$D$8</f>
        <v>0.0</v>
      </c>
      <c r="L22" s="189">
        <f>M22/M$38</f>
        <v>0.0</v>
      </c>
      <c r="M22" s="216">
        <f>0</f>
        <v>0.0</v>
      </c>
    </row>
    <row r="23">
      <c r="A23" s="163" t="inlineStr">
        <is>
          <t>H₂O</t>
        </is>
      </c>
      <c r="B23" s="189">
        <f>C23/C$38</f>
        <v>3.500000000000117e-05</v>
      </c>
      <c r="C23" s="215">
        <f>E23*'Data Komponen'!$D$9</f>
        <v>2.614266409950987</v>
      </c>
      <c r="D23" s="189">
        <f>E23/E$38</f>
        <v>0.00019245723964859897</v>
      </c>
      <c r="E23" s="216">
        <f>'NME-4 Kolom Ringan'!Q23</f>
        <v>0.14511609269780668</v>
      </c>
      <c r="F23" s="189">
        <f>G23/G$38</f>
        <v>3.520721366887499e-05</v>
      </c>
      <c r="G23" s="215">
        <f>I23*'Data Komponen'!$D$9</f>
        <v>2.614266409950987</v>
      </c>
      <c r="H23" s="189">
        <f>I23/I$38</f>
        <v>0.00019336704135758156</v>
      </c>
      <c r="I23" s="216">
        <f>E23</f>
        <v>0.14511609269780668</v>
      </c>
      <c r="J23" s="189">
        <f>K23/K$38</f>
        <v>0.0</v>
      </c>
      <c r="K23" s="215">
        <f>M23*'Data Komponen'!$D$9</f>
        <v>0.0</v>
      </c>
      <c r="L23" s="189">
        <f>M23/M$38</f>
        <v>0.0</v>
      </c>
      <c r="M23" s="216">
        <f>0</f>
        <v>0.0</v>
      </c>
    </row>
    <row r="24">
      <c r="A24" s="163" t="inlineStr">
        <is>
          <t>CₓHᵧCl</t>
        </is>
      </c>
      <c r="B24" s="189">
        <f>C24/C$38</f>
        <v>0.0</v>
      </c>
      <c r="C24" s="215">
        <f>E24*'Data Komponen'!$D$10</f>
        <v>0.0</v>
      </c>
      <c r="D24" s="189">
        <f>E24/E$38</f>
        <v>0.0</v>
      </c>
      <c r="E24" s="216">
        <f>'NME-4 Kolom Ringan'!Q24</f>
        <v>0.0</v>
      </c>
      <c r="F24" s="189">
        <f>G24/G$38</f>
        <v>0.0</v>
      </c>
      <c r="G24" s="215">
        <f>I24*'Data Komponen'!$D$10</f>
        <v>0.0</v>
      </c>
      <c r="H24" s="189">
        <f>I24/I$38</f>
        <v>0.0</v>
      </c>
      <c r="I24" s="216">
        <f>E24</f>
        <v>0.0</v>
      </c>
      <c r="J24" s="189">
        <f>K24/K$38</f>
        <v>0.0</v>
      </c>
      <c r="K24" s="215">
        <f>M24*'Data Komponen'!$D$10</f>
        <v>0.0</v>
      </c>
      <c r="L24" s="189">
        <f>M24/M$38</f>
        <v>0.0</v>
      </c>
      <c r="M24" s="216">
        <f>0</f>
        <v>0.0</v>
      </c>
    </row>
    <row r="25">
      <c r="A25" s="163" t="inlineStr">
        <is>
          <t>Br₂</t>
        </is>
      </c>
      <c r="B25" s="189">
        <f>C25/C$38</f>
        <v>0.0</v>
      </c>
      <c r="C25" s="215">
        <f>E25*'Data Komponen'!$D$11</f>
        <v>0.0</v>
      </c>
      <c r="D25" s="189">
        <f>E25/E$38</f>
        <v>0.0</v>
      </c>
      <c r="E25" s="216">
        <f>'NME-4 Kolom Ringan'!Q25</f>
        <v>0.0</v>
      </c>
      <c r="F25" s="189">
        <f>G25/G$38</f>
        <v>0.0</v>
      </c>
      <c r="G25" s="215">
        <f>I25*'Data Komponen'!$D$11</f>
        <v>0.0</v>
      </c>
      <c r="H25" s="189">
        <f>I25/I$38</f>
        <v>0.0</v>
      </c>
      <c r="I25" s="216">
        <f>E25</f>
        <v>0.0</v>
      </c>
      <c r="J25" s="189">
        <f>K25/K$38</f>
        <v>0.0</v>
      </c>
      <c r="K25" s="215">
        <f>M25*'Data Komponen'!$D$11</f>
        <v>0.0</v>
      </c>
      <c r="L25" s="189">
        <f>M25/M$38</f>
        <v>0.0</v>
      </c>
      <c r="M25" s="216">
        <f>0</f>
        <v>0.0</v>
      </c>
    </row>
    <row r="26">
      <c r="A26" s="163" t="inlineStr">
        <is>
          <t>NCl₃</t>
        </is>
      </c>
      <c r="B26" s="189">
        <f>C26/C$38</f>
        <v>0.0</v>
      </c>
      <c r="C26" s="215">
        <f>E26*'Data Komponen'!$D$12</f>
        <v>0.0</v>
      </c>
      <c r="D26" s="189">
        <f>E26/E$38</f>
        <v>0.0</v>
      </c>
      <c r="E26" s="216">
        <f>'NME-4 Kolom Ringan'!Q26</f>
        <v>0.0</v>
      </c>
      <c r="F26" s="189">
        <f>G26/G$38</f>
        <v>0.0</v>
      </c>
      <c r="G26" s="215">
        <f>I26*'Data Komponen'!$D$12</f>
        <v>0.0</v>
      </c>
      <c r="H26" s="189">
        <f>I26/I$38</f>
        <v>0.0</v>
      </c>
      <c r="I26" s="216">
        <f>E26</f>
        <v>0.0</v>
      </c>
      <c r="J26" s="189">
        <f>K26/K$38</f>
        <v>0.0</v>
      </c>
      <c r="K26" s="215">
        <f>M26*'Data Komponen'!$D$12</f>
        <v>0.0</v>
      </c>
      <c r="L26" s="189">
        <f>M26/M$38</f>
        <v>0.0</v>
      </c>
      <c r="M26" s="216">
        <f>0</f>
        <v>0.0</v>
      </c>
    </row>
    <row r="27">
      <c r="A27" s="163" t="inlineStr">
        <is>
          <t>H₂</t>
        </is>
      </c>
      <c r="B27" s="189">
        <f>C27/C$38</f>
        <v>0.0</v>
      </c>
      <c r="C27" s="215">
        <f>E27*'Data Komponen'!$D$13</f>
        <v>0.0</v>
      </c>
      <c r="D27" s="189">
        <f>E27/E$38</f>
        <v>0.0</v>
      </c>
      <c r="E27" s="216">
        <f>'NME-4 Kolom Ringan'!Q27</f>
        <v>0.0</v>
      </c>
      <c r="F27" s="189">
        <f>G27/G$38</f>
        <v>0.0</v>
      </c>
      <c r="G27" s="215">
        <f>I27*'Data Komponen'!$D$13</f>
        <v>0.0</v>
      </c>
      <c r="H27" s="189">
        <f>I27/I$38</f>
        <v>0.0</v>
      </c>
      <c r="I27" s="216">
        <f>E27</f>
        <v>0.0</v>
      </c>
      <c r="J27" s="189">
        <f>K27/K$38</f>
        <v>0.0</v>
      </c>
      <c r="K27" s="215">
        <f>M27*'Data Komponen'!$D$13</f>
        <v>0.0</v>
      </c>
      <c r="L27" s="189">
        <f>M27/M$38</f>
        <v>0.0</v>
      </c>
      <c r="M27" s="216">
        <f>0</f>
        <v>0.0</v>
      </c>
    </row>
    <row r="28">
      <c r="A28" s="163" t="inlineStr">
        <is>
          <t>O₂</t>
        </is>
      </c>
      <c r="B28" s="189">
        <f>C28/C$38</f>
        <v>0.0</v>
      </c>
      <c r="C28" s="215">
        <f>E28*'Data Komponen'!$D$14</f>
        <v>0.0</v>
      </c>
      <c r="D28" s="189">
        <f>E28/E$38</f>
        <v>0.0</v>
      </c>
      <c r="E28" s="216">
        <f>'NME-4 Kolom Ringan'!Q28</f>
        <v>0.0</v>
      </c>
      <c r="F28" s="189">
        <f>G28/G$38</f>
        <v>0.0</v>
      </c>
      <c r="G28" s="215">
        <f>I28*'Data Komponen'!$D$14</f>
        <v>0.0</v>
      </c>
      <c r="H28" s="189">
        <f>I28/I$38</f>
        <v>0.0</v>
      </c>
      <c r="I28" s="216">
        <f>E28</f>
        <v>0.0</v>
      </c>
      <c r="J28" s="189">
        <f>K28/K$38</f>
        <v>0.0</v>
      </c>
      <c r="K28" s="215">
        <f>M28*'Data Komponen'!$D$14</f>
        <v>0.0</v>
      </c>
      <c r="L28" s="189">
        <f>M28/M$38</f>
        <v>0.0</v>
      </c>
      <c r="M28" s="216">
        <f>0</f>
        <v>0.0</v>
      </c>
    </row>
    <row r="29">
      <c r="A29" s="163" t="inlineStr">
        <is>
          <t>N₂</t>
        </is>
      </c>
      <c r="B29" s="189">
        <f>C29/C$38</f>
        <v>0.0</v>
      </c>
      <c r="C29" s="215">
        <f>E29*'Data Komponen'!$D$15</f>
        <v>0.0</v>
      </c>
      <c r="D29" s="189">
        <f>E29/E$38</f>
        <v>0.0</v>
      </c>
      <c r="E29" s="216">
        <f>'NME-4 Kolom Ringan'!Q29</f>
        <v>0.0</v>
      </c>
      <c r="F29" s="189">
        <f>G29/G$38</f>
        <v>0.0</v>
      </c>
      <c r="G29" s="215">
        <f>I29*'Data Komponen'!$D$15</f>
        <v>0.0</v>
      </c>
      <c r="H29" s="189">
        <f>I29/I$38</f>
        <v>0.0</v>
      </c>
      <c r="I29" s="216">
        <f>E29</f>
        <v>0.0</v>
      </c>
      <c r="J29" s="189">
        <f>K29/K$38</f>
        <v>0.0</v>
      </c>
      <c r="K29" s="215">
        <f>M29*'Data Komponen'!$D$15</f>
        <v>0.0</v>
      </c>
      <c r="L29" s="189">
        <f>M29/M$38</f>
        <v>0.0</v>
      </c>
      <c r="M29" s="216">
        <f>0</f>
        <v>0.0</v>
      </c>
    </row>
    <row r="30">
      <c r="A30" s="163" t="inlineStr">
        <is>
          <t>CO₂</t>
        </is>
      </c>
      <c r="B30" s="189">
        <f>C30/C$38</f>
        <v>0.0</v>
      </c>
      <c r="C30" s="215">
        <f>E30*'Data Komponen'!$D$16</f>
        <v>0.0</v>
      </c>
      <c r="D30" s="189">
        <f>E30/E$38</f>
        <v>0.0</v>
      </c>
      <c r="E30" s="216">
        <f>'NME-4 Kolom Ringan'!Q30</f>
        <v>0.0</v>
      </c>
      <c r="F30" s="189">
        <f>G30/G$38</f>
        <v>0.0</v>
      </c>
      <c r="G30" s="215">
        <f>I30*'Data Komponen'!$D$16</f>
        <v>0.0</v>
      </c>
      <c r="H30" s="189">
        <f>I30/I$38</f>
        <v>0.0</v>
      </c>
      <c r="I30" s="216">
        <f>E30</f>
        <v>0.0</v>
      </c>
      <c r="J30" s="189">
        <f>K30/K$38</f>
        <v>0.0</v>
      </c>
      <c r="K30" s="215">
        <f>M30*'Data Komponen'!$D$16</f>
        <v>0.0</v>
      </c>
      <c r="L30" s="189">
        <f>M30/M$38</f>
        <v>0.0</v>
      </c>
      <c r="M30" s="216">
        <f>0</f>
        <v>0.0</v>
      </c>
    </row>
    <row r="31">
      <c r="A31" s="163" t="inlineStr">
        <is>
          <t>EDC</t>
        </is>
      </c>
      <c r="B31" s="189">
        <f>C31/C$38</f>
        <v>0.9945954010347826</v>
      </c>
      <c r="C31" s="215">
        <f>E31*'Data Komponen'!$D$17</f>
        <v>74289.63852619648</v>
      </c>
      <c r="D31" s="189">
        <f>E31/E$38</f>
        <v>0.9956154408500664</v>
      </c>
      <c r="E31" s="216">
        <f>'NME-4 Kolom Ringan'!Q31</f>
        <v>750.7112897886648</v>
      </c>
      <c r="F31" s="189">
        <f>G31/G$38</f>
        <v>0.9999457329793193</v>
      </c>
      <c r="G31" s="215">
        <f>I31*'Data Komponen'!$D$17</f>
        <v>74249.68547887889</v>
      </c>
      <c r="H31" s="189">
        <f>I31/I$38</f>
        <v>0.9997840322326019</v>
      </c>
      <c r="I31" s="216">
        <f>E31-M31</f>
        <v>750.3075564514485</v>
      </c>
      <c r="J31" s="189">
        <f>K31/K$38</f>
        <v>0.09088273055057226</v>
      </c>
      <c r="K31" s="215">
        <f>M31*'Data Komponen'!$D$17</f>
        <v>39.95304731758825</v>
      </c>
      <c r="L31" s="189">
        <f>M31/M$38</f>
        <v>0.11380176344677695</v>
      </c>
      <c r="M31" s="216">
        <f>$B$6*'NME-8 Kolom VCM'!I35</f>
        <v>0.4037333372163042</v>
      </c>
    </row>
    <row r="32">
      <c r="A32" s="163" t="inlineStr">
        <is>
          <t>TCE</t>
        </is>
      </c>
      <c r="B32" s="189">
        <f>C32/C$38</f>
        <v>9.499195855612433e-05</v>
      </c>
      <c r="C32" s="215">
        <f>E32*'Data Komponen'!$D$18</f>
        <v>7.095265327677823</v>
      </c>
      <c r="D32" s="189">
        <f>E32/E$38</f>
        <v>7.053776917362992e-05</v>
      </c>
      <c r="E32" s="216">
        <f>'NME-4 Kolom Ringan'!Q32</f>
        <v>0.05318669990688233</v>
      </c>
      <c r="F32" s="189">
        <f>G32/G$38</f>
        <v>9.000603106538252e-06</v>
      </c>
      <c r="G32" s="215">
        <f>I32*'Data Komponen'!$D$18</f>
        <v>0.6683282179619111</v>
      </c>
      <c r="H32" s="189">
        <f>I32/I$38</f>
        <v>6.67561186521414e-06</v>
      </c>
      <c r="I32" s="216">
        <f>$B$7*E32</f>
        <v>0.005009843991228917</v>
      </c>
      <c r="J32" s="189">
        <f>K32/K$38</f>
        <v>0.01461960057676631</v>
      </c>
      <c r="K32" s="215">
        <f>M32*'Data Komponen'!$D$18</f>
        <v>6.426937109715912</v>
      </c>
      <c r="L32" s="189">
        <f>M32/M$38</f>
        <v>0.013579783126963533</v>
      </c>
      <c r="M32" s="216">
        <f>E32-I32</f>
        <v>0.04817685591565341</v>
      </c>
    </row>
    <row r="33">
      <c r="A33" s="163" t="inlineStr">
        <is>
          <t>HCl</t>
        </is>
      </c>
      <c r="B33" s="189">
        <f>C33/C$38</f>
        <v>0.0</v>
      </c>
      <c r="C33" s="215">
        <f>E33*'Data Komponen'!$D$19</f>
        <v>0.0</v>
      </c>
      <c r="D33" s="189">
        <f>E33/E$38</f>
        <v>0.0</v>
      </c>
      <c r="E33" s="216">
        <f>'NME-4 Kolom Ringan'!Q33</f>
        <v>0.0</v>
      </c>
      <c r="F33" s="189">
        <f>G33/G$38</f>
        <v>0.0</v>
      </c>
      <c r="G33" s="215">
        <f>I33*'Data Komponen'!$D$19</f>
        <v>0.0</v>
      </c>
      <c r="H33" s="189">
        <f>I33/I$38</f>
        <v>0.0</v>
      </c>
      <c r="I33" s="216">
        <f>E33</f>
        <v>0.0</v>
      </c>
      <c r="J33" s="189">
        <f>K33/K$38</f>
        <v>0.0</v>
      </c>
      <c r="K33" s="215">
        <f>M33*'Data Komponen'!$D$19</f>
        <v>0.0</v>
      </c>
      <c r="L33" s="189">
        <f>M33/M$38</f>
        <v>0.0</v>
      </c>
      <c r="M33" s="216">
        <f>0</f>
        <v>0.0</v>
      </c>
    </row>
    <row r="34">
      <c r="A34" s="163" t="inlineStr">
        <is>
          <t>FeCl₃</t>
        </is>
      </c>
      <c r="B34" s="189">
        <f>C34/C$38</f>
        <v>1.6521024158632032e-06</v>
      </c>
      <c r="C34" s="215">
        <f>E34*'Data Komponen'!$D$20</f>
        <v>0.12340102433114014</v>
      </c>
      <c r="D34" s="189">
        <f>E34/E$38</f>
        <v>1.0089644885253956e-06</v>
      </c>
      <c r="E34" s="216">
        <f>'NME-4 Kolom Ringan'!Q34</f>
        <v>0.0007607767029859938</v>
      </c>
      <c r="F34" s="189">
        <f>G34/G$38</f>
        <v>0.0</v>
      </c>
      <c r="G34" s="215">
        <f>I34*'Data Komponen'!$D$20</f>
        <v>0.0</v>
      </c>
      <c r="H34" s="189">
        <f>I34/I$38</f>
        <v>0.0</v>
      </c>
      <c r="I34" s="216">
        <f>0</f>
        <v>0.0</v>
      </c>
      <c r="J34" s="189">
        <f>K34/K$38</f>
        <v>0.00028070504747242423</v>
      </c>
      <c r="K34" s="215">
        <f>M34*'Data Komponen'!$D$20</f>
        <v>0.12340102433114014</v>
      </c>
      <c r="L34" s="189">
        <f>M34/M$38</f>
        <v>0.00021444285722346988</v>
      </c>
      <c r="M34" s="216">
        <f>E34</f>
        <v>0.0007607767029859938</v>
      </c>
    </row>
    <row r="35">
      <c r="A35" s="163" t="inlineStr">
        <is>
          <t>C₂H₅Cl</t>
        </is>
      </c>
      <c r="B35" s="189">
        <f>C35/C$38</f>
        <v>0.0</v>
      </c>
      <c r="C35" s="215">
        <f>E35*'Data Komponen'!$D$21</f>
        <v>0.0</v>
      </c>
      <c r="D35" s="189">
        <f>E35/E$38</f>
        <v>0.0</v>
      </c>
      <c r="E35" s="216">
        <f>'NME-4 Kolom Ringan'!Q35</f>
        <v>0.0</v>
      </c>
      <c r="F35" s="189">
        <f>G35/G$38</f>
        <v>0.0</v>
      </c>
      <c r="G35" s="215">
        <f>I35*'Data Komponen'!$D$21</f>
        <v>0.0</v>
      </c>
      <c r="H35" s="189">
        <f>I35/I$38</f>
        <v>0.0</v>
      </c>
      <c r="I35" s="216">
        <f>E35</f>
        <v>0.0</v>
      </c>
      <c r="J35" s="189">
        <f>K35/K$38</f>
        <v>0.0</v>
      </c>
      <c r="K35" s="215">
        <f>M35*'Data Komponen'!$D$21</f>
        <v>0.0</v>
      </c>
      <c r="L35" s="189">
        <f>M35/M$38</f>
        <v>0.0</v>
      </c>
      <c r="M35" s="216">
        <f>0</f>
        <v>0.0</v>
      </c>
    </row>
    <row r="36">
      <c r="A36" s="163" t="inlineStr">
        <is>
          <t>VCM</t>
        </is>
      </c>
      <c r="B36" s="189">
        <f>C36/C$38</f>
        <v>1.000000000000013e-05</v>
      </c>
      <c r="C36" s="215">
        <f>E36*'Data Komponen'!$D$22</f>
        <v>0.746933259985981</v>
      </c>
      <c r="D36" s="189">
        <f>E36/E$38</f>
        <v>1.58501857077458e-05</v>
      </c>
      <c r="E36" s="216">
        <f>'NME-4 Kolom Ringan'!Q36</f>
        <v>0.011951314601842957</v>
      </c>
      <c r="F36" s="189">
        <f>G36/G$38</f>
        <v>1.0059203905392647e-05</v>
      </c>
      <c r="G36" s="215">
        <f>I36*'Data Komponen'!$D$22</f>
        <v>0.746933259985981</v>
      </c>
      <c r="H36" s="189">
        <f>I36/I$38</f>
        <v>1.592511417534166e-05</v>
      </c>
      <c r="I36" s="216">
        <f>E36</f>
        <v>0.011951314601842957</v>
      </c>
      <c r="J36" s="189">
        <f>K36/K$38</f>
        <v>0.0</v>
      </c>
      <c r="K36" s="215">
        <f>M36*'Data Komponen'!$D$22</f>
        <v>0.0</v>
      </c>
      <c r="L36" s="189">
        <f>M36/M$38</f>
        <v>0.0</v>
      </c>
      <c r="M36" s="216">
        <f>0</f>
        <v>0.0</v>
      </c>
    </row>
    <row r="37">
      <c r="A37" s="163" t="inlineStr">
        <is>
          <t>C₄H₈Cl₂ (berat)</t>
        </is>
      </c>
      <c r="B37" s="189">
        <f>C37/C$38</f>
        <v>0.005262954904245472</v>
      </c>
      <c r="C37" s="215">
        <f>E37*'Data Komponen'!$D$23</f>
        <v>393.10760637872266</v>
      </c>
      <c r="D37" s="189">
        <f>E37/E$38</f>
        <v>0.004104704990915194</v>
      </c>
      <c r="E37" s="216">
        <f>'NME-4 Kolom Ringan'!Q37</f>
        <v>3.095018670362267</v>
      </c>
      <c r="F37" s="189">
        <f>G37/G$38</f>
        <v>0.0</v>
      </c>
      <c r="G37" s="215">
        <f>I37*'Data Komponen'!$D$23</f>
        <v>0.0</v>
      </c>
      <c r="H37" s="189">
        <f>I37/I$38</f>
        <v>0.0</v>
      </c>
      <c r="I37" s="216">
        <f>0</f>
        <v>0.0</v>
      </c>
      <c r="J37" s="189">
        <f>K37/K$38</f>
        <v>0.894216963825189</v>
      </c>
      <c r="K37" s="215">
        <f>M37*'Data Komponen'!$D$23</f>
        <v>393.10760637872266</v>
      </c>
      <c r="L37" s="189">
        <f>M37/M$38</f>
        <v>0.872404010569036</v>
      </c>
      <c r="M37" s="216">
        <f>E37</f>
        <v>3.095018670362267</v>
      </c>
    </row>
    <row r="38">
      <c r="A38" s="162" t="inlineStr">
        <is>
          <t>Sub Total</t>
        </is>
      </c>
      <c r="B38" s="189">
        <f>SUM(B17:B37)</f>
        <v>1.0</v>
      </c>
      <c r="C38" s="215">
        <f>SUM(C17:C37)</f>
        <v>74693.32599859714</v>
      </c>
      <c r="D38" s="189">
        <f>SUM(D17:D37)</f>
        <v>1.0</v>
      </c>
      <c r="E38" s="216">
        <f>SUM(E17:E37)</f>
        <v>754.0173233429365</v>
      </c>
      <c r="F38" s="189">
        <f>SUM(F17:F37)</f>
        <v>1.0</v>
      </c>
      <c r="G38" s="215">
        <f>SUM(G17:G37)</f>
        <v>74253.71500676678</v>
      </c>
      <c r="H38" s="189">
        <f>SUM(H17:H37)</f>
        <v>1.0</v>
      </c>
      <c r="I38" s="216">
        <f>SUM(I17:I37)</f>
        <v>750.4696337027393</v>
      </c>
      <c r="J38" s="189">
        <f>SUM(J17:J37)</f>
        <v>1.0</v>
      </c>
      <c r="K38" s="215">
        <f>SUM(K17:K37)</f>
        <v>439.610991830358</v>
      </c>
      <c r="L38" s="189">
        <f>SUM(L17:L37)</f>
        <v>1.0</v>
      </c>
      <c r="M38" s="216">
        <f>SUM(M17:M37)</f>
        <v>3.547689640197211</v>
      </c>
    </row>
    <row r="39">
      <c r="A39" s="162" t="inlineStr">
        <is>
          <t>TOTAL MASSA</t>
        </is>
      </c>
      <c r="B39" s="215">
        <f>C38</f>
        <v>74693.32599859714</v>
      </c>
      <c r="C39" s="210" t="n"/>
      <c r="D39" s="210" t="n"/>
      <c r="E39" s="211" t="n"/>
      <c r="F39" s="215">
        <f>G38+K38</f>
        <v>74693.32599859714</v>
      </c>
      <c r="G39" s="210" t="n"/>
      <c r="H39" s="210" t="n"/>
      <c r="I39" s="210" t="n"/>
      <c r="J39" s="210" t="n"/>
      <c r="K39" s="210" t="n"/>
      <c r="L39" s="210" t="n"/>
      <c r="M39" s="211" t="n"/>
    </row>
    <row r="40">
      <c r="A40" s="162" t="inlineStr">
        <is>
          <t>Selisih (Inlet − Outlet), kg/h</t>
        </is>
      </c>
      <c r="B40" s="215">
        <f>B39-F39</f>
        <v>0.0</v>
      </c>
      <c r="C40" s="210" t="n"/>
      <c r="D40" s="210" t="n"/>
      <c r="E40" s="210" t="n"/>
      <c r="F40" s="210" t="n"/>
      <c r="G40" s="210" t="n"/>
      <c r="H40" s="210" t="n"/>
      <c r="I40" s="210" t="n"/>
      <c r="J40" s="210" t="n"/>
      <c r="K40" s="210" t="n"/>
      <c r="L40" s="210" t="n"/>
      <c r="M40" s="211" t="n"/>
    </row>
    <row r="43">
      <c r="A43" s="169" t="inlineStr">
        <is>
          <t>Neraca Energi P-103: Pompa umpan kolom berat</t>
        </is>
      </c>
    </row>
    <row r="44">
      <c r="A44" s="187" t="inlineStr">
        <is>
          <t>Reference state: H₂O, EDC, TCE, C₄H₈Cl₂ (berat) fasa liquid @ 25°C, 1 bar; VCM fasa gas @ 25°C, 1 bar; FeCl₃ fasa solid @ 25°C, 1 bar</t>
        </is>
      </c>
    </row>
    <row r="45">
      <c r="A45" s="162" t="inlineStr">
        <is>
          <t>No. aliran PFD</t>
        </is>
      </c>
      <c r="B45" s="162" t="n">
        <v>33</v>
      </c>
      <c r="C45" s="211" t="n"/>
      <c r="D45" s="162" t="n">
        <v>34</v>
      </c>
      <c r="E45" s="211" t="n"/>
    </row>
    <row r="46">
      <c r="A46" s="162" t="inlineStr">
        <is>
          <t>Dari</t>
        </is>
      </c>
      <c r="B46" s="172" t="inlineStr">
        <is>
          <t>KD-101</t>
        </is>
      </c>
      <c r="C46" s="211" t="n"/>
      <c r="D46" s="172" t="inlineStr">
        <is>
          <t>P-103</t>
        </is>
      </c>
      <c r="E46" s="211" t="n"/>
    </row>
    <row r="47">
      <c r="A47" s="162" t="inlineStr">
        <is>
          <t>Ke</t>
        </is>
      </c>
      <c r="B47" s="172" t="inlineStr">
        <is>
          <t>P-103</t>
        </is>
      </c>
      <c r="C47" s="211" t="n"/>
      <c r="D47" s="172" t="inlineStr">
        <is>
          <t>KD-102</t>
        </is>
      </c>
      <c r="E47" s="211" t="n"/>
    </row>
    <row r="48">
      <c r="A48" s="162" t="inlineStr">
        <is>
          <t>T (K)</t>
        </is>
      </c>
      <c r="B48" s="185">
        <f>'NME-4 Kolom Ringan'!$H$156</f>
        <v>356.59</v>
      </c>
      <c r="C48" s="211" t="n"/>
      <c r="D48" s="185">
        <f>IFERROR(IF(D48&lt;100,$B$48,D48+(B64-D60)/(SUM(D54:D59)*('Data Termo'!$J$20+'Data Termo'!$K$20*D48+'Data Termo'!$L$20*D48^2+'Data Termo'!$M$20*D48^3))),$B$48)</f>
        <v>356.73338508961376</v>
      </c>
      <c r="E48" s="211" t="n"/>
    </row>
    <row r="49">
      <c r="A49" s="162" t="inlineStr">
        <is>
          <t>T (°C)</t>
        </is>
      </c>
      <c r="B49" s="185">
        <f>'NME-4 Kolom Ringan'!$H$157</f>
        <v>83.44</v>
      </c>
      <c r="C49" s="211" t="n"/>
      <c r="D49" s="185">
        <f>IF(ISNUMBER(D48),D48-273.15,"-")</f>
        <v>83.58338508961378</v>
      </c>
      <c r="E49" s="211" t="n"/>
    </row>
    <row r="50">
      <c r="A50" s="162" t="inlineStr">
        <is>
          <t>P (bar abs)</t>
        </is>
      </c>
      <c r="B50" s="190">
        <f>'NME-4 Kolom Ringan'!$H$158</f>
        <v>1.01325</v>
      </c>
      <c r="C50" s="211" t="n"/>
      <c r="D50" s="190" t="n">
        <v>2.75</v>
      </c>
      <c r="E50" s="211" t="n"/>
    </row>
    <row r="51">
      <c r="A51" s="162" t="inlineStr">
        <is>
          <t>Substance</t>
        </is>
      </c>
      <c r="B51" s="162" t="inlineStr">
        <is>
          <t>INLET</t>
        </is>
      </c>
      <c r="C51" s="211" t="n"/>
      <c r="D51" s="162" t="inlineStr">
        <is>
          <t>OUTLET</t>
        </is>
      </c>
      <c r="E51" s="211" t="n"/>
    </row>
    <row r="52">
      <c r="A52" s="212" t="n"/>
      <c r="B52" s="162" t="inlineStr">
        <is>
          <t>Aliran 33</t>
        </is>
      </c>
      <c r="C52" s="211" t="n"/>
      <c r="D52" s="162" t="inlineStr">
        <is>
          <t>Aliran 34</t>
        </is>
      </c>
      <c r="E52" s="211" t="n"/>
    </row>
    <row r="53">
      <c r="A53" s="213" t="n"/>
      <c r="B53" s="162" t="inlineStr">
        <is>
          <t>ṅᵢ (kmol/h)</t>
        </is>
      </c>
      <c r="C53" s="162" t="inlineStr">
        <is>
          <t>Ĥᵢ (kJ/kmol)</t>
        </is>
      </c>
      <c r="D53" s="162" t="inlineStr">
        <is>
          <t>ṅᵢ (kmol/h)</t>
        </is>
      </c>
      <c r="E53" s="162" t="inlineStr">
        <is>
          <t>Ĥᵢ (kJ/kmol)</t>
        </is>
      </c>
    </row>
    <row r="54">
      <c r="A54" s="163" t="inlineStr">
        <is>
          <t>H₂O (l)</t>
        </is>
      </c>
      <c r="B54" s="216">
        <f>'NME-4 Kolom Ringan'!Q23</f>
        <v>0.14511609269780668</v>
      </c>
      <c r="C54" s="217">
        <f>('Data Termo'!$J$12*($B$48-298.15)+'Data Termo'!$K$12/2*($B$48^2-298.15^2)+'Data Termo'!$L$12/3*($B$48^3-298.15^3)+'Data Termo'!$M$12/4*($B$48^4-298.15^4))</f>
        <v>4395.041391071417</v>
      </c>
      <c r="D54" s="216">
        <f>E23</f>
        <v>0.14511609269780668</v>
      </c>
      <c r="E54" s="217">
        <f>('Data Termo'!$J$12*($D$48-298.15)+'Data Termo'!$K$12/2*($D$48^2-298.15^2)+'Data Termo'!$L$12/3*($D$48^3-298.15^3)+'Data Termo'!$M$12/4*($D$48^4-298.15^4))</f>
        <v>4405.826473947907</v>
      </c>
    </row>
    <row r="55">
      <c r="A55" s="163" t="inlineStr">
        <is>
          <t>EDC (l)</t>
        </is>
      </c>
      <c r="B55" s="216">
        <f>'NME-4 Kolom Ringan'!Q31</f>
        <v>750.7112897886648</v>
      </c>
      <c r="C55" s="217">
        <f>('Data Termo'!$J$20*($B$48-298.15)+'Data Termo'!$K$20/2*($B$48^2-298.15^2)+'Data Termo'!$L$20/3*($B$48^3-298.15^3)+'Data Termo'!$M$20/4*($B$48^4-298.15^4))</f>
        <v>7785.338844978988</v>
      </c>
      <c r="D55" s="216">
        <f>E31</f>
        <v>750.7112897886648</v>
      </c>
      <c r="E55" s="217">
        <f>('Data Termo'!$J$20*($D$48-298.15)+'Data Termo'!$K$20/2*($D$48^2-298.15^2)+'Data Termo'!$L$20/3*($D$48^3-298.15^3)+'Data Termo'!$M$20/4*($D$48^4-298.15^4))</f>
        <v>7805.13627022842</v>
      </c>
    </row>
    <row r="56">
      <c r="A56" s="163" t="inlineStr">
        <is>
          <t>TCE (l)</t>
        </is>
      </c>
      <c r="B56" s="216">
        <f>'NME-4 Kolom Ringan'!Q32</f>
        <v>0.05318669990688233</v>
      </c>
      <c r="C56" s="217">
        <f>('Data Termo'!$J$21*($B$48-298.15)+'Data Termo'!$K$21/2*($B$48^2-298.15^2)+'Data Termo'!$L$21/3*($B$48^3-298.15^3)+'Data Termo'!$M$21/4*($B$48^4-298.15^4))</f>
        <v>9145.553680082052</v>
      </c>
      <c r="D56" s="216">
        <f>E32</f>
        <v>0.05318669990688233</v>
      </c>
      <c r="E56" s="217">
        <f>('Data Termo'!$J$21*($D$48-298.15)+'Data Termo'!$K$21/2*($D$48^2-298.15^2)+'Data Termo'!$L$21/3*($D$48^3-298.15^3)+'Data Termo'!$M$21/4*($D$48^4-298.15^4))</f>
        <v>9168.759925487419</v>
      </c>
    </row>
    <row r="57">
      <c r="A57" s="163" t="inlineStr">
        <is>
          <t>FeCl₃ (s)</t>
        </is>
      </c>
      <c r="B57" s="216">
        <f>'NME-4 Kolom Ringan'!Q34</f>
        <v>0.0007607767029859938</v>
      </c>
      <c r="C57" s="217">
        <f>('Data Termo'!$N$23*($B$48-298.15)+'Data Termo'!$O$23/2*($B$48^2-298.15^2)+'Data Termo'!$P$23/3*($B$48^3-298.15^3))</f>
        <v>5920.543228804779</v>
      </c>
      <c r="D57" s="216">
        <f>E34</f>
        <v>0.0007607767029859938</v>
      </c>
      <c r="E57" s="217">
        <f>('Data Termo'!$N$23*($D$48-298.15)+'Data Termo'!$O$23/2*($D$48^2-298.15^2)+'Data Termo'!$P$23/3*($D$48^3-298.15^3))</f>
        <v>5935.6084436679785</v>
      </c>
    </row>
    <row r="58">
      <c r="A58" s="163" t="inlineStr">
        <is>
          <t>VCM (l)</t>
        </is>
      </c>
      <c r="B58" s="216">
        <f>'NME-4 Kolom Ringan'!Q36</f>
        <v>0.011951314601842957</v>
      </c>
      <c r="C58" s="217">
        <f>-'Data Termo'!$V$25+('Data Termo'!$J$25*($B$48-298.15)+'Data Termo'!$K$25/2*($B$48^2-298.15^2)+'Data Termo'!$L$25/3*($B$48^3-298.15^3)+'Data Termo'!$M$25/4*($B$48^4-298.15^4))</f>
        <v>-14819.433777893064</v>
      </c>
      <c r="D58" s="216">
        <f>E36</f>
        <v>0.011951314601842957</v>
      </c>
      <c r="E58" s="217">
        <f>-'Data Termo'!$V$25+('Data Termo'!$J$25*($D$48-298.15)+'Data Termo'!$K$25/2*($D$48^2-298.15^2)+'Data Termo'!$L$25/3*($D$48^3-298.15^3)+'Data Termo'!$M$25/4*($D$48^4-298.15^4))</f>
        <v>-14805.169143130652</v>
      </c>
    </row>
    <row r="59">
      <c r="A59" s="163" t="inlineStr">
        <is>
          <t>C₄H₈Cl₂ (berat) (l)</t>
        </is>
      </c>
      <c r="B59" s="216">
        <f>'NME-4 Kolom Ringan'!Q37</f>
        <v>3.095018670362267</v>
      </c>
      <c r="C59" s="217">
        <f>('Data Termo'!$J$26*($B$48-298.15)+'Data Termo'!$K$26/2*($B$48^2-298.15^2)+'Data Termo'!$L$26/3*($B$48^3-298.15^3)+'Data Termo'!$M$26/4*($B$48^4-298.15^4))</f>
        <v>11075.048794750957</v>
      </c>
      <c r="D59" s="216">
        <f>E37</f>
        <v>3.095018670362267</v>
      </c>
      <c r="E59" s="217">
        <f>('Data Termo'!$J$26*($D$48-298.15)+'Data Termo'!$K$26/2*($D$48^2-298.15^2)+'Data Termo'!$L$26/3*($D$48^3-298.15^3)+'Data Termo'!$M$26/4*($D$48^4-298.15^4))</f>
        <v>11103.008823835175</v>
      </c>
    </row>
    <row r="60">
      <c r="A60" s="200" t="inlineStr">
        <is>
          <t>Sub Total ṅᵢĤᵢ (kJ/h)</t>
        </is>
      </c>
      <c r="B60" s="218">
        <f>SUMPRODUCT(B54:B59,C54:C59)</f>
        <v>5879770.854099937</v>
      </c>
      <c r="C60" s="211" t="n"/>
      <c r="D60" s="218">
        <f>SUMPRODUCT(D54:D59,E54:E59)</f>
        <v>5894722.522850569</v>
      </c>
      <c r="E60" s="211" t="n"/>
    </row>
    <row r="61">
      <c r="A61" s="163" t="inlineStr">
        <is>
          <t>Heat of reaction / heat of mixing (kJ/h)</t>
        </is>
      </c>
      <c r="B61" s="219" t="inlineStr">
        <is>
          <t>-</t>
        </is>
      </c>
      <c r="C61" s="211" t="n"/>
      <c r="D61" s="220" t="inlineStr">
        <is>
          <t>-</t>
        </is>
      </c>
      <c r="E61" s="211" t="n"/>
    </row>
    <row r="62">
      <c r="A62" s="200" t="inlineStr">
        <is>
          <t>Q (kJ/h)</t>
        </is>
      </c>
      <c r="B62" s="218" t="n">
        <v>0</v>
      </c>
      <c r="C62" s="210" t="n"/>
      <c r="D62" s="210" t="n"/>
      <c r="E62" s="211" t="n"/>
    </row>
    <row r="63">
      <c r="A63" s="200" t="inlineStr">
        <is>
          <t>W (kJ/h)</t>
        </is>
      </c>
      <c r="B63" s="218">
        <f>'NME-4 Kolom Ringan'!O38/(1000*'Data Termo'!$D$33*'Data Termo'!$D$34^(-((1-$B$48/'Data Termo'!$D$36)^'Data Termo'!$D$35)))*MAX(0,($D$50-$B$50)*100)/$B$10</f>
        <v>14951.668750638186</v>
      </c>
      <c r="C63" s="210" t="n"/>
      <c r="D63" s="210" t="n"/>
      <c r="E63" s="211" t="n"/>
    </row>
    <row r="64">
      <c r="A64" s="200" t="inlineStr">
        <is>
          <t>TOTAL (kJ/h)</t>
        </is>
      </c>
      <c r="B64" s="218">
        <f>B60+$B$62+$B$63</f>
        <v>5894722.522850575</v>
      </c>
      <c r="C64" s="211" t="n"/>
      <c r="D64" s="218">
        <f>(D60)</f>
        <v>5894722.522850569</v>
      </c>
      <c r="E64" s="211" t="n"/>
    </row>
    <row r="65">
      <c r="A65" s="163" t="inlineStr">
        <is>
          <t>Selisih masuk − keluar (kJ/h)</t>
        </is>
      </c>
      <c r="B65" s="217">
        <f>B64-D64</f>
        <v>5.587935447692871e-09</v>
      </c>
      <c r="C65" s="210" t="n"/>
      <c r="D65" s="210" t="n"/>
      <c r="E65" s="211" t="n"/>
    </row>
    <row r="66">
      <c r="A66" s="163" t="inlineStr">
        <is>
          <t>Q (kW)</t>
        </is>
      </c>
      <c r="B66" s="217">
        <f>$B$62/3600</f>
        <v>0.0</v>
      </c>
      <c r="C66" s="210" t="n"/>
      <c r="D66" s="210" t="n"/>
      <c r="E66" s="211" t="n"/>
    </row>
    <row r="67">
      <c r="A67" s="163" t="inlineStr">
        <is>
          <t>W (kW)</t>
        </is>
      </c>
      <c r="B67" s="217">
        <f>$B$63/3600</f>
        <v>4.153241319621718</v>
      </c>
      <c r="C67" s="210" t="n"/>
      <c r="D67" s="210" t="n"/>
      <c r="E67" s="211" t="n"/>
    </row>
    <row r="70">
      <c r="A70" s="169" t="inlineStr">
        <is>
          <t>Neraca Energi KD-102: Kolom berat (kondensor dan reboiler)</t>
        </is>
      </c>
    </row>
    <row r="71">
      <c r="A71" s="187" t="inlineStr">
        <is>
          <t>Reference state: H₂O, EDC, TCE, C₄H₈Cl₂ (berat) fasa liquid @ 25°C, 1 bar; VCM fasa gas @ 25°C, 1 bar; FeCl₃ fasa solid @ 25°C, 1 bar</t>
        </is>
      </c>
    </row>
    <row r="72">
      <c r="A72" s="162" t="inlineStr">
        <is>
          <t>No. aliran PFD</t>
        </is>
      </c>
      <c r="B72" s="162" t="n">
        <v>34</v>
      </c>
      <c r="C72" s="211" t="n"/>
      <c r="D72" s="162" t="n">
        <v>35</v>
      </c>
      <c r="E72" s="211" t="n"/>
      <c r="F72" s="162" t="n">
        <v>36</v>
      </c>
      <c r="G72" s="211" t="n"/>
    </row>
    <row r="73">
      <c r="A73" s="162" t="inlineStr">
        <is>
          <t>Dari</t>
        </is>
      </c>
      <c r="B73" s="172" t="inlineStr">
        <is>
          <t>P-103</t>
        </is>
      </c>
      <c r="C73" s="211" t="n"/>
      <c r="D73" s="172" t="inlineStr">
        <is>
          <t>KD-102</t>
        </is>
      </c>
      <c r="E73" s="211" t="n"/>
      <c r="F73" s="172" t="inlineStr">
        <is>
          <t>KD-102</t>
        </is>
      </c>
      <c r="G73" s="211" t="n"/>
    </row>
    <row r="74">
      <c r="A74" s="162" t="inlineStr">
        <is>
          <t>Ke</t>
        </is>
      </c>
      <c r="B74" s="172" t="inlineStr">
        <is>
          <t>KD-102</t>
        </is>
      </c>
      <c r="C74" s="211" t="n"/>
      <c r="D74" s="172" t="inlineStr">
        <is>
          <t>UPL</t>
        </is>
      </c>
      <c r="E74" s="211" t="n"/>
      <c r="F74" s="172" t="inlineStr">
        <is>
          <t>P-104</t>
        </is>
      </c>
      <c r="G74" s="211" t="n"/>
    </row>
    <row r="75">
      <c r="A75" s="162" t="inlineStr">
        <is>
          <t>T (K)</t>
        </is>
      </c>
      <c r="B75" s="185">
        <f>$D$48</f>
        <v>356.73338508961376</v>
      </c>
      <c r="C75" s="211" t="n"/>
      <c r="D75" s="185">
        <f>D76+273.15</f>
        <v>400.15</v>
      </c>
      <c r="E75" s="211" t="n"/>
      <c r="F75" s="185">
        <f>F76+273.15</f>
        <v>391.15</v>
      </c>
      <c r="G75" s="211" t="n"/>
    </row>
    <row r="76">
      <c r="A76" s="162" t="inlineStr">
        <is>
          <t>T (°C)</t>
        </is>
      </c>
      <c r="B76" s="185">
        <f>$D$49</f>
        <v>83.58338508961378</v>
      </c>
      <c r="C76" s="211" t="n"/>
      <c r="D76" s="185" t="n">
        <v>127</v>
      </c>
      <c r="E76" s="211" t="n"/>
      <c r="F76" s="185" t="n">
        <v>118</v>
      </c>
      <c r="G76" s="211" t="n"/>
    </row>
    <row r="77">
      <c r="A77" s="162" t="inlineStr">
        <is>
          <t>P (bar abs)</t>
        </is>
      </c>
      <c r="B77" s="190">
        <f>$D$50</f>
        <v>2.75</v>
      </c>
      <c r="C77" s="211" t="n"/>
      <c r="D77" s="190" t="n">
        <v>3</v>
      </c>
      <c r="E77" s="211" t="n"/>
      <c r="F77" s="190" t="n">
        <v>2.5</v>
      </c>
      <c r="G77" s="211" t="n"/>
    </row>
    <row r="78">
      <c r="A78" s="162" t="inlineStr">
        <is>
          <t>Substance</t>
        </is>
      </c>
      <c r="B78" s="162" t="inlineStr">
        <is>
          <t>INLET</t>
        </is>
      </c>
      <c r="C78" s="211" t="n"/>
      <c r="D78" s="162" t="inlineStr">
        <is>
          <t>OUTLET</t>
        </is>
      </c>
      <c r="E78" s="210" t="n"/>
      <c r="F78" s="210" t="n"/>
      <c r="G78" s="211" t="n"/>
    </row>
    <row r="79">
      <c r="A79" s="212" t="n"/>
      <c r="B79" s="162" t="inlineStr">
        <is>
          <t>Aliran 34</t>
        </is>
      </c>
      <c r="C79" s="211" t="n"/>
      <c r="D79" s="162" t="inlineStr">
        <is>
          <t>Aliran 35</t>
        </is>
      </c>
      <c r="E79" s="211" t="n"/>
      <c r="F79" s="162" t="inlineStr">
        <is>
          <t>Aliran 36</t>
        </is>
      </c>
      <c r="G79" s="211" t="n"/>
    </row>
    <row r="80">
      <c r="A80" s="213" t="n"/>
      <c r="B80" s="162" t="inlineStr">
        <is>
          <t>ṅᵢ (kmol/h)</t>
        </is>
      </c>
      <c r="C80" s="162" t="inlineStr">
        <is>
          <t>Ĥᵢ (kJ/kmol)</t>
        </is>
      </c>
      <c r="D80" s="162" t="inlineStr">
        <is>
          <t>ṅᵢ (kmol/h)</t>
        </is>
      </c>
      <c r="E80" s="162" t="inlineStr">
        <is>
          <t>Ĥᵢ (kJ/kmol)</t>
        </is>
      </c>
      <c r="F80" s="162" t="inlineStr">
        <is>
          <t>ṅᵢ (kmol/h)</t>
        </is>
      </c>
      <c r="G80" s="162" t="inlineStr">
        <is>
          <t>Ĥᵢ (kJ/kmol)</t>
        </is>
      </c>
    </row>
    <row r="81">
      <c r="A81" s="163" t="inlineStr">
        <is>
          <t>H₂O (l)</t>
        </is>
      </c>
      <c r="B81" s="216">
        <f>E23</f>
        <v>0.14511609269780668</v>
      </c>
      <c r="C81" s="217">
        <f>('Data Termo'!$J$12*($B$75-298.15)+'Data Termo'!$K$12/2*($B$75^2-298.15^2)+'Data Termo'!$L$12/3*($B$75^3-298.15^3)+'Data Termo'!$M$12/4*($B$75^4-298.15^4))</f>
        <v>4405.826473947907</v>
      </c>
      <c r="D81" s="216">
        <f>M23</f>
        <v>0.0</v>
      </c>
      <c r="E81" s="217">
        <f>('Data Termo'!$J$12*($D$75-298.15)+'Data Termo'!$K$12/2*($D$75^2-298.15^2)+'Data Termo'!$L$12/3*($D$75^3-298.15^3)+'Data Termo'!$M$12/4*($D$75^4-298.15^4))</f>
        <v>7694.72400171237</v>
      </c>
      <c r="F81" s="216">
        <f>I23</f>
        <v>0.14511609269780668</v>
      </c>
      <c r="G81" s="217">
        <f>('Data Termo'!$J$12*($F$75-298.15)+'Data Termo'!$K$12/2*($F$75^2-298.15^2)+'Data Termo'!$L$12/3*($F$75^3-298.15^3)+'Data Termo'!$M$12/4*($F$75^4-298.15^4))</f>
        <v>7007.755165900366</v>
      </c>
    </row>
    <row r="82">
      <c r="A82" s="163" t="inlineStr">
        <is>
          <t>EDC (l)</t>
        </is>
      </c>
      <c r="B82" s="216">
        <f>E31</f>
        <v>750.7112897886648</v>
      </c>
      <c r="C82" s="217">
        <f>('Data Termo'!$J$20*($B$75-298.15)+'Data Termo'!$K$20/2*($B$75^2-298.15^2)+'Data Termo'!$L$20/3*($B$75^3-298.15^3)+'Data Termo'!$M$20/4*($B$75^4-298.15^4))</f>
        <v>7805.13627022842</v>
      </c>
      <c r="D82" s="216">
        <f>M31</f>
        <v>0.4037333372163042</v>
      </c>
      <c r="E82" s="217">
        <f>('Data Termo'!$J$20*($D$75-298.15)+'Data Termo'!$K$20/2*($D$75^2-298.15^2)+'Data Termo'!$L$20/3*($D$75^3-298.15^3)+'Data Termo'!$M$20/4*($D$75^4-298.15^4))</f>
        <v>13990.92684186801</v>
      </c>
      <c r="F82" s="216">
        <f>I31</f>
        <v>750.3075564514485</v>
      </c>
      <c r="G82" s="217">
        <f>('Data Termo'!$J$20*($F$75-298.15)+'Data Termo'!$K$20/2*($F$75^2-298.15^2)+'Data Termo'!$L$20/3*($F$75^3-298.15^3)+'Data Termo'!$M$20/4*($F$75^4-298.15^4))</f>
        <v>12674.771160309112</v>
      </c>
    </row>
    <row r="83">
      <c r="A83" s="163" t="inlineStr">
        <is>
          <t>TCE (l)</t>
        </is>
      </c>
      <c r="B83" s="216">
        <f>E32</f>
        <v>0.05318669990688233</v>
      </c>
      <c r="C83" s="217">
        <f>('Data Termo'!$J$21*($B$75-298.15)+'Data Termo'!$K$21/2*($B$75^2-298.15^2)+'Data Termo'!$L$21/3*($B$75^3-298.15^3)+'Data Termo'!$M$21/4*($B$75^4-298.15^4))</f>
        <v>9168.759925487419</v>
      </c>
      <c r="D83" s="216">
        <f>M32</f>
        <v>0.04817685591565341</v>
      </c>
      <c r="E83" s="217">
        <f>('Data Termo'!$J$21*($D$75-298.15)+'Data Termo'!$K$21/2*($D$75^2-298.15^2)+'Data Termo'!$L$21/3*($D$75^3-298.15^3)+'Data Termo'!$M$21/4*($D$75^4-298.15^4))</f>
        <v>16398.524273445677</v>
      </c>
      <c r="F83" s="216">
        <f>I32</f>
        <v>0.005009843991228917</v>
      </c>
      <c r="G83" s="217">
        <f>('Data Termo'!$J$21*($F$75-298.15)+'Data Termo'!$K$21/2*($F$75^2-298.15^2)+'Data Termo'!$L$21/3*($F$75^3-298.15^3)+'Data Termo'!$M$21/4*($F$75^4-298.15^4))</f>
        <v>14864.257807283402</v>
      </c>
    </row>
    <row r="84">
      <c r="A84" s="163" t="inlineStr">
        <is>
          <t>FeCl₃ (s)</t>
        </is>
      </c>
      <c r="B84" s="216">
        <f>E34</f>
        <v>0.0007607767029859938</v>
      </c>
      <c r="C84" s="217">
        <f>('Data Termo'!$N$23*($B$75-298.15)+'Data Termo'!$O$23/2*($B$75^2-298.15^2)+'Data Termo'!$P$23/3*($B$75^3-298.15^3))</f>
        <v>5935.6084436679785</v>
      </c>
      <c r="D84" s="216">
        <f>M34</f>
        <v>0.0007607767029859938</v>
      </c>
      <c r="E84" s="217">
        <f>('Data Termo'!$N$23*($D$75-298.15)+'Data Termo'!$O$23/2*($D$75^2-298.15^2)+'Data Termo'!$P$23/3*($D$75^3-298.15^3))</f>
        <v>10605.313879941752</v>
      </c>
      <c r="F84" s="216">
        <f>I34</f>
        <v>0.0</v>
      </c>
      <c r="G84" s="217">
        <f>('Data Termo'!$N$23*($F$75-298.15)+'Data Termo'!$O$23/2*($F$75^2-298.15^2)+'Data Termo'!$P$23/3*($F$75^3-298.15^3))</f>
        <v>9620.363876177624</v>
      </c>
    </row>
    <row r="85">
      <c r="A85" s="163" t="inlineStr">
        <is>
          <t>VCM (l)</t>
        </is>
      </c>
      <c r="B85" s="216">
        <f>E36</f>
        <v>0.011951314601842957</v>
      </c>
      <c r="C85" s="217">
        <f>-'Data Termo'!$V$25+('Data Termo'!$J$25*($B$75-298.15)+'Data Termo'!$K$25/2*($B$75^2-298.15^2)+'Data Termo'!$L$25/3*($B$75^3-298.15^3)+'Data Termo'!$M$25/4*($B$75^4-298.15^4))</f>
        <v>-14805.169143130652</v>
      </c>
      <c r="D85" s="216">
        <f>M36</f>
        <v>0.0</v>
      </c>
      <c r="E85" s="217">
        <f>-'Data Termo'!$V$25+('Data Termo'!$J$25*($D$75-298.15)+'Data Termo'!$K$25/2*($D$75^2-298.15^2)+'Data Termo'!$L$25/3*($D$75^3-298.15^3)+'Data Termo'!$M$25/4*($D$75^4-298.15^4))</f>
        <v>-10177.132415172478</v>
      </c>
      <c r="F85" s="216">
        <f>I36</f>
        <v>0.011951314601842957</v>
      </c>
      <c r="G85" s="217">
        <f>-'Data Termo'!$V$25+('Data Termo'!$J$25*($F$75-298.15)+'Data Termo'!$K$25/2*($F$75^2-298.15^2)+'Data Termo'!$L$25/3*($F$75^3-298.15^3)+'Data Termo'!$M$25/4*($F$75^4-298.15^4))</f>
        <v>-11191.659245036271</v>
      </c>
    </row>
    <row r="86">
      <c r="A86" s="163" t="inlineStr">
        <is>
          <t>C₄H₈Cl₂ (berat) (l)</t>
        </is>
      </c>
      <c r="B86" s="216">
        <f>E37</f>
        <v>3.095018670362267</v>
      </c>
      <c r="C86" s="217">
        <f>('Data Termo'!$J$26*($B$75-298.15)+'Data Termo'!$K$26/2*($B$75^2-298.15^2)+'Data Termo'!$L$26/3*($B$75^3-298.15^3)+'Data Termo'!$M$26/4*($B$75^4-298.15^4))</f>
        <v>11103.008823835175</v>
      </c>
      <c r="D86" s="216">
        <f>M37</f>
        <v>3.095018670362267</v>
      </c>
      <c r="E86" s="217">
        <f>('Data Termo'!$J$26*($D$75-298.15)+'Data Termo'!$K$26/2*($D$75^2-298.15^2)+'Data Termo'!$L$26/3*($D$75^3-298.15^3)+'Data Termo'!$M$26/4*($D$75^4-298.15^4))</f>
        <v>19769.826993228595</v>
      </c>
      <c r="F86" s="216">
        <f>I37</f>
        <v>0.0</v>
      </c>
      <c r="G86" s="217">
        <f>('Data Termo'!$J$26*($F$75-298.15)+'Data Termo'!$K$26/2*($F$75^2-298.15^2)+'Data Termo'!$L$26/3*($F$75^3-298.15^3)+'Data Termo'!$M$26/4*($F$75^4-298.15^4))</f>
        <v>17938.495841157237</v>
      </c>
    </row>
    <row r="87">
      <c r="A87" s="200" t="inlineStr">
        <is>
          <t>Sub Total ṅᵢĤᵢ (kJ/h)</t>
        </is>
      </c>
      <c r="B87" s="218">
        <f>SUMPRODUCT(B81:B86,C81:C86)</f>
        <v>5894722.522850569</v>
      </c>
      <c r="C87" s="211" t="n"/>
      <c r="D87" s="218">
        <f>SUMPRODUCT(D81:D86,E81:E86)</f>
        <v>67634.68485536981</v>
      </c>
      <c r="E87" s="211" t="n"/>
      <c r="F87" s="218">
        <f>SUMPRODUCT(F81:F86,G81:G86)</f>
        <v>9510934.228493184</v>
      </c>
      <c r="G87" s="211" t="n"/>
    </row>
    <row r="88">
      <c r="A88" s="163" t="inlineStr">
        <is>
          <t>Heat of reaction / heat of mixing (kJ/h)</t>
        </is>
      </c>
      <c r="B88" s="219" t="inlineStr">
        <is>
          <t>-</t>
        </is>
      </c>
      <c r="C88" s="211" t="n"/>
      <c r="D88" s="220" t="inlineStr">
        <is>
          <t>-</t>
        </is>
      </c>
      <c r="E88" s="210" t="n"/>
      <c r="F88" s="210" t="n"/>
      <c r="G88" s="211" t="n"/>
    </row>
    <row r="89">
      <c r="A89" s="200" t="inlineStr">
        <is>
          <t>Q kondensor (kJ/h)</t>
        </is>
      </c>
      <c r="B89" s="218">
        <f>-(1+$B$9)*(F81*('Data Termo'!$Q$12*1000*MAX(0,1-$F$75/'Data Termo'!$R$12)^'Data Termo'!$S$12)+F82*('Data Termo'!$Q$20*1000*MAX(0,1-$F$75/'Data Termo'!$R$20)^'Data Termo'!$S$20)+F83*('Data Termo'!$Q$21*1000*MAX(0,1-$F$75/'Data Termo'!$R$21)^'Data Termo'!$S$21)+F85*('Data Termo'!$Q$25*1000*MAX(0,1-$F$75/'Data Termo'!$R$25)^'Data Termo'!$S$25))</f>
        <v>-45313162.63915342</v>
      </c>
      <c r="C89" s="210" t="n"/>
      <c r="D89" s="210" t="n"/>
      <c r="E89" s="210" t="n"/>
      <c r="F89" s="210" t="n"/>
      <c r="G89" s="211" t="n"/>
    </row>
    <row r="90">
      <c r="A90" s="200" t="inlineStr">
        <is>
          <t>Q reboiler (kJ/h)</t>
        </is>
      </c>
      <c r="B90" s="218">
        <f>(D87+F87)-(B87)-$B$89</f>
        <v>48997009.0296514</v>
      </c>
      <c r="C90" s="210" t="n"/>
      <c r="D90" s="210" t="n"/>
      <c r="E90" s="210" t="n"/>
      <c r="F90" s="210" t="n"/>
      <c r="G90" s="211" t="n"/>
    </row>
    <row r="91">
      <c r="A91" s="200" t="inlineStr">
        <is>
          <t>W (kJ/h)</t>
        </is>
      </c>
      <c r="B91" s="218" t="n">
        <v>0</v>
      </c>
      <c r="C91" s="210" t="n"/>
      <c r="D91" s="210" t="n"/>
      <c r="E91" s="210" t="n"/>
      <c r="F91" s="210" t="n"/>
      <c r="G91" s="211" t="n"/>
    </row>
    <row r="92">
      <c r="A92" s="200" t="inlineStr">
        <is>
          <t>TOTAL (kJ/h)</t>
        </is>
      </c>
      <c r="B92" s="218">
        <f>B87+$B$89+$B$90+$B$91</f>
        <v>9578568.913348556</v>
      </c>
      <c r="C92" s="211" t="n"/>
      <c r="D92" s="218">
        <f>(D87+F87)</f>
        <v>9578568.913348554</v>
      </c>
      <c r="E92" s="210" t="n"/>
      <c r="F92" s="210" t="n"/>
      <c r="G92" s="211" t="n"/>
    </row>
    <row r="93">
      <c r="A93" s="163" t="inlineStr">
        <is>
          <t>Selisih masuk − keluar (kJ/h)</t>
        </is>
      </c>
      <c r="B93" s="217">
        <f>B92-D92</f>
        <v>1.862645149230957e-09</v>
      </c>
      <c r="C93" s="210" t="n"/>
      <c r="D93" s="210" t="n"/>
      <c r="E93" s="210" t="n"/>
      <c r="F93" s="210" t="n"/>
      <c r="G93" s="211" t="n"/>
    </row>
    <row r="94">
      <c r="A94" s="163" t="inlineStr">
        <is>
          <t>Q kondensor (kW)</t>
        </is>
      </c>
      <c r="B94" s="217">
        <f>$B$89/3600</f>
        <v>-12586.98962198706</v>
      </c>
      <c r="C94" s="210" t="n"/>
      <c r="D94" s="210" t="n"/>
      <c r="E94" s="210" t="n"/>
      <c r="F94" s="210" t="n"/>
      <c r="G94" s="211" t="n"/>
    </row>
    <row r="95">
      <c r="A95" s="163" t="inlineStr">
        <is>
          <t>Q reboiler (kW)</t>
        </is>
      </c>
      <c r="B95" s="217">
        <f>$B$90/3600</f>
        <v>13610.280286014278</v>
      </c>
      <c r="C95" s="210" t="n"/>
      <c r="D95" s="210" t="n"/>
      <c r="E95" s="210" t="n"/>
      <c r="F95" s="210" t="n"/>
      <c r="G95" s="211" t="n"/>
    </row>
    <row r="96">
      <c r="A96" s="163" t="inlineStr">
        <is>
          <t>W (kW)</t>
        </is>
      </c>
      <c r="B96" s="217">
        <f>$B$91/3600</f>
        <v>0.0</v>
      </c>
      <c r="C96" s="210" t="n"/>
      <c r="D96" s="210" t="n"/>
      <c r="E96" s="210" t="n"/>
      <c r="F96" s="210" t="n"/>
      <c r="G96" s="211" t="n"/>
    </row>
  </sheetData>
  <mergeCells count="82">
    <mergeCell ref="D60:E60"/>
    <mergeCell ref="B65:E65"/>
    <mergeCell ref="C7:L7"/>
    <mergeCell ref="D45:E45"/>
    <mergeCell ref="B77:C77"/>
    <mergeCell ref="D77:E77"/>
    <mergeCell ref="B61:C61"/>
    <mergeCell ref="D61:E61"/>
    <mergeCell ref="D48:E48"/>
    <mergeCell ref="F79:G79"/>
    <mergeCell ref="B78:C78"/>
    <mergeCell ref="D72:E72"/>
    <mergeCell ref="F72:G72"/>
    <mergeCell ref="B39:E39"/>
    <mergeCell ref="F15:I15"/>
    <mergeCell ref="B49:C49"/>
    <mergeCell ref="B14:E14"/>
    <mergeCell ref="B64:C64"/>
    <mergeCell ref="D64:E64"/>
    <mergeCell ref="B51:C51"/>
    <mergeCell ref="D73:E73"/>
    <mergeCell ref="D51:E51"/>
    <mergeCell ref="D78:G78"/>
    <mergeCell ref="C12:L12"/>
    <mergeCell ref="A14:A16"/>
    <mergeCell ref="F74:G74"/>
    <mergeCell ref="B63:E63"/>
    <mergeCell ref="D88:G88"/>
    <mergeCell ref="D76:E76"/>
    <mergeCell ref="F76:G76"/>
    <mergeCell ref="D75:E75"/>
    <mergeCell ref="B66:E66"/>
    <mergeCell ref="F75:G75"/>
    <mergeCell ref="D47:E47"/>
    <mergeCell ref="A51:A53"/>
    <mergeCell ref="C10:L10"/>
    <mergeCell ref="B91:G91"/>
    <mergeCell ref="B67:E67"/>
    <mergeCell ref="C9:L9"/>
    <mergeCell ref="B93:G93"/>
    <mergeCell ref="B79:C79"/>
    <mergeCell ref="D79:E79"/>
    <mergeCell ref="F73:G73"/>
    <mergeCell ref="F87:G87"/>
    <mergeCell ref="B72:C72"/>
    <mergeCell ref="B15:E15"/>
    <mergeCell ref="B52:C52"/>
    <mergeCell ref="D52:E52"/>
    <mergeCell ref="D49:E49"/>
    <mergeCell ref="B60:C60"/>
    <mergeCell ref="C6:L6"/>
    <mergeCell ref="B88:C88"/>
    <mergeCell ref="B95:G95"/>
    <mergeCell ref="B89:G89"/>
    <mergeCell ref="B92:C92"/>
    <mergeCell ref="F77:G77"/>
    <mergeCell ref="B90:G90"/>
    <mergeCell ref="B76:C76"/>
    <mergeCell ref="B45:C45"/>
    <mergeCell ref="B5:L5"/>
    <mergeCell ref="B75:C75"/>
    <mergeCell ref="B47:C47"/>
    <mergeCell ref="C8:L8"/>
    <mergeCell ref="D92:G92"/>
    <mergeCell ref="B46:C46"/>
    <mergeCell ref="D46:E46"/>
    <mergeCell ref="B48:C48"/>
    <mergeCell ref="B62:E62"/>
    <mergeCell ref="B40:M40"/>
    <mergeCell ref="B73:C73"/>
    <mergeCell ref="B87:C87"/>
    <mergeCell ref="D87:E87"/>
    <mergeCell ref="B94:G94"/>
    <mergeCell ref="J15:M15"/>
    <mergeCell ref="B74:C74"/>
    <mergeCell ref="A78:A80"/>
    <mergeCell ref="D74:E74"/>
    <mergeCell ref="F39:M39"/>
    <mergeCell ref="B50:C50"/>
    <mergeCell ref="F14:M14"/>
    <mergeCell ref="B96:G96"/>
    <mergeCell ref="D50:E50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3:L148"/>
  <sheetViews>
    <sheetView tabSelected="0" zoomScale="85"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</cols>
  <sheetData>
    <row r="3">
      <c r="A3" s="169" t="inlineStr">
        <is>
          <t>Neraca Massa dan Energi</t>
        </is>
      </c>
    </row>
    <row r="4">
      <c r="A4" s="169" t="inlineStr">
        <is>
          <t>NM Blok 6: Pirolisis EDC (Furnace + Quench)</t>
        </is>
      </c>
    </row>
    <row r="5">
      <c r="A5" s="202" t="inlineStr">
        <is>
          <t>Tujuan:</t>
        </is>
      </c>
      <c r="B5" s="187" t="inlineStr">
        <is>
          <t>Merengkah EDC menjadi VCM dan HCl</t>
        </is>
      </c>
    </row>
    <row r="6">
      <c r="A6" s="202" t="inlineStr">
        <is>
          <t>Unjuk Kerja</t>
        </is>
      </c>
      <c r="B6" s="222" t="n">
        <v>0.55</v>
      </c>
      <c r="C6" s="187" t="inlineStr">
        <is>
          <t>Konversi EDC</t>
        </is>
      </c>
    </row>
    <row r="7">
      <c r="B7" s="222" t="n">
        <v>0.985</v>
      </c>
      <c r="C7" s="187" t="inlineStr">
        <is>
          <t>Selektivitas VCM (sisa EDC terkonversi: 2EDC → C₄H₈Cl₂ + Cl₂)</t>
        </is>
      </c>
    </row>
    <row r="8">
      <c r="B8" s="223" t="n">
        <v>0.75</v>
      </c>
      <c r="C8" s="187" t="inlineStr">
        <is>
          <t>Efisiensi pompa P-104</t>
        </is>
      </c>
    </row>
    <row r="10">
      <c r="A10" s="202" t="inlineStr">
        <is>
          <t>Basis Perhitungan</t>
        </is>
      </c>
      <c r="B10" s="209">
        <f>'NME-1 Klorinasi Langsung'!$B$16</f>
        <v>6100.572183061604</v>
      </c>
      <c r="C10" s="187" t="inlineStr">
        <is>
          <t>kg/h aliran etilena ke R-01 (NME-1)</t>
        </is>
      </c>
    </row>
    <row r="12">
      <c r="A12" s="162" t="inlineStr">
        <is>
          <t>Substance</t>
        </is>
      </c>
      <c r="B12" s="162" t="inlineStr">
        <is>
          <t>Inlet</t>
        </is>
      </c>
      <c r="C12" s="210" t="n"/>
      <c r="D12" s="210" t="n"/>
      <c r="E12" s="211" t="n"/>
      <c r="F12" s="162" t="inlineStr">
        <is>
          <t>Outlet</t>
        </is>
      </c>
      <c r="G12" s="210" t="n"/>
      <c r="H12" s="210" t="n"/>
      <c r="I12" s="211" t="n"/>
    </row>
    <row r="13">
      <c r="A13" s="212" t="n"/>
      <c r="B13" s="162" t="inlineStr">
        <is>
          <t>Aliran 38</t>
        </is>
      </c>
      <c r="C13" s="210" t="n"/>
      <c r="D13" s="210" t="n"/>
      <c r="E13" s="211" t="n"/>
      <c r="F13" s="162" t="inlineStr">
        <is>
          <t>Aliran 39</t>
        </is>
      </c>
      <c r="G13" s="210" t="n"/>
      <c r="H13" s="210" t="n"/>
      <c r="I13" s="211" t="n"/>
    </row>
    <row r="14">
      <c r="A14" s="213" t="n"/>
      <c r="B14" s="214" t="inlineStr">
        <is>
          <t>ẋᵢ</t>
        </is>
      </c>
      <c r="C14" s="214" t="inlineStr">
        <is>
          <t>ṁᵢ (kg/h)</t>
        </is>
      </c>
      <c r="D14" s="214" t="inlineStr">
        <is>
          <t>ẏᵢ</t>
        </is>
      </c>
      <c r="E14" s="214" t="inlineStr">
        <is>
          <t>ṅᵢ (kmol/h)</t>
        </is>
      </c>
      <c r="F14" s="214" t="inlineStr">
        <is>
          <t>ẋᵢ</t>
        </is>
      </c>
      <c r="G14" s="214" t="inlineStr">
        <is>
          <t>ṁᵢ (kg/h)</t>
        </is>
      </c>
      <c r="H14" s="214" t="inlineStr">
        <is>
          <t>ẏᵢ</t>
        </is>
      </c>
      <c r="I14" s="214" t="inlineStr">
        <is>
          <t>ṅᵢ (kmol/h)</t>
        </is>
      </c>
    </row>
    <row r="15">
      <c r="A15" s="163" t="inlineStr">
        <is>
          <t>C₂H₄</t>
        </is>
      </c>
      <c r="B15" s="189">
        <f>C15/C$36</f>
        <v>0.0</v>
      </c>
      <c r="C15" s="215">
        <f>E15*'Data Komponen'!$D$3</f>
        <v>0.0</v>
      </c>
      <c r="D15" s="189">
        <f>E15/E$36</f>
        <v>0.0</v>
      </c>
      <c r="E15" s="216">
        <f>'NME-5 Kolom Berat'!I17</f>
        <v>0.0</v>
      </c>
      <c r="F15" s="189">
        <f>G15/G$36</f>
        <v>0.0</v>
      </c>
      <c r="G15" s="215">
        <f>I15*'Data Komponen'!$D$3</f>
        <v>0.0</v>
      </c>
      <c r="H15" s="189">
        <f>I15/I$36</f>
        <v>0.0</v>
      </c>
      <c r="I15" s="216">
        <f>E15</f>
        <v>0.0</v>
      </c>
    </row>
    <row r="16">
      <c r="A16" s="163" t="inlineStr">
        <is>
          <t>CH₄</t>
        </is>
      </c>
      <c r="B16" s="189">
        <f>C16/C$36</f>
        <v>0.0</v>
      </c>
      <c r="C16" s="215">
        <f>E16*'Data Komponen'!$D$4</f>
        <v>0.0</v>
      </c>
      <c r="D16" s="189">
        <f>E16/E$36</f>
        <v>0.0</v>
      </c>
      <c r="E16" s="216">
        <f>'NME-5 Kolom Berat'!I18</f>
        <v>0.0</v>
      </c>
      <c r="F16" s="189">
        <f>G16/G$36</f>
        <v>0.0</v>
      </c>
      <c r="G16" s="215">
        <f>I16*'Data Komponen'!$D$4</f>
        <v>0.0</v>
      </c>
      <c r="H16" s="189">
        <f>I16/I$36</f>
        <v>0.0</v>
      </c>
      <c r="I16" s="216">
        <f>E16</f>
        <v>0.0</v>
      </c>
    </row>
    <row r="17">
      <c r="A17" s="163" t="inlineStr">
        <is>
          <t>C₂H₆</t>
        </is>
      </c>
      <c r="B17" s="189">
        <f>C17/C$36</f>
        <v>0.0</v>
      </c>
      <c r="C17" s="215">
        <f>E17*'Data Komponen'!$D$5</f>
        <v>0.0</v>
      </c>
      <c r="D17" s="189">
        <f>E17/E$36</f>
        <v>0.0</v>
      </c>
      <c r="E17" s="216">
        <f>'NME-5 Kolom Berat'!I19</f>
        <v>0.0</v>
      </c>
      <c r="F17" s="189">
        <f>G17/G$36</f>
        <v>0.0</v>
      </c>
      <c r="G17" s="215">
        <f>I17*'Data Komponen'!$D$5</f>
        <v>0.0</v>
      </c>
      <c r="H17" s="189">
        <f>I17/I$36</f>
        <v>0.0</v>
      </c>
      <c r="I17" s="216">
        <f>E17</f>
        <v>0.0</v>
      </c>
    </row>
    <row r="18">
      <c r="A18" s="163" t="inlineStr">
        <is>
          <t>C₂H₂</t>
        </is>
      </c>
      <c r="B18" s="189">
        <f>C18/C$36</f>
        <v>0.0</v>
      </c>
      <c r="C18" s="215">
        <f>E18*'Data Komponen'!$D$6</f>
        <v>0.0</v>
      </c>
      <c r="D18" s="189">
        <f>E18/E$36</f>
        <v>0.0</v>
      </c>
      <c r="E18" s="216">
        <f>'NME-5 Kolom Berat'!I20</f>
        <v>0.0</v>
      </c>
      <c r="F18" s="189">
        <f>G18/G$36</f>
        <v>0.0</v>
      </c>
      <c r="G18" s="215">
        <f>I18*'Data Komponen'!$D$6</f>
        <v>0.0</v>
      </c>
      <c r="H18" s="189">
        <f>I18/I$36</f>
        <v>0.0</v>
      </c>
      <c r="I18" s="216">
        <f>E18</f>
        <v>0.0</v>
      </c>
    </row>
    <row r="19">
      <c r="A19" s="163" t="inlineStr">
        <is>
          <t>Cl₂</t>
        </is>
      </c>
      <c r="B19" s="189">
        <f>C19/C$36</f>
        <v>0.0</v>
      </c>
      <c r="C19" s="215">
        <f>E19*'Data Komponen'!$D$7</f>
        <v>0.0</v>
      </c>
      <c r="D19" s="189">
        <f>E19/E$36</f>
        <v>0.0</v>
      </c>
      <c r="E19" s="216">
        <f>'NME-5 Kolom Berat'!I21</f>
        <v>0.0</v>
      </c>
      <c r="F19" s="189">
        <f>G19/G$36</f>
        <v>0.0029554386444104208</v>
      </c>
      <c r="G19" s="215">
        <f>I19*'Data Komponen'!$D$7</f>
        <v>219.45229882203654</v>
      </c>
      <c r="H19" s="189">
        <f>I19/I$36</f>
        <v>0.0026751562365353756</v>
      </c>
      <c r="I19" s="216">
        <f>E19+(1-$B$7)/2*$B$6*E29</f>
        <v>3.095018670362267</v>
      </c>
    </row>
    <row r="20">
      <c r="A20" s="163" t="inlineStr">
        <is>
          <t>CₙHₘ</t>
        </is>
      </c>
      <c r="B20" s="189">
        <f>C20/C$36</f>
        <v>0.0</v>
      </c>
      <c r="C20" s="215">
        <f>E20*'Data Komponen'!$D$8</f>
        <v>0.0</v>
      </c>
      <c r="D20" s="189">
        <f>E20/E$36</f>
        <v>0.0</v>
      </c>
      <c r="E20" s="216">
        <f>'NME-5 Kolom Berat'!I22</f>
        <v>0.0</v>
      </c>
      <c r="F20" s="189">
        <f>G20/G$36</f>
        <v>0.0</v>
      </c>
      <c r="G20" s="215">
        <f>I20*'Data Komponen'!$D$8</f>
        <v>0.0</v>
      </c>
      <c r="H20" s="189">
        <f>I20/I$36</f>
        <v>0.0</v>
      </c>
      <c r="I20" s="216">
        <f>E20</f>
        <v>0.0</v>
      </c>
    </row>
    <row r="21">
      <c r="A21" s="163" t="inlineStr">
        <is>
          <t>H₂O</t>
        </is>
      </c>
      <c r="B21" s="189">
        <f>C21/C$36</f>
        <v>3.520721366887499e-05</v>
      </c>
      <c r="C21" s="215">
        <f>E21*'Data Komponen'!$D$9</f>
        <v>2.614266409950987</v>
      </c>
      <c r="D21" s="189">
        <f>E21/E$36</f>
        <v>0.00019336704135758156</v>
      </c>
      <c r="E21" s="216">
        <f>'NME-5 Kolom Berat'!I23</f>
        <v>0.14511609269780668</v>
      </c>
      <c r="F21" s="189">
        <f>G21/G$36</f>
        <v>3.520721366887499e-05</v>
      </c>
      <c r="G21" s="215">
        <f>I21*'Data Komponen'!$D$9</f>
        <v>2.614266409950987</v>
      </c>
      <c r="H21" s="189">
        <f>I21/I$36</f>
        <v>0.00012543000923375498</v>
      </c>
      <c r="I21" s="216">
        <f>E21</f>
        <v>0.14511609269780668</v>
      </c>
    </row>
    <row r="22">
      <c r="A22" s="163" t="inlineStr">
        <is>
          <t>CₓHᵧCl</t>
        </is>
      </c>
      <c r="B22" s="189">
        <f>C22/C$36</f>
        <v>0.0</v>
      </c>
      <c r="C22" s="215">
        <f>E22*'Data Komponen'!$D$10</f>
        <v>0.0</v>
      </c>
      <c r="D22" s="189">
        <f>E22/E$36</f>
        <v>0.0</v>
      </c>
      <c r="E22" s="216">
        <f>'NME-5 Kolom Berat'!I24</f>
        <v>0.0</v>
      </c>
      <c r="F22" s="189">
        <f>G22/G$36</f>
        <v>0.0</v>
      </c>
      <c r="G22" s="215">
        <f>I22*'Data Komponen'!$D$10</f>
        <v>0.0</v>
      </c>
      <c r="H22" s="189">
        <f>I22/I$36</f>
        <v>0.0</v>
      </c>
      <c r="I22" s="216">
        <f>E22</f>
        <v>0.0</v>
      </c>
    </row>
    <row r="23">
      <c r="A23" s="163" t="inlineStr">
        <is>
          <t>Br₂</t>
        </is>
      </c>
      <c r="B23" s="189">
        <f>C23/C$36</f>
        <v>0.0</v>
      </c>
      <c r="C23" s="215">
        <f>E23*'Data Komponen'!$D$11</f>
        <v>0.0</v>
      </c>
      <c r="D23" s="189">
        <f>E23/E$36</f>
        <v>0.0</v>
      </c>
      <c r="E23" s="216">
        <f>'NME-5 Kolom Berat'!I25</f>
        <v>0.0</v>
      </c>
      <c r="F23" s="189">
        <f>G23/G$36</f>
        <v>0.0</v>
      </c>
      <c r="G23" s="215">
        <f>I23*'Data Komponen'!$D$11</f>
        <v>0.0</v>
      </c>
      <c r="H23" s="189">
        <f>I23/I$36</f>
        <v>0.0</v>
      </c>
      <c r="I23" s="216">
        <f>E23</f>
        <v>0.0</v>
      </c>
    </row>
    <row r="24">
      <c r="A24" s="163" t="inlineStr">
        <is>
          <t>NCl₃</t>
        </is>
      </c>
      <c r="B24" s="189">
        <f>C24/C$36</f>
        <v>0.0</v>
      </c>
      <c r="C24" s="215">
        <f>E24*'Data Komponen'!$D$12</f>
        <v>0.0</v>
      </c>
      <c r="D24" s="189">
        <f>E24/E$36</f>
        <v>0.0</v>
      </c>
      <c r="E24" s="216">
        <f>'NME-5 Kolom Berat'!I26</f>
        <v>0.0</v>
      </c>
      <c r="F24" s="189">
        <f>G24/G$36</f>
        <v>0.0</v>
      </c>
      <c r="G24" s="215">
        <f>I24*'Data Komponen'!$D$12</f>
        <v>0.0</v>
      </c>
      <c r="H24" s="189">
        <f>I24/I$36</f>
        <v>0.0</v>
      </c>
      <c r="I24" s="216">
        <f>E24</f>
        <v>0.0</v>
      </c>
    </row>
    <row r="25">
      <c r="A25" s="163" t="inlineStr">
        <is>
          <t>H₂</t>
        </is>
      </c>
      <c r="B25" s="189">
        <f>C25/C$36</f>
        <v>0.0</v>
      </c>
      <c r="C25" s="215">
        <f>E25*'Data Komponen'!$D$13</f>
        <v>0.0</v>
      </c>
      <c r="D25" s="189">
        <f>E25/E$36</f>
        <v>0.0</v>
      </c>
      <c r="E25" s="216">
        <f>'NME-5 Kolom Berat'!I27</f>
        <v>0.0</v>
      </c>
      <c r="F25" s="189">
        <f>G25/G$36</f>
        <v>0.0</v>
      </c>
      <c r="G25" s="215">
        <f>I25*'Data Komponen'!$D$13</f>
        <v>0.0</v>
      </c>
      <c r="H25" s="189">
        <f>I25/I$36</f>
        <v>0.0</v>
      </c>
      <c r="I25" s="216">
        <f>E25</f>
        <v>0.0</v>
      </c>
    </row>
    <row r="26">
      <c r="A26" s="163" t="inlineStr">
        <is>
          <t>O₂</t>
        </is>
      </c>
      <c r="B26" s="189">
        <f>C26/C$36</f>
        <v>0.0</v>
      </c>
      <c r="C26" s="215">
        <f>E26*'Data Komponen'!$D$14</f>
        <v>0.0</v>
      </c>
      <c r="D26" s="189">
        <f>E26/E$36</f>
        <v>0.0</v>
      </c>
      <c r="E26" s="216">
        <f>'NME-5 Kolom Berat'!I28</f>
        <v>0.0</v>
      </c>
      <c r="F26" s="189">
        <f>G26/G$36</f>
        <v>0.0</v>
      </c>
      <c r="G26" s="215">
        <f>I26*'Data Komponen'!$D$14</f>
        <v>0.0</v>
      </c>
      <c r="H26" s="189">
        <f>I26/I$36</f>
        <v>0.0</v>
      </c>
      <c r="I26" s="216">
        <f>E26</f>
        <v>0.0</v>
      </c>
    </row>
    <row r="27">
      <c r="A27" s="163" t="inlineStr">
        <is>
          <t>N₂</t>
        </is>
      </c>
      <c r="B27" s="189">
        <f>C27/C$36</f>
        <v>0.0</v>
      </c>
      <c r="C27" s="215">
        <f>E27*'Data Komponen'!$D$15</f>
        <v>0.0</v>
      </c>
      <c r="D27" s="189">
        <f>E27/E$36</f>
        <v>0.0</v>
      </c>
      <c r="E27" s="216">
        <f>'NME-5 Kolom Berat'!I29</f>
        <v>0.0</v>
      </c>
      <c r="F27" s="189">
        <f>G27/G$36</f>
        <v>0.0</v>
      </c>
      <c r="G27" s="215">
        <f>I27*'Data Komponen'!$D$15</f>
        <v>0.0</v>
      </c>
      <c r="H27" s="189">
        <f>I27/I$36</f>
        <v>0.0</v>
      </c>
      <c r="I27" s="216">
        <f>E27</f>
        <v>0.0</v>
      </c>
    </row>
    <row r="28">
      <c r="A28" s="163" t="inlineStr">
        <is>
          <t>CO₂</t>
        </is>
      </c>
      <c r="B28" s="189">
        <f>C28/C$36</f>
        <v>0.0</v>
      </c>
      <c r="C28" s="215">
        <f>E28*'Data Komponen'!$D$16</f>
        <v>0.0</v>
      </c>
      <c r="D28" s="189">
        <f>E28/E$36</f>
        <v>0.0</v>
      </c>
      <c r="E28" s="216">
        <f>'NME-5 Kolom Berat'!I30</f>
        <v>0.0</v>
      </c>
      <c r="F28" s="189">
        <f>G28/G$36</f>
        <v>0.0</v>
      </c>
      <c r="G28" s="215">
        <f>I28*'Data Komponen'!$D$16</f>
        <v>0.0</v>
      </c>
      <c r="H28" s="189">
        <f>I28/I$36</f>
        <v>0.0</v>
      </c>
      <c r="I28" s="216">
        <f>E28</f>
        <v>0.0</v>
      </c>
    </row>
    <row r="29">
      <c r="A29" s="163" t="inlineStr">
        <is>
          <t>EDC</t>
        </is>
      </c>
      <c r="B29" s="189">
        <f>C29/C$36</f>
        <v>0.9999457329793193</v>
      </c>
      <c r="C29" s="215">
        <f>E29*'Data Komponen'!$D$17</f>
        <v>74249.68547887889</v>
      </c>
      <c r="D29" s="189">
        <f>E29/E$36</f>
        <v>0.9997840322326019</v>
      </c>
      <c r="E29" s="216">
        <f>'NME-5 Kolom Berat'!I31</f>
        <v>750.3075564514485</v>
      </c>
      <c r="F29" s="189">
        <f>G29/G$36</f>
        <v>0.44997557984069364</v>
      </c>
      <c r="G29" s="215">
        <f>I29*'Data Komponen'!$D$17</f>
        <v>33412.3584654955</v>
      </c>
      <c r="H29" s="189">
        <f>I29/I$36</f>
        <v>0.2918352258038551</v>
      </c>
      <c r="I29" s="216">
        <f>E29*(1-$B$6)</f>
        <v>337.63840040315176</v>
      </c>
    </row>
    <row r="30">
      <c r="A30" s="163" t="inlineStr">
        <is>
          <t>TCE</t>
        </is>
      </c>
      <c r="B30" s="189">
        <f>C30/C$36</f>
        <v>9.000603106538252e-06</v>
      </c>
      <c r="C30" s="215">
        <f>E30*'Data Komponen'!$D$18</f>
        <v>0.6683282179619111</v>
      </c>
      <c r="D30" s="189">
        <f>E30/E$36</f>
        <v>6.67561186521414e-06</v>
      </c>
      <c r="E30" s="216">
        <f>'NME-5 Kolom Berat'!I32</f>
        <v>0.005009843991228917</v>
      </c>
      <c r="F30" s="189">
        <f>G30/G$36</f>
        <v>9.000603106538252e-06</v>
      </c>
      <c r="G30" s="215">
        <f>I30*'Data Komponen'!$D$18</f>
        <v>0.6683282179619111</v>
      </c>
      <c r="H30" s="189">
        <f>I30/I$36</f>
        <v>4.330221179453052e-06</v>
      </c>
      <c r="I30" s="216">
        <f>E30</f>
        <v>0.005009843991228917</v>
      </c>
    </row>
    <row r="31">
      <c r="A31" s="163" t="inlineStr">
        <is>
          <t>HCl</t>
        </is>
      </c>
      <c r="B31" s="189">
        <f>C31/C$36</f>
        <v>0.0</v>
      </c>
      <c r="C31" s="215">
        <f>E31*'Data Komponen'!$D$19</f>
        <v>0.0</v>
      </c>
      <c r="D31" s="189">
        <f>E31/E$36</f>
        <v>0.0</v>
      </c>
      <c r="E31" s="216">
        <f>'NME-5 Kolom Berat'!I33</f>
        <v>0.0</v>
      </c>
      <c r="F31" s="189">
        <f>G31/G$36</f>
        <v>0.19959452730205052</v>
      </c>
      <c r="G31" s="215">
        <f>I31*'Data Komponen'!$D$19</f>
        <v>14820.63514719679</v>
      </c>
      <c r="H31" s="189">
        <f>I31/I$36</f>
        <v>0.35133718573164124</v>
      </c>
      <c r="I31" s="216">
        <f>E31+$B$7*$B$6*E29</f>
        <v>406.47911870757224</v>
      </c>
    </row>
    <row r="32">
      <c r="A32" s="163" t="inlineStr">
        <is>
          <t>FeCl₃</t>
        </is>
      </c>
      <c r="B32" s="189">
        <f>C32/C$36</f>
        <v>0.0</v>
      </c>
      <c r="C32" s="215">
        <f>E32*'Data Komponen'!$D$20</f>
        <v>0.0</v>
      </c>
      <c r="D32" s="189">
        <f>E32/E$36</f>
        <v>0.0</v>
      </c>
      <c r="E32" s="216">
        <f>'NME-5 Kolom Berat'!I34</f>
        <v>0.0</v>
      </c>
      <c r="F32" s="189">
        <f>G32/G$36</f>
        <v>0.0</v>
      </c>
      <c r="G32" s="215">
        <f>I32*'Data Komponen'!$D$20</f>
        <v>0.0</v>
      </c>
      <c r="H32" s="189">
        <f>I32/I$36</f>
        <v>0.0</v>
      </c>
      <c r="I32" s="216">
        <f>E32</f>
        <v>0.0</v>
      </c>
    </row>
    <row r="33">
      <c r="A33" s="163" t="inlineStr">
        <is>
          <t>C₂H₅Cl</t>
        </is>
      </c>
      <c r="B33" s="189">
        <f>C33/C$36</f>
        <v>0.0</v>
      </c>
      <c r="C33" s="215">
        <f>E33*'Data Komponen'!$D$21</f>
        <v>0.0</v>
      </c>
      <c r="D33" s="189">
        <f>E33/E$36</f>
        <v>0.0</v>
      </c>
      <c r="E33" s="216">
        <f>'NME-5 Kolom Berat'!I35</f>
        <v>0.0</v>
      </c>
      <c r="F33" s="189">
        <f>G33/G$36</f>
        <v>0.0</v>
      </c>
      <c r="G33" s="215">
        <f>I33*'Data Komponen'!$D$21</f>
        <v>0.0</v>
      </c>
      <c r="H33" s="189">
        <f>I33/I$36</f>
        <v>0.0</v>
      </c>
      <c r="I33" s="216">
        <f>E33</f>
        <v>0.0</v>
      </c>
    </row>
    <row r="34">
      <c r="A34" s="163" t="inlineStr">
        <is>
          <t>VCM</t>
        </is>
      </c>
      <c r="B34" s="189">
        <f>C34/C$36</f>
        <v>1.0059203905392647e-05</v>
      </c>
      <c r="C34" s="215">
        <f>E34*'Data Komponen'!$D$22</f>
        <v>0.746933259985981</v>
      </c>
      <c r="D34" s="189">
        <f>E34/E$36</f>
        <v>1.592511417534166e-05</v>
      </c>
      <c r="E34" s="216">
        <f>'NME-5 Kolom Berat'!I36</f>
        <v>0.011951314601842957</v>
      </c>
      <c r="F34" s="189">
        <f>G34/G$36</f>
        <v>0.3421361327434011</v>
      </c>
      <c r="G34" s="215">
        <f>I34*'Data Komponen'!$D$22</f>
        <v>25404.878894245834</v>
      </c>
      <c r="H34" s="189">
        <f>I34/I$36</f>
        <v>0.3513475157610198</v>
      </c>
      <c r="I34" s="216">
        <f>E34+$B$7*$B$6*E29</f>
        <v>406.4910700221741</v>
      </c>
    </row>
    <row r="35">
      <c r="A35" s="163" t="inlineStr">
        <is>
          <t>C₄H₈Cl₂ (berat)</t>
        </is>
      </c>
      <c r="B35" s="189">
        <f>C35/C$36</f>
        <v>0.0</v>
      </c>
      <c r="C35" s="215">
        <f>E35*'Data Komponen'!$D$23</f>
        <v>0.0</v>
      </c>
      <c r="D35" s="189">
        <f>E35/E$36</f>
        <v>0.0</v>
      </c>
      <c r="E35" s="216">
        <f>'NME-5 Kolom Berat'!I37</f>
        <v>0.0</v>
      </c>
      <c r="F35" s="189">
        <f>G35/G$36</f>
        <v>0.005294113652669008</v>
      </c>
      <c r="G35" s="215">
        <f>I35*'Data Komponen'!$D$23</f>
        <v>393.1076063787176</v>
      </c>
      <c r="H35" s="189">
        <f>I35/I$36</f>
        <v>0.0026751562365353414</v>
      </c>
      <c r="I35" s="216">
        <f>E35+(1-$B$7)/2*$B$6*E29</f>
        <v>3.0950186703622276</v>
      </c>
    </row>
    <row r="36">
      <c r="A36" s="162" t="inlineStr">
        <is>
          <t>Sub Total</t>
        </is>
      </c>
      <c r="B36" s="189">
        <f>SUM(B15:B35)</f>
        <v>1.0</v>
      </c>
      <c r="C36" s="215">
        <f>SUM(C15:C35)</f>
        <v>74253.71500676678</v>
      </c>
      <c r="D36" s="189">
        <f>SUM(D15:D35)</f>
        <v>1.0</v>
      </c>
      <c r="E36" s="216">
        <f>SUM(E15:E35)</f>
        <v>750.4696337027393</v>
      </c>
      <c r="F36" s="189">
        <f>SUM(F15:F35)</f>
        <v>1.0</v>
      </c>
      <c r="G36" s="215">
        <f>SUM(G15:G35)</f>
        <v>74253.71500676678</v>
      </c>
      <c r="H36" s="189">
        <f>SUM(H15:H35)</f>
        <v>1.0</v>
      </c>
      <c r="I36" s="216">
        <f>SUM(I15:I35)</f>
        <v>1156.9487524103115</v>
      </c>
    </row>
    <row r="37">
      <c r="A37" s="162" t="inlineStr">
        <is>
          <t>TOTAL MASSA</t>
        </is>
      </c>
      <c r="B37" s="215">
        <f>C36</f>
        <v>74253.71500676678</v>
      </c>
      <c r="C37" s="210" t="n"/>
      <c r="D37" s="210" t="n"/>
      <c r="E37" s="211" t="n"/>
      <c r="F37" s="215">
        <f>G36</f>
        <v>74253.71500676678</v>
      </c>
      <c r="G37" s="210" t="n"/>
      <c r="H37" s="210" t="n"/>
      <c r="I37" s="211" t="n"/>
    </row>
    <row r="38">
      <c r="A38" s="162" t="inlineStr">
        <is>
          <t>Selisih (Inlet − Outlet), kg/h</t>
        </is>
      </c>
      <c r="B38" s="215">
        <f>B37-F37</f>
        <v>0.0</v>
      </c>
      <c r="C38" s="210" t="n"/>
      <c r="D38" s="210" t="n"/>
      <c r="E38" s="210" t="n"/>
      <c r="F38" s="210" t="n"/>
      <c r="G38" s="210" t="n"/>
      <c r="H38" s="210" t="n"/>
      <c r="I38" s="211" t="n"/>
    </row>
    <row r="41">
      <c r="A41" s="169" t="inlineStr">
        <is>
          <t>Neraca Energi P-104: Pompa umpan furnace</t>
        </is>
      </c>
    </row>
    <row r="42">
      <c r="A42" s="187" t="inlineStr">
        <is>
          <t>Reference state: H₂O, EDC, TCE fasa liquid @ 25°C, 1 bar; VCM fasa gas @ 25°C, 1 bar</t>
        </is>
      </c>
    </row>
    <row r="43">
      <c r="A43" s="162" t="inlineStr">
        <is>
          <t>No. aliran PFD</t>
        </is>
      </c>
      <c r="B43" s="162" t="n">
        <v>36</v>
      </c>
      <c r="C43" s="211" t="n"/>
      <c r="D43" s="162" t="n">
        <v>37</v>
      </c>
      <c r="E43" s="211" t="n"/>
    </row>
    <row r="44">
      <c r="A44" s="162" t="inlineStr">
        <is>
          <t>Dari</t>
        </is>
      </c>
      <c r="B44" s="172" t="inlineStr">
        <is>
          <t>KD-102</t>
        </is>
      </c>
      <c r="C44" s="211" t="n"/>
      <c r="D44" s="172" t="inlineStr">
        <is>
          <t>P-104</t>
        </is>
      </c>
      <c r="E44" s="211" t="n"/>
    </row>
    <row r="45">
      <c r="A45" s="162" t="inlineStr">
        <is>
          <t>Ke</t>
        </is>
      </c>
      <c r="B45" s="172" t="inlineStr">
        <is>
          <t>P-104</t>
        </is>
      </c>
      <c r="C45" s="211" t="n"/>
      <c r="D45" s="172" t="inlineStr">
        <is>
          <t>E-107</t>
        </is>
      </c>
      <c r="E45" s="211" t="n"/>
    </row>
    <row r="46">
      <c r="A46" s="162" t="inlineStr">
        <is>
          <t>T (K)</t>
        </is>
      </c>
      <c r="B46" s="185">
        <f>'NME-5 Kolom Berat'!$F$75</f>
        <v>391.15</v>
      </c>
      <c r="C46" s="211" t="n"/>
      <c r="D46" s="185">
        <f>IFERROR(IF(D46&lt;100,$B$46,D46+(B60-D56)/(SUM(D52:D55)*('Data Termo'!$J$20+'Data Termo'!$K$20*D46+'Data Termo'!$L$20*D46^2+'Data Termo'!$M$20*D46^3))),$B$46)</f>
        <v>392.3474957898116</v>
      </c>
      <c r="E46" s="211" t="n"/>
    </row>
    <row r="47">
      <c r="A47" s="162" t="inlineStr">
        <is>
          <t>T (°C)</t>
        </is>
      </c>
      <c r="B47" s="185">
        <f>'NME-5 Kolom Berat'!$F$76</f>
        <v>118.0</v>
      </c>
      <c r="C47" s="211" t="n"/>
      <c r="D47" s="185">
        <f>IF(ISNUMBER(D46),D46-273.15,"-")</f>
        <v>119.19749578981163</v>
      </c>
      <c r="E47" s="211" t="n"/>
    </row>
    <row r="48">
      <c r="A48" s="162" t="inlineStr">
        <is>
          <t>P (bar abs)</t>
        </is>
      </c>
      <c r="B48" s="190">
        <f>'NME-5 Kolom Berat'!$F$77</f>
        <v>2.5</v>
      </c>
      <c r="C48" s="211" t="n"/>
      <c r="D48" s="190" t="n">
        <v>17</v>
      </c>
      <c r="E48" s="211" t="n"/>
    </row>
    <row r="49">
      <c r="A49" s="162" t="inlineStr">
        <is>
          <t>Substance</t>
        </is>
      </c>
      <c r="B49" s="162" t="inlineStr">
        <is>
          <t>INLET</t>
        </is>
      </c>
      <c r="C49" s="211" t="n"/>
      <c r="D49" s="162" t="inlineStr">
        <is>
          <t>OUTLET</t>
        </is>
      </c>
      <c r="E49" s="211" t="n"/>
    </row>
    <row r="50">
      <c r="A50" s="212" t="n"/>
      <c r="B50" s="162" t="inlineStr">
        <is>
          <t>Aliran 36</t>
        </is>
      </c>
      <c r="C50" s="211" t="n"/>
      <c r="D50" s="162" t="inlineStr">
        <is>
          <t>Aliran 37</t>
        </is>
      </c>
      <c r="E50" s="211" t="n"/>
    </row>
    <row r="51">
      <c r="A51" s="213" t="n"/>
      <c r="B51" s="162" t="inlineStr">
        <is>
          <t>ṅᵢ (kmol/h)</t>
        </is>
      </c>
      <c r="C51" s="162" t="inlineStr">
        <is>
          <t>Ĥᵢ (kJ/kmol)</t>
        </is>
      </c>
      <c r="D51" s="162" t="inlineStr">
        <is>
          <t>ṅᵢ (kmol/h)</t>
        </is>
      </c>
      <c r="E51" s="162" t="inlineStr">
        <is>
          <t>Ĥᵢ (kJ/kmol)</t>
        </is>
      </c>
    </row>
    <row r="52">
      <c r="A52" s="163" t="inlineStr">
        <is>
          <t>H₂O (l)</t>
        </is>
      </c>
      <c r="B52" s="216">
        <f>'NME-5 Kolom Berat'!I23</f>
        <v>0.14511609269780668</v>
      </c>
      <c r="C52" s="217">
        <f>('Data Termo'!$J$12*($B$46-298.15)+'Data Termo'!$K$12/2*($B$46^2-298.15^2)+'Data Termo'!$L$12/3*($B$46^3-298.15^3)+'Data Termo'!$M$12/4*($B$46^4-298.15^4))</f>
        <v>7007.755165900366</v>
      </c>
      <c r="D52" s="216">
        <f>'NME-5 Kolom Berat'!I23</f>
        <v>0.14511609269780668</v>
      </c>
      <c r="E52" s="217">
        <f>('Data Termo'!$J$12*($D$46-298.15)+'Data Termo'!$K$12/2*($D$46^2-298.15^2)+'Data Termo'!$L$12/3*($D$46^3-298.15^3)+'Data Termo'!$M$12/4*($D$46^4-298.15^4))</f>
        <v>7098.957886894517</v>
      </c>
    </row>
    <row r="53">
      <c r="A53" s="163" t="inlineStr">
        <is>
          <t>EDC (l)</t>
        </is>
      </c>
      <c r="B53" s="216">
        <f>'NME-5 Kolom Berat'!I31</f>
        <v>750.3075564514485</v>
      </c>
      <c r="C53" s="217">
        <f>('Data Termo'!$J$20*($B$46-298.15)+'Data Termo'!$K$20/2*($B$46^2-298.15^2)+'Data Termo'!$L$20/3*($B$46^3-298.15^3)+'Data Termo'!$M$20/4*($B$46^4-298.15^4))</f>
        <v>12674.771160309112</v>
      </c>
      <c r="D53" s="216">
        <f>'NME-5 Kolom Berat'!I31</f>
        <v>750.3075564514485</v>
      </c>
      <c r="E53" s="217">
        <f>('Data Termo'!$J$20*($D$46-298.15)+'Data Termo'!$K$20/2*($D$46^2-298.15^2)+'Data Termo'!$L$20/3*($D$46^3-298.15^3)+'Data Termo'!$M$20/4*($D$46^4-298.15^4))</f>
        <v>12848.782883853282</v>
      </c>
    </row>
    <row r="54">
      <c r="A54" s="163" t="inlineStr">
        <is>
          <t>TCE (l)</t>
        </is>
      </c>
      <c r="B54" s="216">
        <f>'NME-5 Kolom Berat'!I32</f>
        <v>0.005009843991228917</v>
      </c>
      <c r="C54" s="217">
        <f>('Data Termo'!$J$21*($B$46-298.15)+'Data Termo'!$K$21/2*($B$46^2-298.15^2)+'Data Termo'!$L$21/3*($B$46^3-298.15^3)+'Data Termo'!$M$21/4*($B$46^4-298.15^4))</f>
        <v>14864.257807283402</v>
      </c>
      <c r="D54" s="216">
        <f>'NME-5 Kolom Berat'!I32</f>
        <v>0.005009843991228917</v>
      </c>
      <c r="E54" s="217">
        <f>('Data Termo'!$J$21*($D$46-298.15)+'Data Termo'!$K$21/2*($D$46^2-298.15^2)+'Data Termo'!$L$21/3*($D$46^3-298.15^3)+'Data Termo'!$M$21/4*($D$46^4-298.15^4))</f>
        <v>15067.246005546529</v>
      </c>
    </row>
    <row r="55">
      <c r="A55" s="163" t="inlineStr">
        <is>
          <t>VCM (l)</t>
        </is>
      </c>
      <c r="B55" s="216">
        <f>'NME-5 Kolom Berat'!I36</f>
        <v>0.011951314601842957</v>
      </c>
      <c r="C55" s="217">
        <f>-'Data Termo'!$V$25+('Data Termo'!$J$25*($B$46-298.15)+'Data Termo'!$K$25/2*($B$46^2-298.15^2)+'Data Termo'!$L$25/3*($B$46^3-298.15^3)+'Data Termo'!$M$25/4*($B$46^4-298.15^4))</f>
        <v>-11191.659245036271</v>
      </c>
      <c r="D55" s="216">
        <f>'NME-5 Kolom Berat'!I36</f>
        <v>0.011951314601842957</v>
      </c>
      <c r="E55" s="217">
        <f>-'Data Termo'!$V$25+('Data Termo'!$J$25*($D$46-298.15)+'Data Termo'!$K$25/2*($D$46^2-298.15^2)+'Data Termo'!$L$25/3*($D$46^3-298.15^3)+'Data Termo'!$M$25/4*($D$46^4-298.15^4))</f>
        <v>-11058.48456362161</v>
      </c>
    </row>
    <row r="56">
      <c r="A56" s="200" t="inlineStr">
        <is>
          <t>Sub Total ṅᵢĤᵢ (kJ/h)</t>
        </is>
      </c>
      <c r="B56" s="218">
        <f>SUMPRODUCT(B52:B55,C52:C55)</f>
        <v>9510934.228493184</v>
      </c>
      <c r="C56" s="211" t="n"/>
      <c r="D56" s="218">
        <f>SUMPRODUCT(D52:D55,E52:E55)</f>
        <v>9641512.38311375</v>
      </c>
      <c r="E56" s="211" t="n"/>
    </row>
    <row r="57">
      <c r="A57" s="163" t="inlineStr">
        <is>
          <t>Heat of reaction / heat of mixing (kJ/h)</t>
        </is>
      </c>
      <c r="B57" s="219" t="inlineStr">
        <is>
          <t>-</t>
        </is>
      </c>
      <c r="C57" s="211" t="n"/>
      <c r="D57" s="220" t="inlineStr">
        <is>
          <t>-</t>
        </is>
      </c>
      <c r="E57" s="211" t="n"/>
    </row>
    <row r="58">
      <c r="A58" s="200" t="inlineStr">
        <is>
          <t>Q (kJ/h)</t>
        </is>
      </c>
      <c r="B58" s="218" t="n">
        <v>0</v>
      </c>
      <c r="C58" s="210" t="n"/>
      <c r="D58" s="210" t="n"/>
      <c r="E58" s="211" t="n"/>
    </row>
    <row r="59">
      <c r="A59" s="200" t="inlineStr">
        <is>
          <t>W (kJ/h)</t>
        </is>
      </c>
      <c r="B59" s="218">
        <f>'NME-5 Kolom Berat'!G38/(1000*'Data Termo'!$D$33*'Data Termo'!$D$34^(-((1-$B$46/'Data Termo'!$D$36)^'Data Termo'!$D$35)))*MAX(0,($D$48-$B$48)*100)/$B$8</f>
        <v>130578.15462055644</v>
      </c>
      <c r="C59" s="210" t="n"/>
      <c r="D59" s="210" t="n"/>
      <c r="E59" s="211" t="n"/>
    </row>
    <row r="60">
      <c r="A60" s="200" t="inlineStr">
        <is>
          <t>TOTAL (kJ/h)</t>
        </is>
      </c>
      <c r="B60" s="218">
        <f>B56+$B$58+$B$59</f>
        <v>9641512.38311374</v>
      </c>
      <c r="C60" s="211" t="n"/>
      <c r="D60" s="218">
        <f>(D56)</f>
        <v>9641512.38311375</v>
      </c>
      <c r="E60" s="211" t="n"/>
    </row>
    <row r="61">
      <c r="A61" s="163" t="inlineStr">
        <is>
          <t>Selisih masuk − keluar (kJ/h)</t>
        </is>
      </c>
      <c r="B61" s="217">
        <f>B60-D60</f>
        <v>-9.313225746154785e-09</v>
      </c>
      <c r="C61" s="210" t="n"/>
      <c r="D61" s="210" t="n"/>
      <c r="E61" s="211" t="n"/>
    </row>
    <row r="62">
      <c r="A62" s="163" t="inlineStr">
        <is>
          <t>Q (kW)</t>
        </is>
      </c>
      <c r="B62" s="217">
        <f>$B$58/3600</f>
        <v>0.0</v>
      </c>
      <c r="C62" s="210" t="n"/>
      <c r="D62" s="210" t="n"/>
      <c r="E62" s="211" t="n"/>
    </row>
    <row r="63">
      <c r="A63" s="163" t="inlineStr">
        <is>
          <t>W (kW)</t>
        </is>
      </c>
      <c r="B63" s="217">
        <f>$B$59/3600</f>
        <v>36.271709616821234</v>
      </c>
      <c r="C63" s="210" t="n"/>
      <c r="D63" s="210" t="n"/>
      <c r="E63" s="211" t="n"/>
    </row>
    <row r="66">
      <c r="A66" s="169" t="inlineStr">
        <is>
          <t>Neraca Energi E-107: Economizer umpan furnace</t>
        </is>
      </c>
    </row>
    <row r="67">
      <c r="A67" s="187" t="inlineStr">
        <is>
          <t>Reference state: H₂O, EDC, TCE fasa liquid @ 25°C, 1 bar; VCM fasa gas @ 25°C, 1 bar</t>
        </is>
      </c>
    </row>
    <row r="68">
      <c r="A68" s="162" t="inlineStr">
        <is>
          <t>No. aliran PFD</t>
        </is>
      </c>
      <c r="B68" s="162" t="n">
        <v>37</v>
      </c>
      <c r="C68" s="211" t="n"/>
      <c r="D68" s="162" t="n">
        <v>38</v>
      </c>
      <c r="E68" s="211" t="n"/>
    </row>
    <row r="69">
      <c r="A69" s="162" t="inlineStr">
        <is>
          <t>Dari</t>
        </is>
      </c>
      <c r="B69" s="172" t="inlineStr">
        <is>
          <t>P-104</t>
        </is>
      </c>
      <c r="C69" s="211" t="n"/>
      <c r="D69" s="172" t="inlineStr">
        <is>
          <t>E-107</t>
        </is>
      </c>
      <c r="E69" s="211" t="n"/>
    </row>
    <row r="70">
      <c r="A70" s="162" t="inlineStr">
        <is>
          <t>Ke</t>
        </is>
      </c>
      <c r="B70" s="172" t="inlineStr">
        <is>
          <t>E-107</t>
        </is>
      </c>
      <c r="C70" s="211" t="n"/>
      <c r="D70" s="172" t="inlineStr">
        <is>
          <t>F-101</t>
        </is>
      </c>
      <c r="E70" s="211" t="n"/>
    </row>
    <row r="71">
      <c r="A71" s="162" t="inlineStr">
        <is>
          <t>T (K)</t>
        </is>
      </c>
      <c r="B71" s="185">
        <f>$D$46</f>
        <v>392.3474957898116</v>
      </c>
      <c r="C71" s="211" t="n"/>
      <c r="D71" s="185">
        <f>D72+273.15</f>
        <v>463.15</v>
      </c>
      <c r="E71" s="211" t="n"/>
    </row>
    <row r="72">
      <c r="A72" s="162" t="inlineStr">
        <is>
          <t>T (°C)</t>
        </is>
      </c>
      <c r="B72" s="185">
        <f>$D$47</f>
        <v>119.19749578981163</v>
      </c>
      <c r="C72" s="211" t="n"/>
      <c r="D72" s="185" t="n">
        <v>190</v>
      </c>
      <c r="E72" s="211" t="n"/>
    </row>
    <row r="73">
      <c r="A73" s="162" t="inlineStr">
        <is>
          <t>P (bar abs)</t>
        </is>
      </c>
      <c r="B73" s="190">
        <f>$D$48</f>
        <v>17.0</v>
      </c>
      <c r="C73" s="211" t="n"/>
      <c r="D73" s="190" t="n">
        <v>17</v>
      </c>
      <c r="E73" s="211" t="n"/>
    </row>
    <row r="74">
      <c r="A74" s="162" t="inlineStr">
        <is>
          <t>Substance</t>
        </is>
      </c>
      <c r="B74" s="162" t="inlineStr">
        <is>
          <t>INLET</t>
        </is>
      </c>
      <c r="C74" s="211" t="n"/>
      <c r="D74" s="162" t="inlineStr">
        <is>
          <t>OUTLET</t>
        </is>
      </c>
      <c r="E74" s="211" t="n"/>
    </row>
    <row r="75">
      <c r="A75" s="212" t="n"/>
      <c r="B75" s="162" t="inlineStr">
        <is>
          <t>Aliran 37</t>
        </is>
      </c>
      <c r="C75" s="211" t="n"/>
      <c r="D75" s="162" t="inlineStr">
        <is>
          <t>Aliran 38</t>
        </is>
      </c>
      <c r="E75" s="211" t="n"/>
    </row>
    <row r="76">
      <c r="A76" s="213" t="n"/>
      <c r="B76" s="162" t="inlineStr">
        <is>
          <t>ṅᵢ (kmol/h)</t>
        </is>
      </c>
      <c r="C76" s="162" t="inlineStr">
        <is>
          <t>Ĥᵢ (kJ/kmol)</t>
        </is>
      </c>
      <c r="D76" s="162" t="inlineStr">
        <is>
          <t>ṅᵢ (kmol/h)</t>
        </is>
      </c>
      <c r="E76" s="162" t="inlineStr">
        <is>
          <t>Ĥᵢ (kJ/kmol)</t>
        </is>
      </c>
    </row>
    <row r="77">
      <c r="A77" s="163" t="inlineStr">
        <is>
          <t>H₂O (l)</t>
        </is>
      </c>
      <c r="B77" s="216">
        <f>'NME-5 Kolom Berat'!I23</f>
        <v>0.14511609269780668</v>
      </c>
      <c r="C77" s="217">
        <f>('Data Termo'!$J$12*($B$71-298.15)+'Data Termo'!$K$12/2*($B$71^2-298.15^2)+'Data Termo'!$L$12/3*($B$71^3-298.15^3)+'Data Termo'!$M$12/4*($B$71^4-298.15^4))</f>
        <v>7098.957886894517</v>
      </c>
      <c r="D77" s="216">
        <f>E21</f>
        <v>0.14511609269780668</v>
      </c>
      <c r="E77" s="217">
        <f>('Data Termo'!$J$12*($D$71-298.15)+'Data Termo'!$K$12/2*($D$71^2-298.15^2)+'Data Termo'!$L$12/3*($D$71^3-298.15^3)+'Data Termo'!$M$12/4*($D$71^4-298.15^4))</f>
        <v>12649.666586457592</v>
      </c>
    </row>
    <row r="78">
      <c r="A78" s="163" t="inlineStr">
        <is>
          <t>EDC (l)</t>
        </is>
      </c>
      <c r="B78" s="216">
        <f>'NME-5 Kolom Berat'!I31</f>
        <v>750.3075564514485</v>
      </c>
      <c r="C78" s="217">
        <f>('Data Termo'!$J$20*($B$71-298.15)+'Data Termo'!$K$20/2*($B$71^2-298.15^2)+'Data Termo'!$L$20/3*($B$71^3-298.15^3)+'Data Termo'!$M$20/4*($B$71^4-298.15^4))</f>
        <v>12848.782883853282</v>
      </c>
      <c r="D78" s="216">
        <f>E29</f>
        <v>750.3075564514485</v>
      </c>
      <c r="E78" s="217">
        <f>('Data Termo'!$J$20*($D$71-298.15)+'Data Termo'!$K$20/2*($D$71^2-298.15^2)+'Data Termo'!$L$20/3*($D$71^3-298.15^3)+'Data Termo'!$M$20/4*($D$71^4-298.15^4))</f>
        <v>23849.440490128214</v>
      </c>
    </row>
    <row r="79">
      <c r="A79" s="163" t="inlineStr">
        <is>
          <t>TCE (l)</t>
        </is>
      </c>
      <c r="B79" s="216">
        <f>'NME-5 Kolom Berat'!I32</f>
        <v>0.005009843991228917</v>
      </c>
      <c r="C79" s="217">
        <f>('Data Termo'!$J$21*($B$71-298.15)+'Data Termo'!$K$21/2*($B$71^2-298.15^2)+'Data Termo'!$L$21/3*($B$71^3-298.15^3)+'Data Termo'!$M$21/4*($B$71^4-298.15^4))</f>
        <v>15067.246005546529</v>
      </c>
      <c r="D79" s="216">
        <f>E30</f>
        <v>0.005009843991228917</v>
      </c>
      <c r="E79" s="217">
        <f>('Data Termo'!$J$21*($D$71-298.15)+'Data Termo'!$K$21/2*($D$71^2-298.15^2)+'Data Termo'!$L$21/3*($D$71^3-298.15^3)+'Data Termo'!$M$21/4*($D$71^4-298.15^4))</f>
        <v>27798.802500634974</v>
      </c>
    </row>
    <row r="80">
      <c r="A80" s="163" t="inlineStr">
        <is>
          <t>VCM (l)</t>
        </is>
      </c>
      <c r="B80" s="216">
        <f>'NME-5 Kolom Berat'!I36</f>
        <v>0.011951314601842957</v>
      </c>
      <c r="C80" s="217">
        <f>-'Data Termo'!$V$25+('Data Termo'!$J$25*($B$71-298.15)+'Data Termo'!$K$25/2*($B$71^2-298.15^2)+'Data Termo'!$L$25/3*($B$71^3-298.15^3)+'Data Termo'!$M$25/4*($B$71^4-298.15^4))</f>
        <v>-11058.48456362161</v>
      </c>
      <c r="D80" s="172" t="inlineStr">
        <is>
          <t>-</t>
        </is>
      </c>
      <c r="E80" s="172" t="inlineStr">
        <is>
          <t>-</t>
        </is>
      </c>
    </row>
    <row r="81">
      <c r="A81" s="163" t="inlineStr">
        <is>
          <t>VCM (g)</t>
        </is>
      </c>
      <c r="B81" s="172" t="inlineStr">
        <is>
          <t>-</t>
        </is>
      </c>
      <c r="C81" s="172" t="inlineStr">
        <is>
          <t>-</t>
        </is>
      </c>
      <c r="D81" s="216">
        <f>E34</f>
        <v>0.011951314601842957</v>
      </c>
      <c r="E81" s="217">
        <f>('Data Termo'!$E$25*($D$71-298.15)+'Data Termo'!$F$25/2*($D$71^2-298.15^2)+'Data Termo'!$G$25/3*($D$71^3-298.15^3)+'Data Termo'!$H$25/4*($D$71^4-298.15^4)+'Data Termo'!$I$25/5*($D$71^5-298.15^5))</f>
        <v>10418.104832892604</v>
      </c>
    </row>
    <row r="82">
      <c r="A82" s="200" t="inlineStr">
        <is>
          <t>Sub Total ṅᵢĤᵢ (kJ/h)</t>
        </is>
      </c>
      <c r="B82" s="218">
        <f>SUMPRODUCT(B77:B81,C77:C81)</f>
        <v>9641512.38311375</v>
      </c>
      <c r="C82" s="211" t="n"/>
      <c r="D82" s="218">
        <f>SUMPRODUCT(D77:D81,E77:E81)</f>
        <v>17896514.864783376</v>
      </c>
      <c r="E82" s="211" t="n"/>
    </row>
    <row r="83">
      <c r="A83" s="163" t="inlineStr">
        <is>
          <t>Heat of reaction / heat of mixing (kJ/h)</t>
        </is>
      </c>
      <c r="B83" s="219" t="inlineStr">
        <is>
          <t>-</t>
        </is>
      </c>
      <c r="C83" s="211" t="n"/>
      <c r="D83" s="220" t="inlineStr">
        <is>
          <t>-</t>
        </is>
      </c>
      <c r="E83" s="211" t="n"/>
    </row>
    <row r="84">
      <c r="A84" s="200" t="inlineStr">
        <is>
          <t>Q (kJ/h)</t>
        </is>
      </c>
      <c r="B84" s="218">
        <f>(D82)-(B82)</f>
        <v>8255002.481669627</v>
      </c>
      <c r="C84" s="210" t="n"/>
      <c r="D84" s="210" t="n"/>
      <c r="E84" s="211" t="n"/>
    </row>
    <row r="85">
      <c r="A85" s="200" t="inlineStr">
        <is>
          <t>W (kJ/h)</t>
        </is>
      </c>
      <c r="B85" s="218" t="n">
        <v>0</v>
      </c>
      <c r="C85" s="210" t="n"/>
      <c r="D85" s="210" t="n"/>
      <c r="E85" s="211" t="n"/>
    </row>
    <row r="86">
      <c r="A86" s="200" t="inlineStr">
        <is>
          <t>TOTAL (kJ/h)</t>
        </is>
      </c>
      <c r="B86" s="218">
        <f>B82+$B$84+$B$85</f>
        <v>17896514.864783376</v>
      </c>
      <c r="C86" s="211" t="n"/>
      <c r="D86" s="218">
        <f>(D82)</f>
        <v>17896514.864783376</v>
      </c>
      <c r="E86" s="211" t="n"/>
    </row>
    <row r="87">
      <c r="A87" s="163" t="inlineStr">
        <is>
          <t>Selisih masuk − keluar (kJ/h)</t>
        </is>
      </c>
      <c r="B87" s="217">
        <f>B86-D86</f>
        <v>0.0</v>
      </c>
      <c r="C87" s="210" t="n"/>
      <c r="D87" s="210" t="n"/>
      <c r="E87" s="211" t="n"/>
    </row>
    <row r="88">
      <c r="A88" s="163" t="inlineStr">
        <is>
          <t>Q (kW)</t>
        </is>
      </c>
      <c r="B88" s="217">
        <f>$B$84/3600</f>
        <v>2293.05624490823</v>
      </c>
      <c r="C88" s="210" t="n"/>
      <c r="D88" s="210" t="n"/>
      <c r="E88" s="211" t="n"/>
    </row>
    <row r="89">
      <c r="A89" s="163" t="inlineStr">
        <is>
          <t>W (kW)</t>
        </is>
      </c>
      <c r="B89" s="217">
        <f>$B$85/3600</f>
        <v>0.0</v>
      </c>
      <c r="C89" s="210" t="n"/>
      <c r="D89" s="210" t="n"/>
      <c r="E89" s="211" t="n"/>
    </row>
    <row r="92">
      <c r="A92" s="169" t="inlineStr">
        <is>
          <t>Neraca Energi F-101: Furnace pirolisis (penguapan, pemanasan, reaksi)</t>
        </is>
      </c>
    </row>
    <row r="93">
      <c r="A93" s="187" t="inlineStr">
        <is>
          <t>Reference state: Cl₂, H₂O, EDC, TCE, C₄H₈Cl₂ (berat) fasa liquid @ 25°C, 1 bar; HCl, VCM fasa gas @ 25°C, 1 bar</t>
        </is>
      </c>
    </row>
    <row r="94">
      <c r="A94" s="162" t="inlineStr">
        <is>
          <t>No. aliran PFD</t>
        </is>
      </c>
      <c r="B94" s="162" t="n">
        <v>38</v>
      </c>
      <c r="C94" s="211" t="n"/>
      <c r="D94" s="162" t="n">
        <v>39</v>
      </c>
      <c r="E94" s="211" t="n"/>
    </row>
    <row r="95">
      <c r="A95" s="162" t="inlineStr">
        <is>
          <t>Dari</t>
        </is>
      </c>
      <c r="B95" s="172" t="inlineStr">
        <is>
          <t>E-107</t>
        </is>
      </c>
      <c r="C95" s="211" t="n"/>
      <c r="D95" s="172" t="inlineStr">
        <is>
          <t>F-101</t>
        </is>
      </c>
      <c r="E95" s="211" t="n"/>
    </row>
    <row r="96">
      <c r="A96" s="162" t="inlineStr">
        <is>
          <t>Ke</t>
        </is>
      </c>
      <c r="B96" s="172" t="inlineStr">
        <is>
          <t>F-101</t>
        </is>
      </c>
      <c r="C96" s="211" t="n"/>
      <c r="D96" s="172" t="inlineStr">
        <is>
          <t>Q-101</t>
        </is>
      </c>
      <c r="E96" s="211" t="n"/>
    </row>
    <row r="97">
      <c r="A97" s="162" t="inlineStr">
        <is>
          <t>T (K)</t>
        </is>
      </c>
      <c r="B97" s="185">
        <f>$D$71</f>
        <v>463.15</v>
      </c>
      <c r="C97" s="211" t="n"/>
      <c r="D97" s="185">
        <f>D98+273.15</f>
        <v>789.15</v>
      </c>
      <c r="E97" s="211" t="n"/>
    </row>
    <row r="98">
      <c r="A98" s="162" t="inlineStr">
        <is>
          <t>T (°C)</t>
        </is>
      </c>
      <c r="B98" s="185">
        <f>$D$72</f>
        <v>190.0</v>
      </c>
      <c r="C98" s="211" t="n"/>
      <c r="D98" s="185" t="n">
        <v>516</v>
      </c>
      <c r="E98" s="211" t="n"/>
    </row>
    <row r="99">
      <c r="A99" s="162" t="inlineStr">
        <is>
          <t>P (bar abs)</t>
        </is>
      </c>
      <c r="B99" s="190">
        <f>$D$73</f>
        <v>17.0</v>
      </c>
      <c r="C99" s="211" t="n"/>
      <c r="D99" s="190" t="n">
        <v>13</v>
      </c>
      <c r="E99" s="211" t="n"/>
    </row>
    <row r="100">
      <c r="A100" s="162" t="inlineStr">
        <is>
          <t>Substance</t>
        </is>
      </c>
      <c r="B100" s="162" t="inlineStr">
        <is>
          <t>INLET</t>
        </is>
      </c>
      <c r="C100" s="211" t="n"/>
      <c r="D100" s="162" t="inlineStr">
        <is>
          <t>OUTLET</t>
        </is>
      </c>
      <c r="E100" s="211" t="n"/>
    </row>
    <row r="101">
      <c r="A101" s="212" t="n"/>
      <c r="B101" s="162" t="inlineStr">
        <is>
          <t>Aliran 38</t>
        </is>
      </c>
      <c r="C101" s="211" t="n"/>
      <c r="D101" s="162" t="inlineStr">
        <is>
          <t>Aliran 39</t>
        </is>
      </c>
      <c r="E101" s="211" t="n"/>
    </row>
    <row r="102">
      <c r="A102" s="213" t="n"/>
      <c r="B102" s="162" t="inlineStr">
        <is>
          <t>ṅᵢ (kmol/h)</t>
        </is>
      </c>
      <c r="C102" s="162" t="inlineStr">
        <is>
          <t>Ĥᵢ (kJ/kmol)</t>
        </is>
      </c>
      <c r="D102" s="162" t="inlineStr">
        <is>
          <t>ṅᵢ (kmol/h)</t>
        </is>
      </c>
      <c r="E102" s="162" t="inlineStr">
        <is>
          <t>Ĥᵢ (kJ/kmol)</t>
        </is>
      </c>
    </row>
    <row r="103">
      <c r="A103" s="163" t="inlineStr">
        <is>
          <t>Cl₂ (g)</t>
        </is>
      </c>
      <c r="B103" s="216">
        <f>E19</f>
        <v>0.0</v>
      </c>
      <c r="C103" s="217">
        <f>'Data Termo'!$V$10+('Data Termo'!$E$10*($B$97-298.15)+'Data Termo'!$F$10/2*($B$97^2-298.15^2)+'Data Termo'!$G$10/3*($B$97^3-298.15^3)+'Data Termo'!$H$10/4*($B$97^4-298.15^4)+'Data Termo'!$I$10/5*($B$97^5-298.15^5))</f>
        <v>23003.989314038674</v>
      </c>
      <c r="D103" s="216">
        <f>I19</f>
        <v>3.095018670362267</v>
      </c>
      <c r="E103" s="217">
        <f>'Data Termo'!$V$10+('Data Termo'!$E$10*($D$97-298.15)+'Data Termo'!$F$10/2*($D$97^2-298.15^2)+'Data Termo'!$G$10/3*($D$97^3-298.15^3)+'Data Termo'!$H$10/4*($D$97^4-298.15^4)+'Data Termo'!$I$10/5*($D$97^5-298.15^5))</f>
        <v>34936.93624680591</v>
      </c>
    </row>
    <row r="104">
      <c r="A104" s="163" t="inlineStr">
        <is>
          <t>H₂O (l)</t>
        </is>
      </c>
      <c r="B104" s="216">
        <f>E21</f>
        <v>0.14511609269780668</v>
      </c>
      <c r="C104" s="217">
        <f>('Data Termo'!$J$12*($B$97-298.15)+'Data Termo'!$K$12/2*($B$97^2-298.15^2)+'Data Termo'!$L$12/3*($B$97^3-298.15^3)+'Data Termo'!$M$12/4*($B$97^4-298.15^4))</f>
        <v>12649.666586457592</v>
      </c>
      <c r="D104" s="172" t="inlineStr">
        <is>
          <t>-</t>
        </is>
      </c>
      <c r="E104" s="172" t="inlineStr">
        <is>
          <t>-</t>
        </is>
      </c>
    </row>
    <row r="105">
      <c r="A105" s="163" t="inlineStr">
        <is>
          <t>H₂O (g)</t>
        </is>
      </c>
      <c r="B105" s="172" t="inlineStr">
        <is>
          <t>-</t>
        </is>
      </c>
      <c r="C105" s="172" t="inlineStr">
        <is>
          <t>-</t>
        </is>
      </c>
      <c r="D105" s="216">
        <f>I21</f>
        <v>0.14511609269780668</v>
      </c>
      <c r="E105" s="217">
        <f>'Data Termo'!$V$12+('Data Termo'!$E$12*($D$97-298.15)+'Data Termo'!$F$12/2*($D$97^2-298.15^2)+'Data Termo'!$G$12/3*($D$97^3-298.15^3)+'Data Termo'!$H$12/4*($D$97^4-298.15^4)+'Data Termo'!$I$12/5*($D$97^5-298.15^5))</f>
        <v>60273.06917226866</v>
      </c>
    </row>
    <row r="106">
      <c r="A106" s="163" t="inlineStr">
        <is>
          <t>EDC (l)</t>
        </is>
      </c>
      <c r="B106" s="216">
        <f>E29</f>
        <v>750.3075564514485</v>
      </c>
      <c r="C106" s="217">
        <f>('Data Termo'!$J$20*($B$97-298.15)+'Data Termo'!$K$20/2*($B$97^2-298.15^2)+'Data Termo'!$L$20/3*($B$97^3-298.15^3)+'Data Termo'!$M$20/4*($B$97^4-298.15^4))</f>
        <v>23849.440490128214</v>
      </c>
      <c r="D106" s="172" t="inlineStr">
        <is>
          <t>-</t>
        </is>
      </c>
      <c r="E106" s="172" t="inlineStr">
        <is>
          <t>-</t>
        </is>
      </c>
    </row>
    <row r="107">
      <c r="A107" s="163" t="inlineStr">
        <is>
          <t>EDC (g)</t>
        </is>
      </c>
      <c r="B107" s="172" t="inlineStr">
        <is>
          <t>-</t>
        </is>
      </c>
      <c r="C107" s="172" t="inlineStr">
        <is>
          <t>-</t>
        </is>
      </c>
      <c r="D107" s="216">
        <f>I29</f>
        <v>337.63840040315176</v>
      </c>
      <c r="E107" s="217">
        <f>'Data Termo'!$V$20+('Data Termo'!$E$20*($D$97-298.15)+'Data Termo'!$F$20/2*($D$97^2-298.15^2)+'Data Termo'!$G$20/3*($D$97^3-298.15^3)+'Data Termo'!$H$20/4*($D$97^4-298.15^4)+'Data Termo'!$I$20/5*($D$97^5-298.15^5))</f>
        <v>87614.29809761861</v>
      </c>
    </row>
    <row r="108">
      <c r="A108" s="163" t="inlineStr">
        <is>
          <t>TCE (l)</t>
        </is>
      </c>
      <c r="B108" s="216">
        <f>E30</f>
        <v>0.005009843991228917</v>
      </c>
      <c r="C108" s="217">
        <f>('Data Termo'!$J$21*($B$97-298.15)+'Data Termo'!$K$21/2*($B$97^2-298.15^2)+'Data Termo'!$L$21/3*($B$97^3-298.15^3)+'Data Termo'!$M$21/4*($B$97^4-298.15^4))</f>
        <v>27798.802500634974</v>
      </c>
      <c r="D108" s="172" t="inlineStr">
        <is>
          <t>-</t>
        </is>
      </c>
      <c r="E108" s="172" t="inlineStr">
        <is>
          <t>-</t>
        </is>
      </c>
    </row>
    <row r="109">
      <c r="A109" s="163" t="inlineStr">
        <is>
          <t>TCE (g)</t>
        </is>
      </c>
      <c r="B109" s="172" t="inlineStr">
        <is>
          <t>-</t>
        </is>
      </c>
      <c r="C109" s="172" t="inlineStr">
        <is>
          <t>-</t>
        </is>
      </c>
      <c r="D109" s="216">
        <f>I30</f>
        <v>0.005009843991228917</v>
      </c>
      <c r="E109" s="217">
        <f>'Data Termo'!$V$21+('Data Termo'!$E$21*($D$97-298.15)+'Data Termo'!$F$21/2*($D$97^2-298.15^2)+'Data Termo'!$G$21/3*($D$97^3-298.15^3)+'Data Termo'!$H$21/4*($D$97^4-298.15^4)+'Data Termo'!$I$21/5*($D$97^5-298.15^5))</f>
        <v>96404.04858057073</v>
      </c>
    </row>
    <row r="110">
      <c r="A110" s="163" t="inlineStr">
        <is>
          <t>HCl (g)</t>
        </is>
      </c>
      <c r="B110" s="216">
        <f>E31</f>
        <v>0.0</v>
      </c>
      <c r="C110" s="217">
        <f>('Data Termo'!$E$22*($B$97-298.15)+'Data Termo'!$F$22/2*($B$97^2-298.15^2)+'Data Termo'!$G$22/3*($B$97^3-298.15^3)+'Data Termo'!$H$22/4*($B$97^4-298.15^4)+'Data Termo'!$I$22/5*($B$97^5-298.15^5))</f>
        <v>4811.115909455412</v>
      </c>
      <c r="D110" s="216">
        <f>I31</f>
        <v>406.47911870757224</v>
      </c>
      <c r="E110" s="217">
        <f>('Data Termo'!$E$22*($D$97-298.15)+'Data Termo'!$F$22/2*($D$97^2-298.15^2)+'Data Termo'!$G$22/3*($D$97^3-298.15^3)+'Data Termo'!$H$22/4*($D$97^4-298.15^4)+'Data Termo'!$I$22/5*($D$97^5-298.15^5))</f>
        <v>14516.008651241982</v>
      </c>
    </row>
    <row r="111">
      <c r="A111" s="163" t="inlineStr">
        <is>
          <t>VCM (g)</t>
        </is>
      </c>
      <c r="B111" s="216">
        <f>E34</f>
        <v>0.011951314601842957</v>
      </c>
      <c r="C111" s="217">
        <f>('Data Termo'!$E$25*($B$97-298.15)+'Data Termo'!$F$25/2*($B$97^2-298.15^2)+'Data Termo'!$G$25/3*($B$97^3-298.15^3)+'Data Termo'!$H$25/4*($B$97^4-298.15^4)+'Data Termo'!$I$25/5*($B$97^5-298.15^5))</f>
        <v>10418.104832892604</v>
      </c>
      <c r="D111" s="216">
        <f>I34</f>
        <v>406.4910700221741</v>
      </c>
      <c r="E111" s="217">
        <f>('Data Termo'!$E$25*($D$97-298.15)+'Data Termo'!$F$25/2*($D$97^2-298.15^2)+'Data Termo'!$G$25/3*($D$97^3-298.15^3)+'Data Termo'!$H$25/4*($D$97^4-298.15^4)+'Data Termo'!$I$25/5*($D$97^5-298.15^5))</f>
        <v>37460.08560612066</v>
      </c>
    </row>
    <row r="112">
      <c r="A112" s="163" t="inlineStr">
        <is>
          <t>C₄H₈Cl₂ (berat) (g)</t>
        </is>
      </c>
      <c r="B112" s="172" t="inlineStr">
        <is>
          <t>-</t>
        </is>
      </c>
      <c r="C112" s="172" t="inlineStr">
        <is>
          <t>-</t>
        </is>
      </c>
      <c r="D112" s="216">
        <f>I35</f>
        <v>3.0950186703622276</v>
      </c>
      <c r="E112" s="217">
        <f>'Data Termo'!$V$26+('Data Termo'!$E$26*($D$97-298.15)+'Data Termo'!$F$26/2*($D$97^2-298.15^2)+'Data Termo'!$G$26/3*($D$97^3-298.15^3)+'Data Termo'!$H$26/4*($D$97^4-298.15^4)+'Data Termo'!$I$26/5*($D$97^5-298.15^5))</f>
        <v>132049.39818350133</v>
      </c>
    </row>
    <row r="113">
      <c r="A113" s="200" t="inlineStr">
        <is>
          <t>Sub Total ṅᵢĤᵢ (kJ/h)</t>
        </is>
      </c>
      <c r="B113" s="218">
        <f>SUMPRODUCT(B103:B112,C103:C112)</f>
        <v>17896514.864783376</v>
      </c>
      <c r="C113" s="211" t="n"/>
      <c r="D113" s="218">
        <f>SUMPRODUCT(D103:D112,E103:E112)</f>
        <v>51235651.53128126</v>
      </c>
      <c r="E113" s="211" t="n"/>
    </row>
    <row r="114">
      <c r="A114" s="163" t="inlineStr">
        <is>
          <t>Heat of reaction / heat of mixing (kJ/h)</t>
        </is>
      </c>
      <c r="B114" s="219" t="inlineStr">
        <is>
          <t>-</t>
        </is>
      </c>
      <c r="C114" s="211" t="n"/>
      <c r="D114" s="217">
        <f>($B$7*$B$6*E29*'Termodinamika'!$F$110+(1-$B$7)/2*$B$6*E29*'Termodinamika'!$F$111)*1000</f>
        <v>38915179.132983856</v>
      </c>
      <c r="E114" s="211" t="n"/>
    </row>
    <row r="115">
      <c r="A115" s="200" t="inlineStr">
        <is>
          <t>Q (kJ/h)</t>
        </is>
      </c>
      <c r="B115" s="218">
        <f>(D113+$D$114)-(B113)</f>
        <v>72254315.79948175</v>
      </c>
      <c r="C115" s="210" t="n"/>
      <c r="D115" s="210" t="n"/>
      <c r="E115" s="211" t="n"/>
    </row>
    <row r="116">
      <c r="A116" s="200" t="inlineStr">
        <is>
          <t>W (kJ/h)</t>
        </is>
      </c>
      <c r="B116" s="218" t="n">
        <v>0</v>
      </c>
      <c r="C116" s="210" t="n"/>
      <c r="D116" s="210" t="n"/>
      <c r="E116" s="211" t="n"/>
    </row>
    <row r="117">
      <c r="A117" s="200" t="inlineStr">
        <is>
          <t>TOTAL (kJ/h)</t>
        </is>
      </c>
      <c r="B117" s="218">
        <f>B113+$B$115+$B$116</f>
        <v>90150830.66426513</v>
      </c>
      <c r="C117" s="211" t="n"/>
      <c r="D117" s="218">
        <f>(D113+$D$114)</f>
        <v>90150830.66426513</v>
      </c>
      <c r="E117" s="211" t="n"/>
    </row>
    <row r="118">
      <c r="A118" s="163" t="inlineStr">
        <is>
          <t>Selisih masuk − keluar (kJ/h)</t>
        </is>
      </c>
      <c r="B118" s="217">
        <f>B117-D117</f>
        <v>0.0</v>
      </c>
      <c r="C118" s="210" t="n"/>
      <c r="D118" s="210" t="n"/>
      <c r="E118" s="211" t="n"/>
    </row>
    <row r="119">
      <c r="A119" s="163" t="inlineStr">
        <is>
          <t>Q (kW)</t>
        </is>
      </c>
      <c r="B119" s="217">
        <f>$B$115/3600</f>
        <v>20070.64327763382</v>
      </c>
      <c r="C119" s="210" t="n"/>
      <c r="D119" s="210" t="n"/>
      <c r="E119" s="211" t="n"/>
    </row>
    <row r="120">
      <c r="A120" s="163" t="inlineStr">
        <is>
          <t>W (kW)</t>
        </is>
      </c>
      <c r="B120" s="217">
        <f>$B$116/3600</f>
        <v>0.0</v>
      </c>
      <c r="C120" s="210" t="n"/>
      <c r="D120" s="210" t="n"/>
      <c r="E120" s="211" t="n"/>
    </row>
    <row r="123">
      <c r="A123" s="169" t="inlineStr">
        <is>
          <t>Neraca Energi Q-101: Quench gas pirolisis</t>
        </is>
      </c>
    </row>
    <row r="124">
      <c r="A124" s="187" t="inlineStr">
        <is>
          <t>Reference state: Cl₂, H₂O, EDC, TCE, C₄H₈Cl₂ (berat) fasa liquid @ 25°C, 1 bar; HCl, VCM fasa gas @ 25°C, 1 bar</t>
        </is>
      </c>
    </row>
    <row r="125">
      <c r="A125" s="162" t="inlineStr">
        <is>
          <t>No. aliran PFD</t>
        </is>
      </c>
      <c r="B125" s="162" t="n">
        <v>39</v>
      </c>
      <c r="C125" s="211" t="n"/>
      <c r="D125" s="162" t="n">
        <v>40</v>
      </c>
      <c r="E125" s="211" t="n"/>
    </row>
    <row r="126">
      <c r="A126" s="162" t="inlineStr">
        <is>
          <t>Dari</t>
        </is>
      </c>
      <c r="B126" s="172" t="inlineStr">
        <is>
          <t>F-101</t>
        </is>
      </c>
      <c r="C126" s="211" t="n"/>
      <c r="D126" s="172" t="inlineStr">
        <is>
          <t>Q-101</t>
        </is>
      </c>
      <c r="E126" s="211" t="n"/>
    </row>
    <row r="127">
      <c r="A127" s="162" t="inlineStr">
        <is>
          <t>Ke</t>
        </is>
      </c>
      <c r="B127" s="172" t="inlineStr">
        <is>
          <t>Q-101</t>
        </is>
      </c>
      <c r="C127" s="211" t="n"/>
      <c r="D127" s="172" t="inlineStr">
        <is>
          <t>E-108</t>
        </is>
      </c>
      <c r="E127" s="211" t="n"/>
    </row>
    <row r="128">
      <c r="A128" s="162" t="inlineStr">
        <is>
          <t>T (K)</t>
        </is>
      </c>
      <c r="B128" s="185">
        <f>$D$97</f>
        <v>789.15</v>
      </c>
      <c r="C128" s="211" t="n"/>
      <c r="D128" s="185">
        <f>D129+273.15</f>
        <v>353.15</v>
      </c>
      <c r="E128" s="211" t="n"/>
    </row>
    <row r="129">
      <c r="A129" s="162" t="inlineStr">
        <is>
          <t>T (°C)</t>
        </is>
      </c>
      <c r="B129" s="185">
        <f>$D$98</f>
        <v>516.0</v>
      </c>
      <c r="C129" s="211" t="n"/>
      <c r="D129" s="185" t="n">
        <v>80</v>
      </c>
      <c r="E129" s="211" t="n"/>
    </row>
    <row r="130">
      <c r="A130" s="162" t="inlineStr">
        <is>
          <t>P (bar abs)</t>
        </is>
      </c>
      <c r="B130" s="190">
        <f>$D$99</f>
        <v>13.0</v>
      </c>
      <c r="C130" s="211" t="n"/>
      <c r="D130" s="190" t="n">
        <v>11</v>
      </c>
      <c r="E130" s="211" t="n"/>
    </row>
    <row r="131">
      <c r="A131" s="162" t="inlineStr">
        <is>
          <t>Substance</t>
        </is>
      </c>
      <c r="B131" s="162" t="inlineStr">
        <is>
          <t>INLET</t>
        </is>
      </c>
      <c r="C131" s="211" t="n"/>
      <c r="D131" s="162" t="inlineStr">
        <is>
          <t>OUTLET</t>
        </is>
      </c>
      <c r="E131" s="211" t="n"/>
    </row>
    <row r="132">
      <c r="A132" s="212" t="n"/>
      <c r="B132" s="162" t="inlineStr">
        <is>
          <t>Aliran 39</t>
        </is>
      </c>
      <c r="C132" s="211" t="n"/>
      <c r="D132" s="162" t="inlineStr">
        <is>
          <t>Aliran 40</t>
        </is>
      </c>
      <c r="E132" s="211" t="n"/>
    </row>
    <row r="133">
      <c r="A133" s="213" t="n"/>
      <c r="B133" s="162" t="inlineStr">
        <is>
          <t>ṅᵢ (kmol/h)</t>
        </is>
      </c>
      <c r="C133" s="162" t="inlineStr">
        <is>
          <t>Ĥᵢ (kJ/kmol)</t>
        </is>
      </c>
      <c r="D133" s="162" t="inlineStr">
        <is>
          <t>ṅᵢ (kmol/h)</t>
        </is>
      </c>
      <c r="E133" s="162" t="inlineStr">
        <is>
          <t>Ĥᵢ (kJ/kmol)</t>
        </is>
      </c>
    </row>
    <row r="134">
      <c r="A134" s="163" t="inlineStr">
        <is>
          <t>Cl₂ (g)</t>
        </is>
      </c>
      <c r="B134" s="216">
        <f>I19</f>
        <v>3.095018670362267</v>
      </c>
      <c r="C134" s="217">
        <f>'Data Termo'!$V$10+('Data Termo'!$E$10*($B$128-298.15)+'Data Termo'!$F$10/2*($B$128^2-298.15^2)+'Data Termo'!$G$10/3*($B$128^3-298.15^3)+'Data Termo'!$H$10/4*($B$128^4-298.15^4)+'Data Termo'!$I$10/5*($B$128^5-298.15^5))</f>
        <v>34936.93624680591</v>
      </c>
      <c r="D134" s="216">
        <f>'NME-7 Kolom HCl'!E19</f>
        <v>3.095018670362267</v>
      </c>
      <c r="E134" s="217">
        <f>'Data Termo'!$V$10+('Data Termo'!$E$10*($D$128-298.15)+'Data Termo'!$F$10/2*($D$128^2-298.15^2)+'Data Termo'!$G$10/3*($D$128^3-298.15^3)+'Data Termo'!$H$10/4*($D$128^4-298.15^4)+'Data Termo'!$I$10/5*($D$128^5-298.15^5))</f>
        <v>19146.4212846336</v>
      </c>
    </row>
    <row r="135">
      <c r="A135" s="163" t="inlineStr">
        <is>
          <t>H₂O (g)</t>
        </is>
      </c>
      <c r="B135" s="216">
        <f>I21</f>
        <v>0.14511609269780668</v>
      </c>
      <c r="C135" s="217">
        <f>'Data Termo'!$V$12+('Data Termo'!$E$12*($B$128-298.15)+'Data Termo'!$F$12/2*($B$128^2-298.15^2)+'Data Termo'!$G$12/3*($B$128^3-298.15^3)+'Data Termo'!$H$12/4*($B$128^4-298.15^4)+'Data Termo'!$I$12/5*($B$128^5-298.15^5))</f>
        <v>60273.06917226866</v>
      </c>
      <c r="D135" s="216">
        <f>'NME-7 Kolom HCl'!E21</f>
        <v>0.14511609269780668</v>
      </c>
      <c r="E135" s="217">
        <f>'Data Termo'!$V$12+('Data Termo'!$E$12*($D$128-298.15)+'Data Termo'!$F$12/2*($D$128^2-298.15^2)+'Data Termo'!$G$12/3*($D$128^3-298.15^3)+'Data Termo'!$H$12/4*($D$128^4-298.15^4)+'Data Termo'!$I$12/5*($D$128^5-298.15^5))</f>
        <v>44551.5744468679</v>
      </c>
    </row>
    <row r="136">
      <c r="A136" s="163" t="inlineStr">
        <is>
          <t>EDC (g)</t>
        </is>
      </c>
      <c r="B136" s="216">
        <f>I29</f>
        <v>337.63840040315176</v>
      </c>
      <c r="C136" s="217">
        <f>'Data Termo'!$V$20+('Data Termo'!$E$20*($B$128-298.15)+'Data Termo'!$F$20/2*($B$128^2-298.15^2)+'Data Termo'!$G$20/3*($B$128^3-298.15^3)+'Data Termo'!$H$20/4*($B$128^4-298.15^4)+'Data Termo'!$I$20/5*($B$128^5-298.15^5))</f>
        <v>87614.29809761861</v>
      </c>
      <c r="D136" s="216">
        <f>'NME-7 Kolom HCl'!E29</f>
        <v>337.63840040315176</v>
      </c>
      <c r="E136" s="217">
        <f>'Data Termo'!$V$20+('Data Termo'!$E$20*($D$128-298.15)+'Data Termo'!$F$20/2*($D$128^2-298.15^2)+'Data Termo'!$G$20/3*($D$128^3-298.15^3)+'Data Termo'!$H$20/4*($D$128^4-298.15^4)+'Data Termo'!$I$20/5*($D$128^5-298.15^5))</f>
        <v>39602.374664555944</v>
      </c>
    </row>
    <row r="137">
      <c r="A137" s="163" t="inlineStr">
        <is>
          <t>TCE (g)</t>
        </is>
      </c>
      <c r="B137" s="216">
        <f>I30</f>
        <v>0.005009843991228917</v>
      </c>
      <c r="C137" s="217">
        <f>'Data Termo'!$V$21+('Data Termo'!$E$21*($B$128-298.15)+'Data Termo'!$F$21/2*($B$128^2-298.15^2)+'Data Termo'!$G$21/3*($B$128^3-298.15^3)+'Data Termo'!$H$21/4*($B$128^4-298.15^4)+'Data Termo'!$I$21/5*($B$128^5-298.15^5))</f>
        <v>96404.04858057073</v>
      </c>
      <c r="D137" s="216">
        <f>'NME-7 Kolom HCl'!E30</f>
        <v>0.005009843991228917</v>
      </c>
      <c r="E137" s="217">
        <f>'Data Termo'!$V$21+('Data Termo'!$E$21*($D$128-298.15)+'Data Termo'!$F$21/2*($D$128^2-298.15^2)+'Data Termo'!$G$21/3*($D$128^3-298.15^3)+'Data Termo'!$H$21/4*($D$128^4-298.15^4)+'Data Termo'!$I$21/5*($D$128^5-298.15^5))</f>
        <v>43445.06281507358</v>
      </c>
    </row>
    <row r="138">
      <c r="A138" s="163" t="inlineStr">
        <is>
          <t>HCl (g)</t>
        </is>
      </c>
      <c r="B138" s="216">
        <f>I31</f>
        <v>406.47911870757224</v>
      </c>
      <c r="C138" s="217">
        <f>('Data Termo'!$E$22*($B$128-298.15)+'Data Termo'!$F$22/2*($B$128^2-298.15^2)+'Data Termo'!$G$22/3*($B$128^3-298.15^3)+'Data Termo'!$H$22/4*($B$128^4-298.15^4)+'Data Termo'!$I$22/5*($B$128^5-298.15^5))</f>
        <v>14516.008651241982</v>
      </c>
      <c r="D138" s="216">
        <f>'NME-7 Kolom HCl'!E31</f>
        <v>406.47911870757224</v>
      </c>
      <c r="E138" s="217">
        <f>('Data Termo'!$E$22*($D$128-298.15)+'Data Termo'!$F$22/2*($D$128^2-298.15^2)+'Data Termo'!$G$22/3*($D$128^3-298.15^3)+'Data Termo'!$H$22/4*($D$128^4-298.15^4)+'Data Termo'!$I$22/5*($D$128^5-298.15^5))</f>
        <v>1600.3161541698323</v>
      </c>
    </row>
    <row r="139">
      <c r="A139" s="163" t="inlineStr">
        <is>
          <t>VCM (g)</t>
        </is>
      </c>
      <c r="B139" s="216">
        <f>I34</f>
        <v>406.4910700221741</v>
      </c>
      <c r="C139" s="217">
        <f>('Data Termo'!$E$25*($B$128-298.15)+'Data Termo'!$F$25/2*($B$128^2-298.15^2)+'Data Termo'!$G$25/3*($B$128^3-298.15^3)+'Data Termo'!$H$25/4*($B$128^4-298.15^4)+'Data Termo'!$I$25/5*($B$128^5-298.15^5))</f>
        <v>37460.08560612066</v>
      </c>
      <c r="D139" s="216">
        <f>'NME-7 Kolom HCl'!E34</f>
        <v>406.4910700221741</v>
      </c>
      <c r="E139" s="217">
        <f>('Data Termo'!$E$25*($D$128-298.15)+'Data Termo'!$F$25/2*($D$128^2-298.15^2)+'Data Termo'!$G$25/3*($D$128^3-298.15^3)+'Data Termo'!$H$25/4*($D$128^4-298.15^4)+'Data Termo'!$I$25/5*($D$128^5-298.15^5))</f>
        <v>3176.3813705576986</v>
      </c>
    </row>
    <row r="140">
      <c r="A140" s="163" t="inlineStr">
        <is>
          <t>C₄H₈Cl₂ (berat) (g)</t>
        </is>
      </c>
      <c r="B140" s="216">
        <f>I35</f>
        <v>3.0950186703622276</v>
      </c>
      <c r="C140" s="217">
        <f>'Data Termo'!$V$26+('Data Termo'!$E$26*($B$128-298.15)+'Data Termo'!$F$26/2*($B$128^2-298.15^2)+'Data Termo'!$G$26/3*($B$128^3-298.15^3)+'Data Termo'!$H$26/4*($B$128^4-298.15^4)+'Data Termo'!$I$26/5*($B$128^5-298.15^5))</f>
        <v>132049.39818350133</v>
      </c>
      <c r="D140" s="216">
        <f>'NME-7 Kolom HCl'!E35</f>
        <v>3.0950186703622276</v>
      </c>
      <c r="E140" s="217">
        <f>'Data Termo'!$V$26+('Data Termo'!$E$26*($D$128-298.15)+'Data Termo'!$F$26/2*($D$128^2-298.15^2)+'Data Termo'!$G$26/3*($D$128^3-298.15^3)+'Data Termo'!$H$26/4*($D$128^4-298.15^4)+'Data Termo'!$I$26/5*($D$128^5-298.15^5))</f>
        <v>52354.288863310874</v>
      </c>
    </row>
    <row r="141">
      <c r="A141" s="200" t="inlineStr">
        <is>
          <t>Sub Total ṅᵢĤᵢ (kJ/h)</t>
        </is>
      </c>
      <c r="B141" s="218">
        <f>SUMPRODUCT(B134:B140,C134:C140)</f>
        <v>51235651.53128126</v>
      </c>
      <c r="C141" s="211" t="n"/>
      <c r="D141" s="218">
        <f>SUMPRODUCT(D134:D140,E134:E140)</f>
        <v>15540927.03227012</v>
      </c>
      <c r="E141" s="211" t="n"/>
    </row>
    <row r="142">
      <c r="A142" s="163" t="inlineStr">
        <is>
          <t>Heat of reaction / heat of mixing (kJ/h)</t>
        </is>
      </c>
      <c r="B142" s="219" t="inlineStr">
        <is>
          <t>-</t>
        </is>
      </c>
      <c r="C142" s="211" t="n"/>
      <c r="D142" s="220" t="inlineStr">
        <is>
          <t>-</t>
        </is>
      </c>
      <c r="E142" s="211" t="n"/>
    </row>
    <row r="143">
      <c r="A143" s="200" t="inlineStr">
        <is>
          <t>Q (kJ/h)</t>
        </is>
      </c>
      <c r="B143" s="218">
        <f>(D141)-(B141)</f>
        <v>-35694724.499011144</v>
      </c>
      <c r="C143" s="210" t="n"/>
      <c r="D143" s="210" t="n"/>
      <c r="E143" s="211" t="n"/>
    </row>
    <row r="144">
      <c r="A144" s="200" t="inlineStr">
        <is>
          <t>W (kJ/h)</t>
        </is>
      </c>
      <c r="B144" s="218" t="n">
        <v>0</v>
      </c>
      <c r="C144" s="210" t="n"/>
      <c r="D144" s="210" t="n"/>
      <c r="E144" s="211" t="n"/>
    </row>
    <row r="145">
      <c r="A145" s="200" t="inlineStr">
        <is>
          <t>TOTAL (kJ/h)</t>
        </is>
      </c>
      <c r="B145" s="218">
        <f>B141+$B$143+$B$144</f>
        <v>15540927.032270119</v>
      </c>
      <c r="C145" s="211" t="n"/>
      <c r="D145" s="218">
        <f>(D141)</f>
        <v>15540927.03227012</v>
      </c>
      <c r="E145" s="211" t="n"/>
    </row>
    <row r="146">
      <c r="A146" s="163" t="inlineStr">
        <is>
          <t>Selisih masuk − keluar (kJ/h)</t>
        </is>
      </c>
      <c r="B146" s="217">
        <f>B145-D145</f>
        <v>-1.862645149230957e-09</v>
      </c>
      <c r="C146" s="210" t="n"/>
      <c r="D146" s="210" t="n"/>
      <c r="E146" s="211" t="n"/>
    </row>
    <row r="147">
      <c r="A147" s="163" t="inlineStr">
        <is>
          <t>Q (kW)</t>
        </is>
      </c>
      <c r="B147" s="217">
        <f>$B$143/3600</f>
        <v>-9915.201249725318</v>
      </c>
      <c r="C147" s="210" t="n"/>
      <c r="D147" s="210" t="n"/>
      <c r="E147" s="211" t="n"/>
    </row>
    <row r="148">
      <c r="A148" s="163" t="inlineStr">
        <is>
          <t>W (kW)</t>
        </is>
      </c>
      <c r="B148" s="217">
        <f>$B$144/3600</f>
        <v>0.0</v>
      </c>
      <c r="C148" s="210" t="n"/>
      <c r="D148" s="210" t="n"/>
      <c r="E148" s="211" t="n"/>
    </row>
  </sheetData>
  <mergeCells count="125">
    <mergeCell ref="B146:E146"/>
    <mergeCell ref="D60:E60"/>
    <mergeCell ref="B100:C100"/>
    <mergeCell ref="D100:E100"/>
    <mergeCell ref="B141:C141"/>
    <mergeCell ref="C7:L7"/>
    <mergeCell ref="D45:E45"/>
    <mergeCell ref="B86:C86"/>
    <mergeCell ref="D86:E86"/>
    <mergeCell ref="B101:C101"/>
    <mergeCell ref="D141:E141"/>
    <mergeCell ref="D70:E70"/>
    <mergeCell ref="A49:A51"/>
    <mergeCell ref="D48:E48"/>
    <mergeCell ref="B115:E115"/>
    <mergeCell ref="B69:C69"/>
    <mergeCell ref="D125:E125"/>
    <mergeCell ref="D72:E72"/>
    <mergeCell ref="B12:E12"/>
    <mergeCell ref="B127:C127"/>
    <mergeCell ref="D56:E56"/>
    <mergeCell ref="D71:E71"/>
    <mergeCell ref="D127:E127"/>
    <mergeCell ref="B49:C49"/>
    <mergeCell ref="D114:E114"/>
    <mergeCell ref="B13:E13"/>
    <mergeCell ref="D73:E73"/>
    <mergeCell ref="D98:E98"/>
    <mergeCell ref="D113:E113"/>
    <mergeCell ref="B87:E87"/>
    <mergeCell ref="B129:C129"/>
    <mergeCell ref="F13:I13"/>
    <mergeCell ref="A12:A14"/>
    <mergeCell ref="D99:E99"/>
    <mergeCell ref="F37:I37"/>
    <mergeCell ref="B131:C131"/>
    <mergeCell ref="D131:E131"/>
    <mergeCell ref="B63:E63"/>
    <mergeCell ref="D101:E101"/>
    <mergeCell ref="B130:C130"/>
    <mergeCell ref="B117:C117"/>
    <mergeCell ref="D132:E132"/>
    <mergeCell ref="B132:C132"/>
    <mergeCell ref="D126:E126"/>
    <mergeCell ref="D75:E75"/>
    <mergeCell ref="D47:E47"/>
    <mergeCell ref="C10:L10"/>
    <mergeCell ref="B61:E61"/>
    <mergeCell ref="A74:A76"/>
    <mergeCell ref="B119:E119"/>
    <mergeCell ref="B142:C142"/>
    <mergeCell ref="B95:C95"/>
    <mergeCell ref="D142:E142"/>
    <mergeCell ref="B116:E116"/>
    <mergeCell ref="D129:E129"/>
    <mergeCell ref="B37:E37"/>
    <mergeCell ref="B84:E84"/>
    <mergeCell ref="B97:C97"/>
    <mergeCell ref="B118:E118"/>
    <mergeCell ref="B125:C125"/>
    <mergeCell ref="B72:C72"/>
    <mergeCell ref="D128:E128"/>
    <mergeCell ref="A100:A102"/>
    <mergeCell ref="B56:C56"/>
    <mergeCell ref="B71:C71"/>
    <mergeCell ref="B89:E89"/>
    <mergeCell ref="B96:C96"/>
    <mergeCell ref="D96:E96"/>
    <mergeCell ref="B43:C43"/>
    <mergeCell ref="B144:E144"/>
    <mergeCell ref="D49:E49"/>
    <mergeCell ref="B98:C98"/>
    <mergeCell ref="B60:C60"/>
    <mergeCell ref="C6:L6"/>
    <mergeCell ref="B57:C57"/>
    <mergeCell ref="B82:C82"/>
    <mergeCell ref="B44:C44"/>
    <mergeCell ref="B58:E58"/>
    <mergeCell ref="B38:I38"/>
    <mergeCell ref="B99:C99"/>
    <mergeCell ref="B120:E120"/>
    <mergeCell ref="B83:C83"/>
    <mergeCell ref="D83:E83"/>
    <mergeCell ref="D117:E117"/>
    <mergeCell ref="B148:E148"/>
    <mergeCell ref="B45:C45"/>
    <mergeCell ref="B5:L5"/>
    <mergeCell ref="B94:C94"/>
    <mergeCell ref="D94:E94"/>
    <mergeCell ref="B126:C126"/>
    <mergeCell ref="B75:C75"/>
    <mergeCell ref="D69:E69"/>
    <mergeCell ref="B47:C47"/>
    <mergeCell ref="C8:L8"/>
    <mergeCell ref="B143:E143"/>
    <mergeCell ref="B46:C46"/>
    <mergeCell ref="D46:E46"/>
    <mergeCell ref="B85:E85"/>
    <mergeCell ref="A131:A133"/>
    <mergeCell ref="B70:C70"/>
    <mergeCell ref="B48:C48"/>
    <mergeCell ref="D95:E95"/>
    <mergeCell ref="D57:E57"/>
    <mergeCell ref="B62:E62"/>
    <mergeCell ref="B145:C145"/>
    <mergeCell ref="D145:E145"/>
    <mergeCell ref="B59:E59"/>
    <mergeCell ref="D97:E97"/>
    <mergeCell ref="B73:C73"/>
    <mergeCell ref="D43:E43"/>
    <mergeCell ref="B128:C128"/>
    <mergeCell ref="F12:I12"/>
    <mergeCell ref="B74:C74"/>
    <mergeCell ref="B68:C68"/>
    <mergeCell ref="D74:E74"/>
    <mergeCell ref="D130:E130"/>
    <mergeCell ref="D68:E68"/>
    <mergeCell ref="D82:E82"/>
    <mergeCell ref="B88:E88"/>
    <mergeCell ref="B114:C114"/>
    <mergeCell ref="B147:E147"/>
    <mergeCell ref="B50:C50"/>
    <mergeCell ref="D50:E50"/>
    <mergeCell ref="D44:E44"/>
    <mergeCell ref="B113:C11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3:M104"/>
  <sheetViews>
    <sheetView tabSelected="0" zoomScale="85"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</cols>
  <sheetData>
    <row r="3">
      <c r="A3" s="169" t="inlineStr">
        <is>
          <t>Neraca Massa dan Energi</t>
        </is>
      </c>
    </row>
    <row r="4">
      <c r="A4" s="169" t="inlineStr">
        <is>
          <t>NM Blok 7: Pemisahan HCl (Kolom HCl)</t>
        </is>
      </c>
    </row>
    <row r="5">
      <c r="A5" s="202" t="inlineStr">
        <is>
          <t>Tujuan:</t>
        </is>
      </c>
      <c r="B5" s="187" t="inlineStr">
        <is>
          <t>Memisahkan HCl (distilat) untuk didaur ulang ke oksiklorinasi</t>
        </is>
      </c>
    </row>
    <row r="6">
      <c r="A6" s="202" t="inlineStr">
        <is>
          <t>Unjuk Kerja</t>
        </is>
      </c>
      <c r="B6" s="226">
        <f>0.5/1000000</f>
        <v>5e-07</v>
      </c>
      <c r="C6" s="187" t="inlineStr">
        <is>
          <t>Kadar HCl dalam VCM produk (fraksi berat)</t>
        </is>
      </c>
    </row>
    <row r="7">
      <c r="B7" s="204">
        <f>100/1000000</f>
        <v>0.0001</v>
      </c>
      <c r="C7" s="187" t="inlineStr">
        <is>
          <t>Kadar VCM dalam HCl daur ulang (fraksi mol)</t>
        </is>
      </c>
    </row>
    <row r="8">
      <c r="B8" s="208" t="n">
        <v>1000</v>
      </c>
      <c r="C8" s="187" t="inlineStr">
        <is>
          <t>Laju refluks kolom HCl KD-103 (kg/h)</t>
        </is>
      </c>
    </row>
    <row r="10">
      <c r="A10" s="202" t="inlineStr">
        <is>
          <t>Basis Perhitungan</t>
        </is>
      </c>
      <c r="B10" s="209">
        <f>'NME-1 Klorinasi Langsung'!$B$16</f>
        <v>6100.572183061604</v>
      </c>
      <c r="C10" s="187" t="inlineStr">
        <is>
          <t>kg/h aliran etilena ke R-01 (NME-1)</t>
        </is>
      </c>
    </row>
    <row r="12">
      <c r="A12" s="162" t="inlineStr">
        <is>
          <t>Substance</t>
        </is>
      </c>
      <c r="B12" s="162" t="inlineStr">
        <is>
          <t>Inlet</t>
        </is>
      </c>
      <c r="C12" s="210" t="n"/>
      <c r="D12" s="210" t="n"/>
      <c r="E12" s="211" t="n"/>
      <c r="F12" s="162" t="inlineStr">
        <is>
          <t>Outlet</t>
        </is>
      </c>
      <c r="G12" s="210" t="n"/>
      <c r="H12" s="210" t="n"/>
      <c r="I12" s="210" t="n"/>
      <c r="J12" s="210" t="n"/>
      <c r="K12" s="210" t="n"/>
      <c r="L12" s="210" t="n"/>
      <c r="M12" s="211" t="n"/>
    </row>
    <row r="13">
      <c r="A13" s="212" t="n"/>
      <c r="B13" s="162" t="inlineStr">
        <is>
          <t>Aliran 41</t>
        </is>
      </c>
      <c r="C13" s="210" t="n"/>
      <c r="D13" s="210" t="n"/>
      <c r="E13" s="211" t="n"/>
      <c r="F13" s="162" t="inlineStr">
        <is>
          <t>Aliran 42</t>
        </is>
      </c>
      <c r="G13" s="210" t="n"/>
      <c r="H13" s="210" t="n"/>
      <c r="I13" s="211" t="n"/>
      <c r="J13" s="162" t="inlineStr">
        <is>
          <t>Aliran 45</t>
        </is>
      </c>
      <c r="K13" s="210" t="n"/>
      <c r="L13" s="210" t="n"/>
      <c r="M13" s="211" t="n"/>
    </row>
    <row r="14">
      <c r="A14" s="213" t="n"/>
      <c r="B14" s="214" t="inlineStr">
        <is>
          <t>ẋᵢ</t>
        </is>
      </c>
      <c r="C14" s="214" t="inlineStr">
        <is>
          <t>ṁᵢ (kg/h)</t>
        </is>
      </c>
      <c r="D14" s="214" t="inlineStr">
        <is>
          <t>ẏᵢ</t>
        </is>
      </c>
      <c r="E14" s="214" t="inlineStr">
        <is>
          <t>ṅᵢ (kmol/h)</t>
        </is>
      </c>
      <c r="F14" s="214" t="inlineStr">
        <is>
          <t>ẋᵢ</t>
        </is>
      </c>
      <c r="G14" s="214" t="inlineStr">
        <is>
          <t>ṁᵢ (kg/h)</t>
        </is>
      </c>
      <c r="H14" s="214" t="inlineStr">
        <is>
          <t>ẏᵢ</t>
        </is>
      </c>
      <c r="I14" s="214" t="inlineStr">
        <is>
          <t>ṅᵢ (kmol/h)</t>
        </is>
      </c>
      <c r="J14" s="214" t="inlineStr">
        <is>
          <t>ẋᵢ</t>
        </is>
      </c>
      <c r="K14" s="214" t="inlineStr">
        <is>
          <t>ṁᵢ (kg/h)</t>
        </is>
      </c>
      <c r="L14" s="214" t="inlineStr">
        <is>
          <t>ẏᵢ</t>
        </is>
      </c>
      <c r="M14" s="214" t="inlineStr">
        <is>
          <t>ṅᵢ (kmol/h)</t>
        </is>
      </c>
    </row>
    <row r="15">
      <c r="A15" s="163" t="inlineStr">
        <is>
          <t>C₂H₄</t>
        </is>
      </c>
      <c r="B15" s="189">
        <f>C15/C$36</f>
        <v>0.0</v>
      </c>
      <c r="C15" s="215">
        <f>E15*'Data Komponen'!$D$3</f>
        <v>0.0</v>
      </c>
      <c r="D15" s="189">
        <f>E15/E$36</f>
        <v>0.0</v>
      </c>
      <c r="E15" s="216">
        <f>'NME-6 Pirolisis'!I15</f>
        <v>0.0</v>
      </c>
      <c r="F15" s="189">
        <f>G15/G$36</f>
        <v>0.0</v>
      </c>
      <c r="G15" s="215">
        <f>I15*'Data Komponen'!$D$3</f>
        <v>0.0</v>
      </c>
      <c r="H15" s="189">
        <f>I15/I$36</f>
        <v>0.0</v>
      </c>
      <c r="I15" s="216">
        <f>0</f>
        <v>0.0</v>
      </c>
      <c r="J15" s="189">
        <f>K15/K$36</f>
        <v>0.0</v>
      </c>
      <c r="K15" s="215">
        <f>M15*'Data Komponen'!$D$3</f>
        <v>0.0</v>
      </c>
      <c r="L15" s="189">
        <f>M15/M$36</f>
        <v>0.0</v>
      </c>
      <c r="M15" s="216">
        <f>E15</f>
        <v>0.0</v>
      </c>
    </row>
    <row r="16">
      <c r="A16" s="163" t="inlineStr">
        <is>
          <t>CH₄</t>
        </is>
      </c>
      <c r="B16" s="189">
        <f>C16/C$36</f>
        <v>0.0</v>
      </c>
      <c r="C16" s="215">
        <f>E16*'Data Komponen'!$D$4</f>
        <v>0.0</v>
      </c>
      <c r="D16" s="189">
        <f>E16/E$36</f>
        <v>0.0</v>
      </c>
      <c r="E16" s="216">
        <f>'NME-6 Pirolisis'!I16</f>
        <v>0.0</v>
      </c>
      <c r="F16" s="189">
        <f>G16/G$36</f>
        <v>0.0</v>
      </c>
      <c r="G16" s="215">
        <f>I16*'Data Komponen'!$D$4</f>
        <v>0.0</v>
      </c>
      <c r="H16" s="189">
        <f>I16/I$36</f>
        <v>0.0</v>
      </c>
      <c r="I16" s="216">
        <f>0</f>
        <v>0.0</v>
      </c>
      <c r="J16" s="189">
        <f>K16/K$36</f>
        <v>0.0</v>
      </c>
      <c r="K16" s="215">
        <f>M16*'Data Komponen'!$D$4</f>
        <v>0.0</v>
      </c>
      <c r="L16" s="189">
        <f>M16/M$36</f>
        <v>0.0</v>
      </c>
      <c r="M16" s="216">
        <f>E16</f>
        <v>0.0</v>
      </c>
    </row>
    <row r="17">
      <c r="A17" s="163" t="inlineStr">
        <is>
          <t>C₂H₆</t>
        </is>
      </c>
      <c r="B17" s="189">
        <f>C17/C$36</f>
        <v>0.0</v>
      </c>
      <c r="C17" s="215">
        <f>E17*'Data Komponen'!$D$5</f>
        <v>0.0</v>
      </c>
      <c r="D17" s="189">
        <f>E17/E$36</f>
        <v>0.0</v>
      </c>
      <c r="E17" s="216">
        <f>'NME-6 Pirolisis'!I17</f>
        <v>0.0</v>
      </c>
      <c r="F17" s="189">
        <f>G17/G$36</f>
        <v>0.0</v>
      </c>
      <c r="G17" s="215">
        <f>I17*'Data Komponen'!$D$5</f>
        <v>0.0</v>
      </c>
      <c r="H17" s="189">
        <f>I17/I$36</f>
        <v>0.0</v>
      </c>
      <c r="I17" s="216">
        <f>0</f>
        <v>0.0</v>
      </c>
      <c r="J17" s="189">
        <f>K17/K$36</f>
        <v>0.0</v>
      </c>
      <c r="K17" s="215">
        <f>M17*'Data Komponen'!$D$5</f>
        <v>0.0</v>
      </c>
      <c r="L17" s="189">
        <f>M17/M$36</f>
        <v>0.0</v>
      </c>
      <c r="M17" s="216">
        <f>E17</f>
        <v>0.0</v>
      </c>
    </row>
    <row r="18">
      <c r="A18" s="163" t="inlineStr">
        <is>
          <t>C₂H₂</t>
        </is>
      </c>
      <c r="B18" s="189">
        <f>C18/C$36</f>
        <v>0.0</v>
      </c>
      <c r="C18" s="215">
        <f>E18*'Data Komponen'!$D$6</f>
        <v>0.0</v>
      </c>
      <c r="D18" s="189">
        <f>E18/E$36</f>
        <v>0.0</v>
      </c>
      <c r="E18" s="216">
        <f>'NME-6 Pirolisis'!I18</f>
        <v>0.0</v>
      </c>
      <c r="F18" s="189">
        <f>G18/G$36</f>
        <v>0.0</v>
      </c>
      <c r="G18" s="215">
        <f>I18*'Data Komponen'!$D$6</f>
        <v>0.0</v>
      </c>
      <c r="H18" s="189">
        <f>I18/I$36</f>
        <v>0.0</v>
      </c>
      <c r="I18" s="216">
        <f>0</f>
        <v>0.0</v>
      </c>
      <c r="J18" s="189">
        <f>K18/K$36</f>
        <v>0.0</v>
      </c>
      <c r="K18" s="215">
        <f>M18*'Data Komponen'!$D$6</f>
        <v>0.0</v>
      </c>
      <c r="L18" s="189">
        <f>M18/M$36</f>
        <v>0.0</v>
      </c>
      <c r="M18" s="216">
        <f>E18</f>
        <v>0.0</v>
      </c>
    </row>
    <row r="19">
      <c r="A19" s="163" t="inlineStr">
        <is>
          <t>Cl₂</t>
        </is>
      </c>
      <c r="B19" s="189">
        <f>C19/C$36</f>
        <v>0.0029554386444104208</v>
      </c>
      <c r="C19" s="215">
        <f>E19*'Data Komponen'!$D$7</f>
        <v>219.45229882203654</v>
      </c>
      <c r="D19" s="189">
        <f>E19/E$36</f>
        <v>0.0026751562365353756</v>
      </c>
      <c r="E19" s="216">
        <f>'NME-6 Pirolisis'!I19</f>
        <v>3.095018670362267</v>
      </c>
      <c r="F19" s="189">
        <f>G19/G$36</f>
        <v>0.014588687507313541</v>
      </c>
      <c r="G19" s="215">
        <f>I19*'Data Komponen'!$D$7</f>
        <v>219.45229882203654</v>
      </c>
      <c r="H19" s="189">
        <f>I19/I$36</f>
        <v>0.0075559257840029</v>
      </c>
      <c r="I19" s="216">
        <f>E19</f>
        <v>3.095018670362267</v>
      </c>
      <c r="J19" s="189">
        <f>K19/K$36</f>
        <v>0.0</v>
      </c>
      <c r="K19" s="215">
        <f>M19*'Data Komponen'!$D$7</f>
        <v>0.0</v>
      </c>
      <c r="L19" s="189">
        <f>M19/M$36</f>
        <v>0.0</v>
      </c>
      <c r="M19" s="216">
        <f>0</f>
        <v>0.0</v>
      </c>
    </row>
    <row r="20">
      <c r="A20" s="163" t="inlineStr">
        <is>
          <t>CₙHₘ</t>
        </is>
      </c>
      <c r="B20" s="189">
        <f>C20/C$36</f>
        <v>0.0</v>
      </c>
      <c r="C20" s="215">
        <f>E20*'Data Komponen'!$D$8</f>
        <v>0.0</v>
      </c>
      <c r="D20" s="189">
        <f>E20/E$36</f>
        <v>0.0</v>
      </c>
      <c r="E20" s="216">
        <f>'NME-6 Pirolisis'!I20</f>
        <v>0.0</v>
      </c>
      <c r="F20" s="189">
        <f>G20/G$36</f>
        <v>0.0</v>
      </c>
      <c r="G20" s="215">
        <f>I20*'Data Komponen'!$D$8</f>
        <v>0.0</v>
      </c>
      <c r="H20" s="189">
        <f>I20/I$36</f>
        <v>0.0</v>
      </c>
      <c r="I20" s="216">
        <f>0</f>
        <v>0.0</v>
      </c>
      <c r="J20" s="189">
        <f>K20/K$36</f>
        <v>0.0</v>
      </c>
      <c r="K20" s="215">
        <f>M20*'Data Komponen'!$D$8</f>
        <v>0.0</v>
      </c>
      <c r="L20" s="189">
        <f>M20/M$36</f>
        <v>0.0</v>
      </c>
      <c r="M20" s="216">
        <f>E20</f>
        <v>0.0</v>
      </c>
    </row>
    <row r="21">
      <c r="A21" s="163" t="inlineStr">
        <is>
          <t>H₂O</t>
        </is>
      </c>
      <c r="B21" s="189">
        <f>C21/C$36</f>
        <v>3.520721366887499e-05</v>
      </c>
      <c r="C21" s="215">
        <f>E21*'Data Komponen'!$D$9</f>
        <v>2.614266409950987</v>
      </c>
      <c r="D21" s="189">
        <f>E21/E$36</f>
        <v>0.00012543000923375498</v>
      </c>
      <c r="E21" s="216">
        <f>'NME-6 Pirolisis'!I21</f>
        <v>0.14511609269780668</v>
      </c>
      <c r="F21" s="189">
        <f>G21/G$36</f>
        <v>0.0</v>
      </c>
      <c r="G21" s="215">
        <f>I21*'Data Komponen'!$D$9</f>
        <v>0.0</v>
      </c>
      <c r="H21" s="189">
        <f>I21/I$36</f>
        <v>0.0</v>
      </c>
      <c r="I21" s="216">
        <f>0</f>
        <v>0.0</v>
      </c>
      <c r="J21" s="189">
        <f>K21/K$36</f>
        <v>4.4151641924924604e-05</v>
      </c>
      <c r="K21" s="215">
        <f>M21*'Data Komponen'!$D$9</f>
        <v>2.614266409950987</v>
      </c>
      <c r="L21" s="189">
        <f>M21/M$36</f>
        <v>0.0001941783629896648</v>
      </c>
      <c r="M21" s="216">
        <f>E21</f>
        <v>0.14511609269780668</v>
      </c>
    </row>
    <row r="22">
      <c r="A22" s="163" t="inlineStr">
        <is>
          <t>CₓHᵧCl</t>
        </is>
      </c>
      <c r="B22" s="189">
        <f>C22/C$36</f>
        <v>0.0</v>
      </c>
      <c r="C22" s="215">
        <f>E22*'Data Komponen'!$D$10</f>
        <v>0.0</v>
      </c>
      <c r="D22" s="189">
        <f>E22/E$36</f>
        <v>0.0</v>
      </c>
      <c r="E22" s="216">
        <f>'NME-6 Pirolisis'!I22</f>
        <v>0.0</v>
      </c>
      <c r="F22" s="189">
        <f>G22/G$36</f>
        <v>0.0</v>
      </c>
      <c r="G22" s="215">
        <f>I22*'Data Komponen'!$D$10</f>
        <v>0.0</v>
      </c>
      <c r="H22" s="189">
        <f>I22/I$36</f>
        <v>0.0</v>
      </c>
      <c r="I22" s="216">
        <f>0</f>
        <v>0.0</v>
      </c>
      <c r="J22" s="189">
        <f>K22/K$36</f>
        <v>0.0</v>
      </c>
      <c r="K22" s="215">
        <f>M22*'Data Komponen'!$D$10</f>
        <v>0.0</v>
      </c>
      <c r="L22" s="189">
        <f>M22/M$36</f>
        <v>0.0</v>
      </c>
      <c r="M22" s="216">
        <f>E22</f>
        <v>0.0</v>
      </c>
    </row>
    <row r="23">
      <c r="A23" s="163" t="inlineStr">
        <is>
          <t>Br₂</t>
        </is>
      </c>
      <c r="B23" s="189">
        <f>C23/C$36</f>
        <v>0.0</v>
      </c>
      <c r="C23" s="215">
        <f>E23*'Data Komponen'!$D$11</f>
        <v>0.0</v>
      </c>
      <c r="D23" s="189">
        <f>E23/E$36</f>
        <v>0.0</v>
      </c>
      <c r="E23" s="216">
        <f>'NME-6 Pirolisis'!I23</f>
        <v>0.0</v>
      </c>
      <c r="F23" s="189">
        <f>G23/G$36</f>
        <v>0.0</v>
      </c>
      <c r="G23" s="215">
        <f>I23*'Data Komponen'!$D$11</f>
        <v>0.0</v>
      </c>
      <c r="H23" s="189">
        <f>I23/I$36</f>
        <v>0.0</v>
      </c>
      <c r="I23" s="216">
        <f>0</f>
        <v>0.0</v>
      </c>
      <c r="J23" s="189">
        <f>K23/K$36</f>
        <v>0.0</v>
      </c>
      <c r="K23" s="215">
        <f>M23*'Data Komponen'!$D$11</f>
        <v>0.0</v>
      </c>
      <c r="L23" s="189">
        <f>M23/M$36</f>
        <v>0.0</v>
      </c>
      <c r="M23" s="216">
        <f>E23</f>
        <v>0.0</v>
      </c>
    </row>
    <row r="24">
      <c r="A24" s="163" t="inlineStr">
        <is>
          <t>NCl₃</t>
        </is>
      </c>
      <c r="B24" s="189">
        <f>C24/C$36</f>
        <v>0.0</v>
      </c>
      <c r="C24" s="215">
        <f>E24*'Data Komponen'!$D$12</f>
        <v>0.0</v>
      </c>
      <c r="D24" s="189">
        <f>E24/E$36</f>
        <v>0.0</v>
      </c>
      <c r="E24" s="216">
        <f>'NME-6 Pirolisis'!I24</f>
        <v>0.0</v>
      </c>
      <c r="F24" s="189">
        <f>G24/G$36</f>
        <v>0.0</v>
      </c>
      <c r="G24" s="215">
        <f>I24*'Data Komponen'!$D$12</f>
        <v>0.0</v>
      </c>
      <c r="H24" s="189">
        <f>I24/I$36</f>
        <v>0.0</v>
      </c>
      <c r="I24" s="216">
        <f>0</f>
        <v>0.0</v>
      </c>
      <c r="J24" s="189">
        <f>K24/K$36</f>
        <v>0.0</v>
      </c>
      <c r="K24" s="215">
        <f>M24*'Data Komponen'!$D$12</f>
        <v>0.0</v>
      </c>
      <c r="L24" s="189">
        <f>M24/M$36</f>
        <v>0.0</v>
      </c>
      <c r="M24" s="216">
        <f>E24</f>
        <v>0.0</v>
      </c>
    </row>
    <row r="25">
      <c r="A25" s="163" t="inlineStr">
        <is>
          <t>H₂</t>
        </is>
      </c>
      <c r="B25" s="189">
        <f>C25/C$36</f>
        <v>0.0</v>
      </c>
      <c r="C25" s="215">
        <f>E25*'Data Komponen'!$D$13</f>
        <v>0.0</v>
      </c>
      <c r="D25" s="189">
        <f>E25/E$36</f>
        <v>0.0</v>
      </c>
      <c r="E25" s="216">
        <f>'NME-6 Pirolisis'!I25</f>
        <v>0.0</v>
      </c>
      <c r="F25" s="189">
        <f>G25/G$36</f>
        <v>0.0</v>
      </c>
      <c r="G25" s="215">
        <f>I25*'Data Komponen'!$D$13</f>
        <v>0.0</v>
      </c>
      <c r="H25" s="189">
        <f>I25/I$36</f>
        <v>0.0</v>
      </c>
      <c r="I25" s="216">
        <f>0</f>
        <v>0.0</v>
      </c>
      <c r="J25" s="189">
        <f>K25/K$36</f>
        <v>0.0</v>
      </c>
      <c r="K25" s="215">
        <f>M25*'Data Komponen'!$D$13</f>
        <v>0.0</v>
      </c>
      <c r="L25" s="189">
        <f>M25/M$36</f>
        <v>0.0</v>
      </c>
      <c r="M25" s="216">
        <f>E25</f>
        <v>0.0</v>
      </c>
    </row>
    <row r="26">
      <c r="A26" s="163" t="inlineStr">
        <is>
          <t>O₂</t>
        </is>
      </c>
      <c r="B26" s="189">
        <f>C26/C$36</f>
        <v>0.0</v>
      </c>
      <c r="C26" s="215">
        <f>E26*'Data Komponen'!$D$14</f>
        <v>0.0</v>
      </c>
      <c r="D26" s="189">
        <f>E26/E$36</f>
        <v>0.0</v>
      </c>
      <c r="E26" s="216">
        <f>'NME-6 Pirolisis'!I26</f>
        <v>0.0</v>
      </c>
      <c r="F26" s="189">
        <f>G26/G$36</f>
        <v>0.0</v>
      </c>
      <c r="G26" s="215">
        <f>I26*'Data Komponen'!$D$14</f>
        <v>0.0</v>
      </c>
      <c r="H26" s="189">
        <f>I26/I$36</f>
        <v>0.0</v>
      </c>
      <c r="I26" s="216">
        <f>0</f>
        <v>0.0</v>
      </c>
      <c r="J26" s="189">
        <f>K26/K$36</f>
        <v>0.0</v>
      </c>
      <c r="K26" s="215">
        <f>M26*'Data Komponen'!$D$14</f>
        <v>0.0</v>
      </c>
      <c r="L26" s="189">
        <f>M26/M$36</f>
        <v>0.0</v>
      </c>
      <c r="M26" s="216">
        <f>E26</f>
        <v>0.0</v>
      </c>
    </row>
    <row r="27">
      <c r="A27" s="163" t="inlineStr">
        <is>
          <t>N₂</t>
        </is>
      </c>
      <c r="B27" s="189">
        <f>C27/C$36</f>
        <v>0.0</v>
      </c>
      <c r="C27" s="215">
        <f>E27*'Data Komponen'!$D$15</f>
        <v>0.0</v>
      </c>
      <c r="D27" s="189">
        <f>E27/E$36</f>
        <v>0.0</v>
      </c>
      <c r="E27" s="216">
        <f>'NME-6 Pirolisis'!I27</f>
        <v>0.0</v>
      </c>
      <c r="F27" s="189">
        <f>G27/G$36</f>
        <v>0.0</v>
      </c>
      <c r="G27" s="215">
        <f>I27*'Data Komponen'!$D$15</f>
        <v>0.0</v>
      </c>
      <c r="H27" s="189">
        <f>I27/I$36</f>
        <v>0.0</v>
      </c>
      <c r="I27" s="216">
        <f>0</f>
        <v>0.0</v>
      </c>
      <c r="J27" s="189">
        <f>K27/K$36</f>
        <v>0.0</v>
      </c>
      <c r="K27" s="215">
        <f>M27*'Data Komponen'!$D$15</f>
        <v>0.0</v>
      </c>
      <c r="L27" s="189">
        <f>M27/M$36</f>
        <v>0.0</v>
      </c>
      <c r="M27" s="216">
        <f>E27</f>
        <v>0.0</v>
      </c>
    </row>
    <row r="28">
      <c r="A28" s="163" t="inlineStr">
        <is>
          <t>CO₂</t>
        </is>
      </c>
      <c r="B28" s="189">
        <f>C28/C$36</f>
        <v>0.0</v>
      </c>
      <c r="C28" s="215">
        <f>E28*'Data Komponen'!$D$16</f>
        <v>0.0</v>
      </c>
      <c r="D28" s="189">
        <f>E28/E$36</f>
        <v>0.0</v>
      </c>
      <c r="E28" s="216">
        <f>'NME-6 Pirolisis'!I28</f>
        <v>0.0</v>
      </c>
      <c r="F28" s="189">
        <f>G28/G$36</f>
        <v>0.0</v>
      </c>
      <c r="G28" s="215">
        <f>I28*'Data Komponen'!$D$16</f>
        <v>0.0</v>
      </c>
      <c r="H28" s="189">
        <f>I28/I$36</f>
        <v>0.0</v>
      </c>
      <c r="I28" s="216">
        <f>0</f>
        <v>0.0</v>
      </c>
      <c r="J28" s="189">
        <f>K28/K$36</f>
        <v>0.0</v>
      </c>
      <c r="K28" s="215">
        <f>M28*'Data Komponen'!$D$16</f>
        <v>0.0</v>
      </c>
      <c r="L28" s="189">
        <f>M28/M$36</f>
        <v>0.0</v>
      </c>
      <c r="M28" s="216">
        <f>E28</f>
        <v>0.0</v>
      </c>
    </row>
    <row r="29">
      <c r="A29" s="163" t="inlineStr">
        <is>
          <t>EDC</t>
        </is>
      </c>
      <c r="B29" s="189">
        <f>C29/C$36</f>
        <v>0.44997557984069364</v>
      </c>
      <c r="C29" s="215">
        <f>E29*'Data Komponen'!$D$17</f>
        <v>33412.3584654955</v>
      </c>
      <c r="D29" s="189">
        <f>E29/E$36</f>
        <v>0.2918352258038551</v>
      </c>
      <c r="E29" s="216">
        <f>'NME-6 Pirolisis'!I29</f>
        <v>337.63840040315176</v>
      </c>
      <c r="F29" s="189">
        <f>G29/G$36</f>
        <v>0.0</v>
      </c>
      <c r="G29" s="215">
        <f>I29*'Data Komponen'!$D$17</f>
        <v>0.0</v>
      </c>
      <c r="H29" s="189">
        <f>I29/I$36</f>
        <v>0.0</v>
      </c>
      <c r="I29" s="216">
        <f>0</f>
        <v>0.0</v>
      </c>
      <c r="J29" s="189">
        <f>K29/K$36</f>
        <v>0.5642923311949061</v>
      </c>
      <c r="K29" s="215">
        <f>M29*'Data Komponen'!$D$17</f>
        <v>33412.3584654955</v>
      </c>
      <c r="L29" s="189">
        <f>M29/M$36</f>
        <v>0.4517904985855777</v>
      </c>
      <c r="M29" s="216">
        <f>E29</f>
        <v>337.63840040315176</v>
      </c>
    </row>
    <row r="30">
      <c r="A30" s="163" t="inlineStr">
        <is>
          <t>TCE</t>
        </is>
      </c>
      <c r="B30" s="189">
        <f>C30/C$36</f>
        <v>9.000603106538252e-06</v>
      </c>
      <c r="C30" s="215">
        <f>E30*'Data Komponen'!$D$18</f>
        <v>0.6683282179619111</v>
      </c>
      <c r="D30" s="189">
        <f>E30/E$36</f>
        <v>4.330221179453052e-06</v>
      </c>
      <c r="E30" s="216">
        <f>'NME-6 Pirolisis'!I30</f>
        <v>0.005009843991228917</v>
      </c>
      <c r="F30" s="189">
        <f>G30/G$36</f>
        <v>0.0</v>
      </c>
      <c r="G30" s="215">
        <f>I30*'Data Komponen'!$D$18</f>
        <v>0.0</v>
      </c>
      <c r="H30" s="189">
        <f>I30/I$36</f>
        <v>0.0</v>
      </c>
      <c r="I30" s="216">
        <f>0</f>
        <v>0.0</v>
      </c>
      <c r="J30" s="189">
        <f>K30/K$36</f>
        <v>1.1287215432772394e-05</v>
      </c>
      <c r="K30" s="215">
        <f>M30*'Data Komponen'!$D$18</f>
        <v>0.6683282179619111</v>
      </c>
      <c r="L30" s="189">
        <f>M30/M$36</f>
        <v>6.703621128197196e-06</v>
      </c>
      <c r="M30" s="216">
        <f>E30</f>
        <v>0.005009843991228917</v>
      </c>
    </row>
    <row r="31">
      <c r="A31" s="163" t="inlineStr">
        <is>
          <t>HCl</t>
        </is>
      </c>
      <c r="B31" s="189">
        <f>C31/C$36</f>
        <v>0.19959452730205052</v>
      </c>
      <c r="C31" s="215">
        <f>E31*'Data Komponen'!$D$19</f>
        <v>14820.63514719679</v>
      </c>
      <c r="D31" s="189">
        <f>E31/E$36</f>
        <v>0.35133718573164124</v>
      </c>
      <c r="E31" s="216">
        <f>'NME-6 Pirolisis'!I31</f>
        <v>406.47911870757224</v>
      </c>
      <c r="F31" s="189">
        <f>G31/G$36</f>
        <v>0.9852411288573418</v>
      </c>
      <c r="G31" s="215">
        <f>I31*'Data Komponen'!$D$19</f>
        <v>14820.622520934165</v>
      </c>
      <c r="H31" s="189">
        <f>I31/I$36</f>
        <v>0.9923440742159971</v>
      </c>
      <c r="I31" s="216">
        <f>E31-M31</f>
        <v>406.4787724125549</v>
      </c>
      <c r="J31" s="189">
        <f>K31/K$36</f>
        <v>2.1324155189495443e-07</v>
      </c>
      <c r="K31" s="215">
        <f>M31*'Data Komponen'!$D$19</f>
        <v>0.01262626262626249</v>
      </c>
      <c r="L31" s="189">
        <f>M31/M$36</f>
        <v>4.6337382934789143e-07</v>
      </c>
      <c r="M31" s="216">
        <f>$B$6/(1-$B$6)*('NME-8 Kolom VCM'!G35+'NME-8 Kolom VCM'!G30)/'Data Komponen'!$D$19</f>
        <v>0.000346295017313362</v>
      </c>
    </row>
    <row r="32">
      <c r="A32" s="163" t="inlineStr">
        <is>
          <t>FeCl₃</t>
        </is>
      </c>
      <c r="B32" s="189">
        <f>C32/C$36</f>
        <v>0.0</v>
      </c>
      <c r="C32" s="215">
        <f>E32*'Data Komponen'!$D$20</f>
        <v>0.0</v>
      </c>
      <c r="D32" s="189">
        <f>E32/E$36</f>
        <v>0.0</v>
      </c>
      <c r="E32" s="216">
        <f>'NME-6 Pirolisis'!I32</f>
        <v>0.0</v>
      </c>
      <c r="F32" s="189">
        <f>G32/G$36</f>
        <v>0.0</v>
      </c>
      <c r="G32" s="215">
        <f>I32*'Data Komponen'!$D$20</f>
        <v>0.0</v>
      </c>
      <c r="H32" s="189">
        <f>I32/I$36</f>
        <v>0.0</v>
      </c>
      <c r="I32" s="216">
        <f>0</f>
        <v>0.0</v>
      </c>
      <c r="J32" s="189">
        <f>K32/K$36</f>
        <v>0.0</v>
      </c>
      <c r="K32" s="215">
        <f>M32*'Data Komponen'!$D$20</f>
        <v>0.0</v>
      </c>
      <c r="L32" s="189">
        <f>M32/M$36</f>
        <v>0.0</v>
      </c>
      <c r="M32" s="216">
        <f>E32</f>
        <v>0.0</v>
      </c>
    </row>
    <row r="33">
      <c r="A33" s="163" t="inlineStr">
        <is>
          <t>C₂H₅Cl</t>
        </is>
      </c>
      <c r="B33" s="189">
        <f>C33/C$36</f>
        <v>0.0</v>
      </c>
      <c r="C33" s="215">
        <f>E33*'Data Komponen'!$D$21</f>
        <v>0.0</v>
      </c>
      <c r="D33" s="189">
        <f>E33/E$36</f>
        <v>0.0</v>
      </c>
      <c r="E33" s="216">
        <f>'NME-6 Pirolisis'!I33</f>
        <v>0.0</v>
      </c>
      <c r="F33" s="189">
        <f>G33/G$36</f>
        <v>0.0</v>
      </c>
      <c r="G33" s="215">
        <f>I33*'Data Komponen'!$D$21</f>
        <v>0.0</v>
      </c>
      <c r="H33" s="189">
        <f>I33/I$36</f>
        <v>0.0</v>
      </c>
      <c r="I33" s="216">
        <f>0</f>
        <v>0.0</v>
      </c>
      <c r="J33" s="189">
        <f>K33/K$36</f>
        <v>0.0</v>
      </c>
      <c r="K33" s="215">
        <f>M33*'Data Komponen'!$D$21</f>
        <v>0.0</v>
      </c>
      <c r="L33" s="189">
        <f>M33/M$36</f>
        <v>0.0</v>
      </c>
      <c r="M33" s="216">
        <f>E33</f>
        <v>0.0</v>
      </c>
    </row>
    <row r="34">
      <c r="A34" s="163" t="inlineStr">
        <is>
          <t>VCM</t>
        </is>
      </c>
      <c r="B34" s="189">
        <f>C34/C$36</f>
        <v>0.3421361327434011</v>
      </c>
      <c r="C34" s="215">
        <f>E34*'Data Komponen'!$D$22</f>
        <v>25404.878894245834</v>
      </c>
      <c r="D34" s="189">
        <f>E34/E$36</f>
        <v>0.3513475157610198</v>
      </c>
      <c r="E34" s="216">
        <f>'NME-6 Pirolisis'!I34</f>
        <v>406.4910700221741</v>
      </c>
      <c r="F34" s="189">
        <f>G34/G$36</f>
        <v>0.00017018363534467435</v>
      </c>
      <c r="G34" s="215">
        <f>I34*'Data Komponen'!$D$22</f>
        <v>2.56001028053807</v>
      </c>
      <c r="H34" s="189">
        <f>I34/I$36</f>
        <v>0.0001</v>
      </c>
      <c r="I34" s="216">
        <f>$B$7/(1-$B$7)*(I31+I19)</f>
        <v>0.0409614752558173</v>
      </c>
      <c r="J34" s="189">
        <f>K34/K$36</f>
        <v>0.4290129281233482</v>
      </c>
      <c r="K34" s="215">
        <f>M34*'Data Komponen'!$D$22</f>
        <v>25402.318883965298</v>
      </c>
      <c r="L34" s="189">
        <f>M34/M$36</f>
        <v>0.543866743152774</v>
      </c>
      <c r="M34" s="216">
        <f>E34-I34</f>
        <v>406.4501085469183</v>
      </c>
    </row>
    <row r="35">
      <c r="A35" s="163" t="inlineStr">
        <is>
          <t>C₄H₈Cl₂ (berat)</t>
        </is>
      </c>
      <c r="B35" s="189">
        <f>C35/C$36</f>
        <v>0.005294113652669008</v>
      </c>
      <c r="C35" s="215">
        <f>E35*'Data Komponen'!$D$23</f>
        <v>393.1076063787176</v>
      </c>
      <c r="D35" s="189">
        <f>E35/E$36</f>
        <v>0.0026751562365353414</v>
      </c>
      <c r="E35" s="216">
        <f>'NME-6 Pirolisis'!I35</f>
        <v>3.0950186703622276</v>
      </c>
      <c r="F35" s="189">
        <f>G35/G$36</f>
        <v>0.0</v>
      </c>
      <c r="G35" s="215">
        <f>I35*'Data Komponen'!$D$23</f>
        <v>0.0</v>
      </c>
      <c r="H35" s="189">
        <f>I35/I$36</f>
        <v>0.0</v>
      </c>
      <c r="I35" s="216">
        <f>0</f>
        <v>0.0</v>
      </c>
      <c r="J35" s="189">
        <f>K35/K$36</f>
        <v>0.006639088582836035</v>
      </c>
      <c r="K35" s="215">
        <f>M35*'Data Komponen'!$D$23</f>
        <v>393.1076063787176</v>
      </c>
      <c r="L35" s="189">
        <f>M35/M$36</f>
        <v>0.004141412903701133</v>
      </c>
      <c r="M35" s="216">
        <f>E35</f>
        <v>3.0950186703622276</v>
      </c>
    </row>
    <row r="36">
      <c r="A36" s="162" t="inlineStr">
        <is>
          <t>Sub Total</t>
        </is>
      </c>
      <c r="B36" s="189">
        <f>SUM(B15:B35)</f>
        <v>1.0</v>
      </c>
      <c r="C36" s="215">
        <f>SUM(C15:C35)</f>
        <v>74253.71500676678</v>
      </c>
      <c r="D36" s="189">
        <f>SUM(D15:D35)</f>
        <v>1.0</v>
      </c>
      <c r="E36" s="216">
        <f>SUM(E15:E35)</f>
        <v>1156.9487524103115</v>
      </c>
      <c r="F36" s="189">
        <f>SUM(F15:F35)</f>
        <v>1.0</v>
      </c>
      <c r="G36" s="215">
        <f>SUM(G15:G35)</f>
        <v>15042.634830036739</v>
      </c>
      <c r="H36" s="189">
        <f>SUM(H15:H35)</f>
        <v>1.0</v>
      </c>
      <c r="I36" s="216">
        <f>SUM(I15:I35)</f>
        <v>409.614752558173</v>
      </c>
      <c r="J36" s="189">
        <f>SUM(J15:J35)</f>
        <v>0.9999999999999998</v>
      </c>
      <c r="K36" s="215">
        <f>SUM(K15:K35)</f>
        <v>59211.08017673006</v>
      </c>
      <c r="L36" s="189">
        <f>SUM(L15:L35)</f>
        <v>1.0</v>
      </c>
      <c r="M36" s="216">
        <f>SUM(M15:M35)</f>
        <v>747.3339998521386</v>
      </c>
    </row>
    <row r="37">
      <c r="A37" s="162" t="inlineStr">
        <is>
          <t>TOTAL MASSA</t>
        </is>
      </c>
      <c r="B37" s="215">
        <f>C36</f>
        <v>74253.71500676678</v>
      </c>
      <c r="C37" s="210" t="n"/>
      <c r="D37" s="210" t="n"/>
      <c r="E37" s="211" t="n"/>
      <c r="F37" s="215">
        <f>G36+K36</f>
        <v>74253.7150067668</v>
      </c>
      <c r="G37" s="210" t="n"/>
      <c r="H37" s="210" t="n"/>
      <c r="I37" s="210" t="n"/>
      <c r="J37" s="210" t="n"/>
      <c r="K37" s="210" t="n"/>
      <c r="L37" s="210" t="n"/>
      <c r="M37" s="211" t="n"/>
    </row>
    <row r="38">
      <c r="A38" s="162" t="inlineStr">
        <is>
          <t>Selisih (Inlet − Outlet), kg/h</t>
        </is>
      </c>
      <c r="B38" s="215">
        <f>B37-F37</f>
        <v>-1.4551915228366852e-11</v>
      </c>
      <c r="C38" s="210" t="n"/>
      <c r="D38" s="210" t="n"/>
      <c r="E38" s="210" t="n"/>
      <c r="F38" s="210" t="n"/>
      <c r="G38" s="210" t="n"/>
      <c r="H38" s="210" t="n"/>
      <c r="I38" s="210" t="n"/>
      <c r="J38" s="210" t="n"/>
      <c r="K38" s="210" t="n"/>
      <c r="L38" s="210" t="n"/>
      <c r="M38" s="211" t="n"/>
    </row>
    <row r="41">
      <c r="A41" s="169" t="inlineStr">
        <is>
          <t>Neraca Energi E-108: Pendingin umpan kolom HCl</t>
        </is>
      </c>
    </row>
    <row r="42">
      <c r="A42" s="187" t="inlineStr">
        <is>
          <t>Reference state: Cl₂, H₂O, EDC, TCE, C₄H₈Cl₂ (berat) fasa liquid @ 25°C, 1 bar; HCl, VCM fasa gas @ 25°C, 1 bar</t>
        </is>
      </c>
    </row>
    <row r="43">
      <c r="A43" s="162" t="inlineStr">
        <is>
          <t>No. aliran PFD</t>
        </is>
      </c>
      <c r="B43" s="162" t="n">
        <v>40</v>
      </c>
      <c r="C43" s="211" t="n"/>
      <c r="D43" s="162" t="n">
        <v>41</v>
      </c>
      <c r="E43" s="211" t="n"/>
    </row>
    <row r="44">
      <c r="A44" s="162" t="inlineStr">
        <is>
          <t>Dari</t>
        </is>
      </c>
      <c r="B44" s="172" t="inlineStr">
        <is>
          <t>Q-101</t>
        </is>
      </c>
      <c r="C44" s="211" t="n"/>
      <c r="D44" s="172" t="inlineStr">
        <is>
          <t>E-108</t>
        </is>
      </c>
      <c r="E44" s="211" t="n"/>
    </row>
    <row r="45">
      <c r="A45" s="162" t="inlineStr">
        <is>
          <t>Ke</t>
        </is>
      </c>
      <c r="B45" s="172" t="inlineStr">
        <is>
          <t>E-108</t>
        </is>
      </c>
      <c r="C45" s="211" t="n"/>
      <c r="D45" s="172" t="inlineStr">
        <is>
          <t>KD-103</t>
        </is>
      </c>
      <c r="E45" s="211" t="n"/>
    </row>
    <row r="46">
      <c r="A46" s="162" t="inlineStr">
        <is>
          <t>T (K)</t>
        </is>
      </c>
      <c r="B46" s="185">
        <f>'NME-6 Pirolisis'!$D$128</f>
        <v>353.15</v>
      </c>
      <c r="C46" s="211" t="n"/>
      <c r="D46" s="185">
        <f>D47+273.15</f>
        <v>303.15</v>
      </c>
      <c r="E46" s="211" t="n"/>
    </row>
    <row r="47">
      <c r="A47" s="162" t="inlineStr">
        <is>
          <t>T (°C)</t>
        </is>
      </c>
      <c r="B47" s="185">
        <f>'NME-6 Pirolisis'!$D$129</f>
        <v>80.0</v>
      </c>
      <c r="C47" s="211" t="n"/>
      <c r="D47" s="185" t="n">
        <v>30</v>
      </c>
      <c r="E47" s="211" t="n"/>
    </row>
    <row r="48">
      <c r="A48" s="162" t="inlineStr">
        <is>
          <t>P (bar abs)</t>
        </is>
      </c>
      <c r="B48" s="190">
        <f>'NME-6 Pirolisis'!$D$130</f>
        <v>11.0</v>
      </c>
      <c r="C48" s="211" t="n"/>
      <c r="D48" s="190" t="n">
        <v>11</v>
      </c>
      <c r="E48" s="211" t="n"/>
    </row>
    <row r="49">
      <c r="A49" s="162" t="inlineStr">
        <is>
          <t>Substance</t>
        </is>
      </c>
      <c r="B49" s="162" t="inlineStr">
        <is>
          <t>INLET</t>
        </is>
      </c>
      <c r="C49" s="211" t="n"/>
      <c r="D49" s="162" t="inlineStr">
        <is>
          <t>OUTLET</t>
        </is>
      </c>
      <c r="E49" s="211" t="n"/>
    </row>
    <row r="50">
      <c r="A50" s="212" t="n"/>
      <c r="B50" s="162" t="inlineStr">
        <is>
          <t>Aliran 40</t>
        </is>
      </c>
      <c r="C50" s="211" t="n"/>
      <c r="D50" s="162" t="inlineStr">
        <is>
          <t>Aliran 41</t>
        </is>
      </c>
      <c r="E50" s="211" t="n"/>
    </row>
    <row r="51">
      <c r="A51" s="213" t="n"/>
      <c r="B51" s="162" t="inlineStr">
        <is>
          <t>ṅᵢ (kmol/h)</t>
        </is>
      </c>
      <c r="C51" s="162" t="inlineStr">
        <is>
          <t>Ĥᵢ (kJ/kmol)</t>
        </is>
      </c>
      <c r="D51" s="162" t="inlineStr">
        <is>
          <t>ṅᵢ (kmol/h)</t>
        </is>
      </c>
      <c r="E51" s="162" t="inlineStr">
        <is>
          <t>Ĥᵢ (kJ/kmol)</t>
        </is>
      </c>
    </row>
    <row r="52">
      <c r="A52" s="163" t="inlineStr">
        <is>
          <t>Cl₂ (l)</t>
        </is>
      </c>
      <c r="B52" s="172" t="inlineStr">
        <is>
          <t>-</t>
        </is>
      </c>
      <c r="C52" s="172" t="inlineStr">
        <is>
          <t>-</t>
        </is>
      </c>
      <c r="D52" s="216">
        <f>E19</f>
        <v>3.095018670362267</v>
      </c>
      <c r="E52" s="217">
        <f>('Data Termo'!$J$10*($D$46-298.15)+'Data Termo'!$K$10/2*($D$46^2-298.15^2)+'Data Termo'!$L$10/3*($D$46^3-298.15^3)+'Data Termo'!$M$10/4*($D$46^4-298.15^4))</f>
        <v>373.6835056974971</v>
      </c>
    </row>
    <row r="53">
      <c r="A53" s="163" t="inlineStr">
        <is>
          <t>Cl₂ (g)</t>
        </is>
      </c>
      <c r="B53" s="216">
        <f>E19</f>
        <v>3.095018670362267</v>
      </c>
      <c r="C53" s="217">
        <f>'Data Termo'!$V$10+('Data Termo'!$E$10*($B$46-298.15)+'Data Termo'!$F$10/2*($B$46^2-298.15^2)+'Data Termo'!$G$10/3*($B$46^3-298.15^3)+'Data Termo'!$H$10/4*($B$46^4-298.15^4)+'Data Termo'!$I$10/5*($B$46^5-298.15^5))</f>
        <v>19146.4212846336</v>
      </c>
      <c r="D53" s="172" t="inlineStr">
        <is>
          <t>-</t>
        </is>
      </c>
      <c r="E53" s="172" t="inlineStr">
        <is>
          <t>-</t>
        </is>
      </c>
    </row>
    <row r="54">
      <c r="A54" s="163" t="inlineStr">
        <is>
          <t>H₂O (l)</t>
        </is>
      </c>
      <c r="B54" s="172" t="inlineStr">
        <is>
          <t>-</t>
        </is>
      </c>
      <c r="C54" s="172" t="inlineStr">
        <is>
          <t>-</t>
        </is>
      </c>
      <c r="D54" s="216">
        <f>E21</f>
        <v>0.14511609269780668</v>
      </c>
      <c r="E54" s="217">
        <f>('Data Termo'!$J$12*($D$46-298.15)+'Data Termo'!$K$12/2*($D$46^2-298.15^2)+'Data Termo'!$L$12/3*($D$46^3-298.15^3)+'Data Termo'!$M$12/4*($D$46^4-298.15^4))</f>
        <v>377.4863815881574</v>
      </c>
    </row>
    <row r="55">
      <c r="A55" s="163" t="inlineStr">
        <is>
          <t>H₂O (g)</t>
        </is>
      </c>
      <c r="B55" s="216">
        <f>E21</f>
        <v>0.14511609269780668</v>
      </c>
      <c r="C55" s="217">
        <f>'Data Termo'!$V$12+('Data Termo'!$E$12*($B$46-298.15)+'Data Termo'!$F$12/2*($B$46^2-298.15^2)+'Data Termo'!$G$12/3*($B$46^3-298.15^3)+'Data Termo'!$H$12/4*($B$46^4-298.15^4)+'Data Termo'!$I$12/5*($B$46^5-298.15^5))</f>
        <v>44551.5744468679</v>
      </c>
      <c r="D55" s="172" t="inlineStr">
        <is>
          <t>-</t>
        </is>
      </c>
      <c r="E55" s="172" t="inlineStr">
        <is>
          <t>-</t>
        </is>
      </c>
    </row>
    <row r="56">
      <c r="A56" s="163" t="inlineStr">
        <is>
          <t>EDC (l)</t>
        </is>
      </c>
      <c r="B56" s="172" t="inlineStr">
        <is>
          <t>-</t>
        </is>
      </c>
      <c r="C56" s="172" t="inlineStr">
        <is>
          <t>-</t>
        </is>
      </c>
      <c r="D56" s="216">
        <f>E29</f>
        <v>337.63840040315176</v>
      </c>
      <c r="E56" s="217">
        <f>('Data Termo'!$J$20*($D$46-298.15)+'Data Termo'!$K$20/2*($D$46^2-298.15^2)+'Data Termo'!$L$20/3*($D$46^3-298.15^3)+'Data Termo'!$M$20/4*($D$46^4-298.15^4))</f>
        <v>645.6218513230376</v>
      </c>
    </row>
    <row r="57">
      <c r="A57" s="163" t="inlineStr">
        <is>
          <t>EDC (g)</t>
        </is>
      </c>
      <c r="B57" s="216">
        <f>E29</f>
        <v>337.63840040315176</v>
      </c>
      <c r="C57" s="217">
        <f>'Data Termo'!$V$20+('Data Termo'!$E$20*($B$46-298.15)+'Data Termo'!$F$20/2*($B$46^2-298.15^2)+'Data Termo'!$G$20/3*($B$46^3-298.15^3)+'Data Termo'!$H$20/4*($B$46^4-298.15^4)+'Data Termo'!$I$20/5*($B$46^5-298.15^5))</f>
        <v>39602.374664555944</v>
      </c>
      <c r="D57" s="172" t="inlineStr">
        <is>
          <t>-</t>
        </is>
      </c>
      <c r="E57" s="172" t="inlineStr">
        <is>
          <t>-</t>
        </is>
      </c>
    </row>
    <row r="58">
      <c r="A58" s="163" t="inlineStr">
        <is>
          <t>TCE (l)</t>
        </is>
      </c>
      <c r="B58" s="172" t="inlineStr">
        <is>
          <t>-</t>
        </is>
      </c>
      <c r="C58" s="172" t="inlineStr">
        <is>
          <t>-</t>
        </is>
      </c>
      <c r="D58" s="216">
        <f>E30</f>
        <v>0.005009843991228917</v>
      </c>
      <c r="E58" s="217">
        <f>('Data Termo'!$J$21*($D$46-298.15)+'Data Termo'!$K$21/2*($D$46^2-298.15^2)+'Data Termo'!$L$21/3*($D$46^3-298.15^3)+'Data Termo'!$M$21/4*($D$46^4-298.15^4))</f>
        <v>759.3941994628606</v>
      </c>
    </row>
    <row r="59">
      <c r="A59" s="163" t="inlineStr">
        <is>
          <t>TCE (g)</t>
        </is>
      </c>
      <c r="B59" s="216">
        <f>E30</f>
        <v>0.005009843991228917</v>
      </c>
      <c r="C59" s="217">
        <f>'Data Termo'!$V$21+('Data Termo'!$E$21*($B$46-298.15)+'Data Termo'!$F$21/2*($B$46^2-298.15^2)+'Data Termo'!$G$21/3*($B$46^3-298.15^3)+'Data Termo'!$H$21/4*($B$46^4-298.15^4)+'Data Termo'!$I$21/5*($B$46^5-298.15^5))</f>
        <v>43445.06281507358</v>
      </c>
      <c r="D59" s="172" t="inlineStr">
        <is>
          <t>-</t>
        </is>
      </c>
      <c r="E59" s="172" t="inlineStr">
        <is>
          <t>-</t>
        </is>
      </c>
    </row>
    <row r="60">
      <c r="A60" s="163" t="inlineStr">
        <is>
          <t>HCl (l)</t>
        </is>
      </c>
      <c r="B60" s="172" t="inlineStr">
        <is>
          <t>-</t>
        </is>
      </c>
      <c r="C60" s="172" t="inlineStr">
        <is>
          <t>-</t>
        </is>
      </c>
      <c r="D60" s="216">
        <f>E31</f>
        <v>406.47911870757224</v>
      </c>
      <c r="E60" s="217">
        <f>-'Data Termo'!$V$22+('Data Termo'!$J$22*($D$46-298.15)+'Data Termo'!$K$22/2*($D$46^2-298.15^2)+'Data Termo'!$L$22/3*($D$46^3-298.15^3)+'Data Termo'!$M$22/4*($D$46^4-298.15^4))</f>
        <v>-5538.50316756786</v>
      </c>
    </row>
    <row r="61">
      <c r="A61" s="163" t="inlineStr">
        <is>
          <t>HCl (g)</t>
        </is>
      </c>
      <c r="B61" s="216">
        <f>E31</f>
        <v>406.47911870757224</v>
      </c>
      <c r="C61" s="217">
        <f>('Data Termo'!$E$22*($B$46-298.15)+'Data Termo'!$F$22/2*($B$46^2-298.15^2)+'Data Termo'!$G$22/3*($B$46^3-298.15^3)+'Data Termo'!$H$22/4*($B$46^4-298.15^4)+'Data Termo'!$I$22/5*($B$46^5-298.15^5))</f>
        <v>1600.3161541698323</v>
      </c>
      <c r="D61" s="172" t="inlineStr">
        <is>
          <t>-</t>
        </is>
      </c>
      <c r="E61" s="172" t="inlineStr">
        <is>
          <t>-</t>
        </is>
      </c>
    </row>
    <row r="62">
      <c r="A62" s="163" t="inlineStr">
        <is>
          <t>VCM (l)</t>
        </is>
      </c>
      <c r="B62" s="172" t="inlineStr">
        <is>
          <t>-</t>
        </is>
      </c>
      <c r="C62" s="172" t="inlineStr">
        <is>
          <t>-</t>
        </is>
      </c>
      <c r="D62" s="216">
        <f>E34</f>
        <v>406.4910700221741</v>
      </c>
      <c r="E62" s="217">
        <f>-'Data Termo'!$V$25+('Data Termo'!$J$25*($D$46-298.15)+'Data Termo'!$K$25/2*($D$46^2-298.15^2)+'Data Termo'!$L$25/3*($D$46^3-298.15^3)+'Data Termo'!$M$25/4*($D$46^4-298.15^4))</f>
        <v>-19774.46807959167</v>
      </c>
    </row>
    <row r="63">
      <c r="A63" s="163" t="inlineStr">
        <is>
          <t>VCM (g)</t>
        </is>
      </c>
      <c r="B63" s="216">
        <f>E34</f>
        <v>406.4910700221741</v>
      </c>
      <c r="C63" s="217">
        <f>('Data Termo'!$E$25*($B$46-298.15)+'Data Termo'!$F$25/2*($B$46^2-298.15^2)+'Data Termo'!$G$25/3*($B$46^3-298.15^3)+'Data Termo'!$H$25/4*($B$46^4-298.15^4)+'Data Termo'!$I$25/5*($B$46^5-298.15^5))</f>
        <v>3176.3813705576986</v>
      </c>
      <c r="D63" s="172" t="inlineStr">
        <is>
          <t>-</t>
        </is>
      </c>
      <c r="E63" s="172" t="inlineStr">
        <is>
          <t>-</t>
        </is>
      </c>
    </row>
    <row r="64">
      <c r="A64" s="163" t="inlineStr">
        <is>
          <t>C₄H₈Cl₂ (berat) (l)</t>
        </is>
      </c>
      <c r="B64" s="172" t="inlineStr">
        <is>
          <t>-</t>
        </is>
      </c>
      <c r="C64" s="172" t="inlineStr">
        <is>
          <t>-</t>
        </is>
      </c>
      <c r="D64" s="216">
        <f>E35</f>
        <v>3.0950186703622276</v>
      </c>
      <c r="E64" s="217">
        <f>('Data Termo'!$J$26*($D$46-298.15)+'Data Termo'!$K$26/2*($D$46^2-298.15^2)+'Data Termo'!$L$26/3*($D$46^3-298.15^3)+'Data Termo'!$M$26/4*($D$46^4-298.15^4))</f>
        <v>923.4300883693122</v>
      </c>
    </row>
    <row r="65">
      <c r="A65" s="163" t="inlineStr">
        <is>
          <t>C₄H₈Cl₂ (berat) (g)</t>
        </is>
      </c>
      <c r="B65" s="216">
        <f>E35</f>
        <v>3.0950186703622276</v>
      </c>
      <c r="C65" s="217">
        <f>'Data Termo'!$V$26+('Data Termo'!$E$26*($B$46-298.15)+'Data Termo'!$F$26/2*($B$46^2-298.15^2)+'Data Termo'!$G$26/3*($B$46^3-298.15^3)+'Data Termo'!$H$26/4*($B$46^4-298.15^4)+'Data Termo'!$I$26/5*($B$46^5-298.15^5))</f>
        <v>52354.288863310874</v>
      </c>
      <c r="D65" s="172" t="inlineStr">
        <is>
          <t>-</t>
        </is>
      </c>
      <c r="E65" s="172" t="inlineStr">
        <is>
          <t>-</t>
        </is>
      </c>
    </row>
    <row r="66">
      <c r="A66" s="200" t="inlineStr">
        <is>
          <t>Sub Total ṅᵢĤᵢ (kJ/h)</t>
        </is>
      </c>
      <c r="B66" s="218">
        <f>SUMPRODUCT(B52:B65,C52:C65)</f>
        <v>15540927.03227012</v>
      </c>
      <c r="C66" s="211" t="n"/>
      <c r="D66" s="218">
        <f>SUMPRODUCT(D52:D65,E52:E65)</f>
        <v>-10067370.671572166</v>
      </c>
      <c r="E66" s="211" t="n"/>
    </row>
    <row r="67">
      <c r="A67" s="163" t="inlineStr">
        <is>
          <t>Heat of reaction / heat of mixing (kJ/h)</t>
        </is>
      </c>
      <c r="B67" s="219" t="inlineStr">
        <is>
          <t>-</t>
        </is>
      </c>
      <c r="C67" s="211" t="n"/>
      <c r="D67" s="220" t="inlineStr">
        <is>
          <t>-</t>
        </is>
      </c>
      <c r="E67" s="211" t="n"/>
    </row>
    <row r="68">
      <c r="A68" s="200" t="inlineStr">
        <is>
          <t>Q (kJ/h)</t>
        </is>
      </c>
      <c r="B68" s="218">
        <f>(D66)-(B66)</f>
        <v>-25608297.703842286</v>
      </c>
      <c r="C68" s="210" t="n"/>
      <c r="D68" s="210" t="n"/>
      <c r="E68" s="211" t="n"/>
    </row>
    <row r="69">
      <c r="A69" s="200" t="inlineStr">
        <is>
          <t>W (kJ/h)</t>
        </is>
      </c>
      <c r="B69" s="218" t="n">
        <v>0</v>
      </c>
      <c r="C69" s="210" t="n"/>
      <c r="D69" s="210" t="n"/>
      <c r="E69" s="211" t="n"/>
    </row>
    <row r="70">
      <c r="A70" s="200" t="inlineStr">
        <is>
          <t>TOTAL (kJ/h)</t>
        </is>
      </c>
      <c r="B70" s="218">
        <f>B66+$B$68+$B$69</f>
        <v>-10067370.671572166</v>
      </c>
      <c r="C70" s="211" t="n"/>
      <c r="D70" s="218">
        <f>(D66)</f>
        <v>-10067370.671572166</v>
      </c>
      <c r="E70" s="211" t="n"/>
    </row>
    <row r="71">
      <c r="A71" s="163" t="inlineStr">
        <is>
          <t>Selisih masuk − keluar (kJ/h)</t>
        </is>
      </c>
      <c r="B71" s="217">
        <f>B70-D70</f>
        <v>0.0</v>
      </c>
      <c r="C71" s="210" t="n"/>
      <c r="D71" s="210" t="n"/>
      <c r="E71" s="211" t="n"/>
    </row>
    <row r="72">
      <c r="A72" s="163" t="inlineStr">
        <is>
          <t>Q (kW)</t>
        </is>
      </c>
      <c r="B72" s="217">
        <f>$B$68/3600</f>
        <v>-7113.416028845079</v>
      </c>
      <c r="C72" s="210" t="n"/>
      <c r="D72" s="210" t="n"/>
      <c r="E72" s="211" t="n"/>
    </row>
    <row r="73">
      <c r="A73" s="163" t="inlineStr">
        <is>
          <t>W (kW)</t>
        </is>
      </c>
      <c r="B73" s="217">
        <f>$B$69/3600</f>
        <v>0.0</v>
      </c>
      <c r="C73" s="210" t="n"/>
      <c r="D73" s="210" t="n"/>
      <c r="E73" s="211" t="n"/>
    </row>
    <row r="76">
      <c r="A76" s="169" t="inlineStr">
        <is>
          <t>Neraca Energi KD-103: Kolom HCl (kondensor dan reboiler)</t>
        </is>
      </c>
    </row>
    <row r="77">
      <c r="A77" s="187" t="inlineStr">
        <is>
          <t>Reference state: Cl₂, H₂O, EDC, TCE, C₄H₈Cl₂ (berat) fasa liquid @ 25°C, 1 bar; HCl, VCM fasa gas @ 25°C, 1 bar</t>
        </is>
      </c>
    </row>
    <row r="78">
      <c r="A78" s="162" t="inlineStr">
        <is>
          <t>No. aliran PFD</t>
        </is>
      </c>
      <c r="B78" s="162" t="n">
        <v>41</v>
      </c>
      <c r="C78" s="211" t="n"/>
      <c r="D78" s="162" t="n">
        <v>42</v>
      </c>
      <c r="E78" s="211" t="n"/>
      <c r="F78" s="162" t="n">
        <v>45</v>
      </c>
      <c r="G78" s="211" t="n"/>
    </row>
    <row r="79">
      <c r="A79" s="162" t="inlineStr">
        <is>
          <t>Dari</t>
        </is>
      </c>
      <c r="B79" s="172" t="inlineStr">
        <is>
          <t>E-108</t>
        </is>
      </c>
      <c r="C79" s="211" t="n"/>
      <c r="D79" s="172" t="inlineStr">
        <is>
          <t>KD-103</t>
        </is>
      </c>
      <c r="E79" s="211" t="n"/>
      <c r="F79" s="172" t="inlineStr">
        <is>
          <t>KD-103</t>
        </is>
      </c>
      <c r="G79" s="211" t="n"/>
    </row>
    <row r="80">
      <c r="A80" s="162" t="inlineStr">
        <is>
          <t>Ke</t>
        </is>
      </c>
      <c r="B80" s="172" t="inlineStr">
        <is>
          <t>KD-103</t>
        </is>
      </c>
      <c r="C80" s="211" t="n"/>
      <c r="D80" s="172" t="inlineStr">
        <is>
          <t>V-104</t>
        </is>
      </c>
      <c r="E80" s="211" t="n"/>
      <c r="F80" s="172" t="inlineStr">
        <is>
          <t>V-105</t>
        </is>
      </c>
      <c r="G80" s="211" t="n"/>
    </row>
    <row r="81">
      <c r="A81" s="162" t="inlineStr">
        <is>
          <t>T (K)</t>
        </is>
      </c>
      <c r="B81" s="185">
        <f>$D$46</f>
        <v>303.15</v>
      </c>
      <c r="C81" s="211" t="n"/>
      <c r="D81" s="185">
        <f>D82+273.15</f>
        <v>244.24999999999997</v>
      </c>
      <c r="E81" s="211" t="n"/>
      <c r="F81" s="185">
        <f>F82+273.15</f>
        <v>354.15</v>
      </c>
      <c r="G81" s="211" t="n"/>
    </row>
    <row r="82">
      <c r="A82" s="162" t="inlineStr">
        <is>
          <t>T (°C)</t>
        </is>
      </c>
      <c r="B82" s="185">
        <f>$D$47</f>
        <v>30.0</v>
      </c>
      <c r="C82" s="211" t="n"/>
      <c r="D82" s="185" t="n">
        <v>-28.9</v>
      </c>
      <c r="E82" s="211" t="n"/>
      <c r="F82" s="185" t="n">
        <v>81</v>
      </c>
      <c r="G82" s="211" t="n"/>
    </row>
    <row r="83">
      <c r="A83" s="162" t="inlineStr">
        <is>
          <t>P (bar abs)</t>
        </is>
      </c>
      <c r="B83" s="190">
        <f>$D$48</f>
        <v>11.0</v>
      </c>
      <c r="C83" s="211" t="n"/>
      <c r="D83" s="190" t="n">
        <v>11</v>
      </c>
      <c r="E83" s="211" t="n"/>
      <c r="F83" s="190" t="n">
        <v>9.800000000000001</v>
      </c>
      <c r="G83" s="211" t="n"/>
    </row>
    <row r="84">
      <c r="A84" s="162" t="inlineStr">
        <is>
          <t>Substance</t>
        </is>
      </c>
      <c r="B84" s="162" t="inlineStr">
        <is>
          <t>INLET</t>
        </is>
      </c>
      <c r="C84" s="211" t="n"/>
      <c r="D84" s="162" t="inlineStr">
        <is>
          <t>OUTLET</t>
        </is>
      </c>
      <c r="E84" s="210" t="n"/>
      <c r="F84" s="210" t="n"/>
      <c r="G84" s="211" t="n"/>
    </row>
    <row r="85">
      <c r="A85" s="212" t="n"/>
      <c r="B85" s="162" t="inlineStr">
        <is>
          <t>Aliran 41</t>
        </is>
      </c>
      <c r="C85" s="211" t="n"/>
      <c r="D85" s="162" t="inlineStr">
        <is>
          <t>Aliran 42</t>
        </is>
      </c>
      <c r="E85" s="211" t="n"/>
      <c r="F85" s="162" t="inlineStr">
        <is>
          <t>Aliran 45</t>
        </is>
      </c>
      <c r="G85" s="211" t="n"/>
    </row>
    <row r="86">
      <c r="A86" s="213" t="n"/>
      <c r="B86" s="162" t="inlineStr">
        <is>
          <t>ṅᵢ (kmol/h)</t>
        </is>
      </c>
      <c r="C86" s="162" t="inlineStr">
        <is>
          <t>Ĥᵢ (kJ/kmol)</t>
        </is>
      </c>
      <c r="D86" s="162" t="inlineStr">
        <is>
          <t>ṅᵢ (kmol/h)</t>
        </is>
      </c>
      <c r="E86" s="162" t="inlineStr">
        <is>
          <t>Ĥᵢ (kJ/kmol)</t>
        </is>
      </c>
      <c r="F86" s="162" t="inlineStr">
        <is>
          <t>ṅᵢ (kmol/h)</t>
        </is>
      </c>
      <c r="G86" s="162" t="inlineStr">
        <is>
          <t>Ĥᵢ (kJ/kmol)</t>
        </is>
      </c>
    </row>
    <row r="87">
      <c r="A87" s="163" t="inlineStr">
        <is>
          <t>Cl₂ (l)</t>
        </is>
      </c>
      <c r="B87" s="216">
        <f>E19</f>
        <v>3.095018670362267</v>
      </c>
      <c r="C87" s="217">
        <f>('Data Termo'!$J$10*($B$81-298.15)+'Data Termo'!$K$10/2*($B$81^2-298.15^2)+'Data Termo'!$L$10/3*($B$81^3-298.15^3)+'Data Termo'!$M$10/4*($B$81^4-298.15^4))</f>
        <v>373.6835056974971</v>
      </c>
      <c r="D87" s="216">
        <f>I19</f>
        <v>3.095018670362267</v>
      </c>
      <c r="E87" s="217">
        <f>('Data Termo'!$J$10*($D$81-298.15)+'Data Termo'!$K$10/2*($D$81^2-298.15^2)+'Data Termo'!$L$10/3*($D$81^3-298.15^3)+'Data Termo'!$M$10/4*($D$81^4-298.15^4))</f>
        <v>-3773.83084419834</v>
      </c>
      <c r="F87" s="216">
        <f>M19</f>
        <v>0.0</v>
      </c>
      <c r="G87" s="217">
        <f>('Data Termo'!$J$10*($F$81-298.15)+'Data Termo'!$K$10/2*($F$81^2-298.15^2)+'Data Termo'!$L$10/3*($F$81^3-298.15^3)+'Data Termo'!$M$10/4*($F$81^4-298.15^4))</f>
        <v>4529.254894956828</v>
      </c>
    </row>
    <row r="88">
      <c r="A88" s="163" t="inlineStr">
        <is>
          <t>H₂O (l)</t>
        </is>
      </c>
      <c r="B88" s="216">
        <f>E21</f>
        <v>0.14511609269780668</v>
      </c>
      <c r="C88" s="217">
        <f>('Data Termo'!$J$12*($B$81-298.15)+'Data Termo'!$K$12/2*($B$81^2-298.15^2)+'Data Termo'!$L$12/3*($B$81^3-298.15^3)+'Data Termo'!$M$12/4*($B$81^4-298.15^4))</f>
        <v>377.4863815881574</v>
      </c>
      <c r="D88" s="216">
        <f>I21</f>
        <v>0.0</v>
      </c>
      <c r="E88" s="217">
        <f>('Data Termo'!$J$12*($D$81-298.15)+'Data Termo'!$K$12/2*($D$81^2-298.15^2)+'Data Termo'!$L$12/3*($D$81^3-298.15^3)+'Data Termo'!$M$12/4*($D$81^4-298.15^4))</f>
        <v>-4118.827200254671</v>
      </c>
      <c r="F88" s="216">
        <f>M21</f>
        <v>0.14511609269780668</v>
      </c>
      <c r="G88" s="217">
        <f>('Data Termo'!$J$12*($F$81-298.15)+'Data Termo'!$K$12/2*($F$81^2-298.15^2)+'Data Termo'!$L$12/3*($F$81^3-298.15^3)+'Data Termo'!$M$12/4*($F$81^4-298.15^4))</f>
        <v>4211.551287977134</v>
      </c>
    </row>
    <row r="89">
      <c r="A89" s="163" t="inlineStr">
        <is>
          <t>EDC (l)</t>
        </is>
      </c>
      <c r="B89" s="216">
        <f>E29</f>
        <v>337.63840040315176</v>
      </c>
      <c r="C89" s="217">
        <f>('Data Termo'!$J$20*($B$81-298.15)+'Data Termo'!$K$20/2*($B$81^2-298.15^2)+'Data Termo'!$L$20/3*($B$81^3-298.15^3)+'Data Termo'!$M$20/4*($B$81^4-298.15^4))</f>
        <v>645.6218513230376</v>
      </c>
      <c r="D89" s="216">
        <f>I29</f>
        <v>0.0</v>
      </c>
      <c r="E89" s="217">
        <f>('Data Termo'!$J$20*($D$81-298.15)+'Data Termo'!$K$20/2*($D$81^2-298.15^2)+'Data Termo'!$L$20/3*($D$81^3-298.15^3)+'Data Termo'!$M$20/4*($D$81^4-298.15^4))</f>
        <v>-6731.619294323071</v>
      </c>
      <c r="F89" s="216">
        <f>M29</f>
        <v>337.63840040315176</v>
      </c>
      <c r="G89" s="217">
        <f>('Data Termo'!$J$20*($F$81-298.15)+'Data Termo'!$K$20/2*($F$81^2-298.15^2)+'Data Termo'!$L$20/3*($F$81^3-298.15^3)+'Data Termo'!$M$20/4*($F$81^4-298.15^4))</f>
        <v>7449.018564672698</v>
      </c>
    </row>
    <row r="90">
      <c r="A90" s="163" t="inlineStr">
        <is>
          <t>TCE (l)</t>
        </is>
      </c>
      <c r="B90" s="216">
        <f>E30</f>
        <v>0.005009843991228917</v>
      </c>
      <c r="C90" s="217">
        <f>('Data Termo'!$J$21*($B$81-298.15)+'Data Termo'!$K$21/2*($B$81^2-298.15^2)+'Data Termo'!$L$21/3*($B$81^3-298.15^3)+'Data Termo'!$M$21/4*($B$81^4-298.15^4))</f>
        <v>759.3941994628606</v>
      </c>
      <c r="D90" s="216">
        <f>I30</f>
        <v>0.0</v>
      </c>
      <c r="E90" s="217">
        <f>('Data Termo'!$J$21*($D$81-298.15)+'Data Termo'!$K$21/2*($D$81^2-298.15^2)+'Data Termo'!$L$21/3*($D$81^3-298.15^3)+'Data Termo'!$M$21/4*($D$81^4-298.15^4))</f>
        <v>-7918.542108885906</v>
      </c>
      <c r="F90" s="216">
        <f>M30</f>
        <v>0.005009843991228917</v>
      </c>
      <c r="G90" s="217">
        <f>('Data Termo'!$J$21*($F$81-298.15)+'Data Termo'!$K$21/2*($F$81^2-298.15^2)+'Data Termo'!$L$21/3*($F$81^3-298.15^3)+'Data Termo'!$M$21/4*($F$81^4-298.15^4))</f>
        <v>8751.270754793804</v>
      </c>
    </row>
    <row r="91">
      <c r="A91" s="163" t="inlineStr">
        <is>
          <t>HCl (l)</t>
        </is>
      </c>
      <c r="B91" s="216">
        <f>E31</f>
        <v>406.47911870757224</v>
      </c>
      <c r="C91" s="217">
        <f>-'Data Termo'!$V$22+('Data Termo'!$J$22*($B$81-298.15)+'Data Termo'!$K$22/2*($B$81^2-298.15^2)+'Data Termo'!$L$22/3*($B$81^3-298.15^3)+'Data Termo'!$M$22/4*($B$81^4-298.15^4))</f>
        <v>-5538.50316756786</v>
      </c>
      <c r="D91" s="216">
        <f>I31</f>
        <v>406.4787724125549</v>
      </c>
      <c r="E91" s="217">
        <f>-'Data Termo'!$V$22+('Data Termo'!$J$22*($D$81-298.15)+'Data Termo'!$K$22/2*($D$81^2-298.15^2)+'Data Termo'!$L$22/3*($D$81^3-298.15^3)+'Data Termo'!$M$22/4*($D$81^4-298.15^4))</f>
        <v>-10686.04400212947</v>
      </c>
      <c r="F91" s="172" t="inlineStr">
        <is>
          <t>-</t>
        </is>
      </c>
      <c r="G91" s="172" t="inlineStr">
        <is>
          <t>-</t>
        </is>
      </c>
    </row>
    <row r="92">
      <c r="A92" s="163" t="inlineStr">
        <is>
          <t>HCl (g)</t>
        </is>
      </c>
      <c r="B92" s="172" t="inlineStr">
        <is>
          <t>-</t>
        </is>
      </c>
      <c r="C92" s="172" t="inlineStr">
        <is>
          <t>-</t>
        </is>
      </c>
      <c r="D92" s="172" t="inlineStr">
        <is>
          <t>-</t>
        </is>
      </c>
      <c r="E92" s="172" t="inlineStr">
        <is>
          <t>-</t>
        </is>
      </c>
      <c r="F92" s="216">
        <f>M31</f>
        <v>0.000346295017313362</v>
      </c>
      <c r="G92" s="217">
        <f>('Data Termo'!$E$22*($F$81-298.15)+'Data Termo'!$F$22/2*($F$81^2-298.15^2)+'Data Termo'!$G$22/3*($F$81^3-298.15^3)+'Data Termo'!$H$22/4*($F$81^4-298.15^4)+'Data Termo'!$I$22/5*($F$81^5-298.15^5))</f>
        <v>1629.434898319252</v>
      </c>
    </row>
    <row r="93">
      <c r="A93" s="163" t="inlineStr">
        <is>
          <t>VCM (l)</t>
        </is>
      </c>
      <c r="B93" s="216">
        <f>E34</f>
        <v>406.4910700221741</v>
      </c>
      <c r="C93" s="217">
        <f>-'Data Termo'!$V$25+('Data Termo'!$J$25*($B$81-298.15)+'Data Termo'!$K$25/2*($B$81^2-298.15^2)+'Data Termo'!$L$25/3*($B$81^3-298.15^3)+'Data Termo'!$M$25/4*($B$81^4-298.15^4))</f>
        <v>-19774.46807959167</v>
      </c>
      <c r="D93" s="216">
        <f>I34</f>
        <v>0.0409614752558173</v>
      </c>
      <c r="E93" s="217">
        <f>-'Data Termo'!$V$25+('Data Termo'!$J$25*($D$81-298.15)+'Data Termo'!$K$25/2*($D$81^2-298.15^2)+'Data Termo'!$L$25/3*($D$81^3-298.15^3)+'Data Termo'!$M$25/4*($D$81^4-298.15^4))</f>
        <v>-24621.9494157625</v>
      </c>
      <c r="F93" s="216">
        <f>M34</f>
        <v>406.4501085469183</v>
      </c>
      <c r="G93" s="217">
        <f>-'Data Termo'!$V$25+('Data Termo'!$J$25*($F$81-298.15)+'Data Termo'!$K$25/2*($F$81^2-298.15^2)+'Data Termo'!$L$25/3*($F$81^3-298.15^3)+'Data Termo'!$M$25/4*($F$81^4-298.15^4))</f>
        <v>-15061.266299760626</v>
      </c>
    </row>
    <row r="94">
      <c r="A94" s="163" t="inlineStr">
        <is>
          <t>C₄H₈Cl₂ (berat) (l)</t>
        </is>
      </c>
      <c r="B94" s="216">
        <f>E35</f>
        <v>3.0950186703622276</v>
      </c>
      <c r="C94" s="217">
        <f>('Data Termo'!$J$26*($B$81-298.15)+'Data Termo'!$K$26/2*($B$81^2-298.15^2)+'Data Termo'!$L$26/3*($B$81^3-298.15^3)+'Data Termo'!$M$26/4*($B$81^4-298.15^4))</f>
        <v>923.4300883693122</v>
      </c>
      <c r="D94" s="216">
        <f>I35</f>
        <v>0.0</v>
      </c>
      <c r="E94" s="217">
        <f>('Data Termo'!$J$26*($D$81-298.15)+'Data Termo'!$K$26/2*($D$81^2-298.15^2)+'Data Termo'!$L$26/3*($D$81^3-298.15^3)+'Data Termo'!$M$26/4*($D$81^4-298.15^4))</f>
        <v>-9666.333191218378</v>
      </c>
      <c r="F94" s="216">
        <f>M35</f>
        <v>3.0950186703622276</v>
      </c>
      <c r="G94" s="217">
        <f>('Data Termo'!$J$26*($F$81-298.15)+'Data Termo'!$K$26/2*($F$81^2-298.15^2)+'Data Termo'!$L$26/3*($F$81^3-298.15^3)+'Data Termo'!$M$26/4*($F$81^4-298.15^4))</f>
        <v>10599.873495300046</v>
      </c>
    </row>
    <row r="95">
      <c r="A95" s="200" t="inlineStr">
        <is>
          <t>Sub Total ṅᵢĤᵢ (kJ/h)</t>
        </is>
      </c>
      <c r="B95" s="218">
        <f>SUMPRODUCT(B87:B94,C87:C94)</f>
        <v>-10067370.671572166</v>
      </c>
      <c r="C95" s="211" t="n"/>
      <c r="D95" s="218">
        <f>SUMPRODUCT(D87:D94,E87:E94)</f>
        <v>-4356338.67622546</v>
      </c>
      <c r="E95" s="211" t="n"/>
      <c r="F95" s="218">
        <f>SUMPRODUCT(F87:F94,G87:G94)</f>
        <v>-3573116.232637346</v>
      </c>
      <c r="G95" s="211" t="n"/>
    </row>
    <row r="96">
      <c r="A96" s="163" t="inlineStr">
        <is>
          <t>Heat of reaction / heat of mixing (kJ/h)</t>
        </is>
      </c>
      <c r="B96" s="219" t="inlineStr">
        <is>
          <t>-</t>
        </is>
      </c>
      <c r="C96" s="211" t="n"/>
      <c r="D96" s="220" t="inlineStr">
        <is>
          <t>-</t>
        </is>
      </c>
      <c r="E96" s="210" t="n"/>
      <c r="F96" s="210" t="n"/>
      <c r="G96" s="211" t="n"/>
    </row>
    <row r="97">
      <c r="A97" s="200" t="inlineStr">
        <is>
          <t>Q kondensor (kJ/h)</t>
        </is>
      </c>
      <c r="B97" s="218">
        <f>-(1+$B$8/G36)*(D91*('Data Termo'!$Q$22*1000*MAX(0,1-$D$81/'Data Termo'!$R$22)^'Data Termo'!$S$22)+D87*('Data Termo'!$Q$10*1000*MAX(0,1-$D$81/'Data Termo'!$R$10)^'Data Termo'!$S$10)+D93*('Data Termo'!$Q$25*1000*MAX(0,1-$D$81/'Data Termo'!$R$25)^'Data Termo'!$S$25))</f>
        <v>-5433543.00446155</v>
      </c>
      <c r="C97" s="210" t="n"/>
      <c r="D97" s="210" t="n"/>
      <c r="E97" s="210" t="n"/>
      <c r="F97" s="210" t="n"/>
      <c r="G97" s="211" t="n"/>
    </row>
    <row r="98">
      <c r="A98" s="200" t="inlineStr">
        <is>
          <t>Q reboiler (kJ/h)</t>
        </is>
      </c>
      <c r="B98" s="218">
        <f>(D95+F95)-(B95)-$B$97</f>
        <v>7571458.76717091</v>
      </c>
      <c r="C98" s="210" t="n"/>
      <c r="D98" s="210" t="n"/>
      <c r="E98" s="210" t="n"/>
      <c r="F98" s="210" t="n"/>
      <c r="G98" s="211" t="n"/>
    </row>
    <row r="99">
      <c r="A99" s="200" t="inlineStr">
        <is>
          <t>W (kJ/h)</t>
        </is>
      </c>
      <c r="B99" s="218" t="n">
        <v>0</v>
      </c>
      <c r="C99" s="210" t="n"/>
      <c r="D99" s="210" t="n"/>
      <c r="E99" s="210" t="n"/>
      <c r="F99" s="210" t="n"/>
      <c r="G99" s="211" t="n"/>
    </row>
    <row r="100">
      <c r="A100" s="200" t="inlineStr">
        <is>
          <t>TOTAL (kJ/h)</t>
        </is>
      </c>
      <c r="B100" s="218">
        <f>B95+$B$97+$B$98+$B$99</f>
        <v>-7929454.908862807</v>
      </c>
      <c r="C100" s="211" t="n"/>
      <c r="D100" s="218">
        <f>(D95+F95)</f>
        <v>-7929454.908862806</v>
      </c>
      <c r="E100" s="210" t="n"/>
      <c r="F100" s="210" t="n"/>
      <c r="G100" s="211" t="n"/>
    </row>
    <row r="101">
      <c r="A101" s="163" t="inlineStr">
        <is>
          <t>Selisih masuk − keluar (kJ/h)</t>
        </is>
      </c>
      <c r="B101" s="217">
        <f>B100-D100</f>
        <v>-9.313225746154785e-10</v>
      </c>
      <c r="C101" s="210" t="n"/>
      <c r="D101" s="210" t="n"/>
      <c r="E101" s="210" t="n"/>
      <c r="F101" s="210" t="n"/>
      <c r="G101" s="211" t="n"/>
    </row>
    <row r="102">
      <c r="A102" s="163" t="inlineStr">
        <is>
          <t>Q kondensor (kW)</t>
        </is>
      </c>
      <c r="B102" s="217">
        <f>$B$97/3600</f>
        <v>-1509.3175012393194</v>
      </c>
      <c r="C102" s="210" t="n"/>
      <c r="D102" s="210" t="n"/>
      <c r="E102" s="210" t="n"/>
      <c r="F102" s="210" t="n"/>
      <c r="G102" s="211" t="n"/>
    </row>
    <row r="103">
      <c r="A103" s="163" t="inlineStr">
        <is>
          <t>Q reboiler (kW)</t>
        </is>
      </c>
      <c r="B103" s="217">
        <f>$B$98/3600</f>
        <v>2103.182990880808</v>
      </c>
      <c r="C103" s="210" t="n"/>
      <c r="D103" s="210" t="n"/>
      <c r="E103" s="210" t="n"/>
      <c r="F103" s="210" t="n"/>
      <c r="G103" s="211" t="n"/>
    </row>
    <row r="104">
      <c r="A104" s="163" t="inlineStr">
        <is>
          <t>W (kW)</t>
        </is>
      </c>
      <c r="B104" s="217">
        <f>$B$99/3600</f>
        <v>0.0</v>
      </c>
      <c r="C104" s="210" t="n"/>
      <c r="D104" s="210" t="n"/>
      <c r="E104" s="210" t="n"/>
      <c r="F104" s="210" t="n"/>
      <c r="G104" s="211" t="n"/>
    </row>
  </sheetData>
  <mergeCells count="80">
    <mergeCell ref="B100:C100"/>
    <mergeCell ref="B98:G98"/>
    <mergeCell ref="B68:E68"/>
    <mergeCell ref="C7:L7"/>
    <mergeCell ref="D45:E45"/>
    <mergeCell ref="F12:M12"/>
    <mergeCell ref="B67:C67"/>
    <mergeCell ref="F80:G80"/>
    <mergeCell ref="D100:G100"/>
    <mergeCell ref="D70:E70"/>
    <mergeCell ref="A49:A51"/>
    <mergeCell ref="D48:E48"/>
    <mergeCell ref="F79:G79"/>
    <mergeCell ref="D84:G84"/>
    <mergeCell ref="B78:C78"/>
    <mergeCell ref="D78:E78"/>
    <mergeCell ref="B12:E12"/>
    <mergeCell ref="A84:A86"/>
    <mergeCell ref="F81:G81"/>
    <mergeCell ref="B49:C49"/>
    <mergeCell ref="B13:E13"/>
    <mergeCell ref="B69:E69"/>
    <mergeCell ref="B102:G102"/>
    <mergeCell ref="F13:I13"/>
    <mergeCell ref="A12:A14"/>
    <mergeCell ref="B101:G101"/>
    <mergeCell ref="B66:C66"/>
    <mergeCell ref="F83:G83"/>
    <mergeCell ref="F85:G85"/>
    <mergeCell ref="D66:E66"/>
    <mergeCell ref="B104:G104"/>
    <mergeCell ref="D47:E47"/>
    <mergeCell ref="B84:C84"/>
    <mergeCell ref="C10:L10"/>
    <mergeCell ref="F37:M37"/>
    <mergeCell ref="B80:C80"/>
    <mergeCell ref="B95:C95"/>
    <mergeCell ref="B37:E37"/>
    <mergeCell ref="B79:C79"/>
    <mergeCell ref="D79:E79"/>
    <mergeCell ref="B81:C81"/>
    <mergeCell ref="D81:E81"/>
    <mergeCell ref="B96:C96"/>
    <mergeCell ref="B43:C43"/>
    <mergeCell ref="B103:G103"/>
    <mergeCell ref="D49:E49"/>
    <mergeCell ref="B72:E72"/>
    <mergeCell ref="C6:L6"/>
    <mergeCell ref="B82:C82"/>
    <mergeCell ref="B44:C44"/>
    <mergeCell ref="B71:E71"/>
    <mergeCell ref="B97:G97"/>
    <mergeCell ref="B83:C83"/>
    <mergeCell ref="D83:E83"/>
    <mergeCell ref="D67:E67"/>
    <mergeCell ref="B45:C45"/>
    <mergeCell ref="B5:L5"/>
    <mergeCell ref="B85:C85"/>
    <mergeCell ref="D85:E85"/>
    <mergeCell ref="B47:C47"/>
    <mergeCell ref="F78:G78"/>
    <mergeCell ref="C8:L8"/>
    <mergeCell ref="B46:C46"/>
    <mergeCell ref="D46:E46"/>
    <mergeCell ref="D80:E80"/>
    <mergeCell ref="B38:M38"/>
    <mergeCell ref="B70:C70"/>
    <mergeCell ref="B48:C48"/>
    <mergeCell ref="D95:E95"/>
    <mergeCell ref="F95:G95"/>
    <mergeCell ref="B99:G99"/>
    <mergeCell ref="J13:M13"/>
    <mergeCell ref="D43:E43"/>
    <mergeCell ref="D96:G96"/>
    <mergeCell ref="D82:E82"/>
    <mergeCell ref="B73:E73"/>
    <mergeCell ref="F82:G82"/>
    <mergeCell ref="B50:C50"/>
    <mergeCell ref="D50:E50"/>
    <mergeCell ref="D44:E4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3:M120"/>
  <sheetViews>
    <sheetView tabSelected="0" zoomScale="85"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</cols>
  <sheetData>
    <row r="3">
      <c r="A3" s="169" t="inlineStr">
        <is>
          <t>Neraca Massa dan Energi</t>
        </is>
      </c>
    </row>
    <row r="4">
      <c r="A4" s="169" t="inlineStr">
        <is>
          <t>NM Blok 8: Pemurnian VCM (Kolom VCM)</t>
        </is>
      </c>
    </row>
    <row r="5">
      <c r="A5" s="202" t="inlineStr">
        <is>
          <t>Tujuan:</t>
        </is>
      </c>
      <c r="B5" s="187" t="inlineStr">
        <is>
          <t>Memisahkan VCM produk (distilat) dari EDC tak bereaksi yang didaur ulang</t>
        </is>
      </c>
    </row>
    <row r="6">
      <c r="A6" s="202" t="inlineStr">
        <is>
          <t>Unjuk Kerja</t>
        </is>
      </c>
      <c r="B6" s="203" t="n">
        <v>0.9995000000000001</v>
      </c>
      <c r="C6" s="187" t="inlineStr">
        <is>
          <t>Kemurnian VCM produk (fraksi mol VCM/(VCM + EDC))</t>
        </is>
      </c>
    </row>
    <row r="7">
      <c r="B7" s="205" t="n">
        <v>0.005</v>
      </c>
      <c r="C7" s="187" t="inlineStr">
        <is>
          <t>Kadar VCM dalam EDC produk bawah (fraksi berat)</t>
        </is>
      </c>
    </row>
    <row r="8">
      <c r="B8" s="223" t="n">
        <v>2.98</v>
      </c>
      <c r="C8" s="187" t="inlineStr">
        <is>
          <t>Beban kondensor kolom VCM Dimian &amp; Bildea, Tabel 7.8 (MW)</t>
        </is>
      </c>
    </row>
    <row r="9">
      <c r="B9" s="223">
        <f>(20.8+16.9)/2+273.15</f>
        <v>292.0</v>
      </c>
      <c r="C9" s="187" t="inlineStr">
        <is>
          <t>Suhu kondensor rata-rata Dimian &amp; Bildea, Tabel 7.8 (K)</t>
        </is>
      </c>
    </row>
    <row r="11">
      <c r="A11" s="202" t="inlineStr">
        <is>
          <t>Basis Perhitungan</t>
        </is>
      </c>
      <c r="B11" s="209">
        <f>'NME-1 Klorinasi Langsung'!$B$16</f>
        <v>6100.572183061604</v>
      </c>
      <c r="C11" s="187" t="inlineStr">
        <is>
          <t>kg/h aliran etilena ke R-01 (NME-1)</t>
        </is>
      </c>
    </row>
    <row r="13">
      <c r="A13" s="162" t="inlineStr">
        <is>
          <t>Substance</t>
        </is>
      </c>
      <c r="B13" s="162" t="inlineStr">
        <is>
          <t>Inlet</t>
        </is>
      </c>
      <c r="C13" s="210" t="n"/>
      <c r="D13" s="210" t="n"/>
      <c r="E13" s="211" t="n"/>
      <c r="F13" s="162" t="inlineStr">
        <is>
          <t>Outlet</t>
        </is>
      </c>
      <c r="G13" s="210" t="n"/>
      <c r="H13" s="210" t="n"/>
      <c r="I13" s="210" t="n"/>
      <c r="J13" s="210" t="n"/>
      <c r="K13" s="210" t="n"/>
      <c r="L13" s="210" t="n"/>
      <c r="M13" s="211" t="n"/>
    </row>
    <row r="14">
      <c r="A14" s="212" t="n"/>
      <c r="B14" s="162" t="inlineStr">
        <is>
          <t>Aliran 46</t>
        </is>
      </c>
      <c r="C14" s="210" t="n"/>
      <c r="D14" s="210" t="n"/>
      <c r="E14" s="211" t="n"/>
      <c r="F14" s="162" t="inlineStr">
        <is>
          <t>Aliran 47</t>
        </is>
      </c>
      <c r="G14" s="210" t="n"/>
      <c r="H14" s="210" t="n"/>
      <c r="I14" s="211" t="n"/>
      <c r="J14" s="162" t="inlineStr">
        <is>
          <t>Aliran 49</t>
        </is>
      </c>
      <c r="K14" s="210" t="n"/>
      <c r="L14" s="210" t="n"/>
      <c r="M14" s="211" t="n"/>
    </row>
    <row r="15">
      <c r="A15" s="213" t="n"/>
      <c r="B15" s="214" t="inlineStr">
        <is>
          <t>ẋᵢ</t>
        </is>
      </c>
      <c r="C15" s="214" t="inlineStr">
        <is>
          <t>ṁᵢ (kg/h)</t>
        </is>
      </c>
      <c r="D15" s="214" t="inlineStr">
        <is>
          <t>ẏᵢ</t>
        </is>
      </c>
      <c r="E15" s="214" t="inlineStr">
        <is>
          <t>ṅᵢ (kmol/h)</t>
        </is>
      </c>
      <c r="F15" s="214" t="inlineStr">
        <is>
          <t>ẋᵢ</t>
        </is>
      </c>
      <c r="G15" s="214" t="inlineStr">
        <is>
          <t>ṁᵢ (kg/h)</t>
        </is>
      </c>
      <c r="H15" s="214" t="inlineStr">
        <is>
          <t>ẏᵢ</t>
        </is>
      </c>
      <c r="I15" s="214" t="inlineStr">
        <is>
          <t>ṅᵢ (kmol/h)</t>
        </is>
      </c>
      <c r="J15" s="214" t="inlineStr">
        <is>
          <t>ẋᵢ</t>
        </is>
      </c>
      <c r="K15" s="214" t="inlineStr">
        <is>
          <t>ṁᵢ (kg/h)</t>
        </is>
      </c>
      <c r="L15" s="214" t="inlineStr">
        <is>
          <t>ẏᵢ</t>
        </is>
      </c>
      <c r="M15" s="214" t="inlineStr">
        <is>
          <t>ṅᵢ (kmol/h)</t>
        </is>
      </c>
    </row>
    <row r="16">
      <c r="A16" s="163" t="inlineStr">
        <is>
          <t>C₂H₄</t>
        </is>
      </c>
      <c r="B16" s="189">
        <f>C16/C$37</f>
        <v>0.0</v>
      </c>
      <c r="C16" s="215">
        <f>E16*'Data Komponen'!$D$3</f>
        <v>0.0</v>
      </c>
      <c r="D16" s="189">
        <f>E16/E$37</f>
        <v>0.0</v>
      </c>
      <c r="E16" s="216">
        <f>'NME-7 Kolom HCl'!M15</f>
        <v>0.0</v>
      </c>
      <c r="F16" s="189">
        <f>G16/G$37</f>
        <v>0.0</v>
      </c>
      <c r="G16" s="215">
        <f>I16*'Data Komponen'!$D$3</f>
        <v>0.0</v>
      </c>
      <c r="H16" s="189">
        <f>I16/I$37</f>
        <v>0.0</v>
      </c>
      <c r="I16" s="216">
        <f>0</f>
        <v>0.0</v>
      </c>
      <c r="J16" s="189">
        <f>K16/K$37</f>
        <v>0.0</v>
      </c>
      <c r="K16" s="215">
        <f>M16*'Data Komponen'!$D$3</f>
        <v>0.0</v>
      </c>
      <c r="L16" s="189">
        <f>M16/M$37</f>
        <v>0.0</v>
      </c>
      <c r="M16" s="216">
        <f>E16</f>
        <v>0.0</v>
      </c>
    </row>
    <row r="17">
      <c r="A17" s="163" t="inlineStr">
        <is>
          <t>CH₄</t>
        </is>
      </c>
      <c r="B17" s="189">
        <f>C17/C$37</f>
        <v>0.0</v>
      </c>
      <c r="C17" s="215">
        <f>E17*'Data Komponen'!$D$4</f>
        <v>0.0</v>
      </c>
      <c r="D17" s="189">
        <f>E17/E$37</f>
        <v>0.0</v>
      </c>
      <c r="E17" s="216">
        <f>'NME-7 Kolom HCl'!M16</f>
        <v>0.0</v>
      </c>
      <c r="F17" s="189">
        <f>G17/G$37</f>
        <v>0.0</v>
      </c>
      <c r="G17" s="215">
        <f>I17*'Data Komponen'!$D$4</f>
        <v>0.0</v>
      </c>
      <c r="H17" s="189">
        <f>I17/I$37</f>
        <v>0.0</v>
      </c>
      <c r="I17" s="216">
        <f>0</f>
        <v>0.0</v>
      </c>
      <c r="J17" s="189">
        <f>K17/K$37</f>
        <v>0.0</v>
      </c>
      <c r="K17" s="215">
        <f>M17*'Data Komponen'!$D$4</f>
        <v>0.0</v>
      </c>
      <c r="L17" s="189">
        <f>M17/M$37</f>
        <v>0.0</v>
      </c>
      <c r="M17" s="216">
        <f>E17</f>
        <v>0.0</v>
      </c>
    </row>
    <row r="18">
      <c r="A18" s="163" t="inlineStr">
        <is>
          <t>C₂H₆</t>
        </is>
      </c>
      <c r="B18" s="189">
        <f>C18/C$37</f>
        <v>0.0</v>
      </c>
      <c r="C18" s="215">
        <f>E18*'Data Komponen'!$D$5</f>
        <v>0.0</v>
      </c>
      <c r="D18" s="189">
        <f>E18/E$37</f>
        <v>0.0</v>
      </c>
      <c r="E18" s="216">
        <f>'NME-7 Kolom HCl'!M17</f>
        <v>0.0</v>
      </c>
      <c r="F18" s="189">
        <f>G18/G$37</f>
        <v>0.0</v>
      </c>
      <c r="G18" s="215">
        <f>I18*'Data Komponen'!$D$5</f>
        <v>0.0</v>
      </c>
      <c r="H18" s="189">
        <f>I18/I$37</f>
        <v>0.0</v>
      </c>
      <c r="I18" s="216">
        <f>0</f>
        <v>0.0</v>
      </c>
      <c r="J18" s="189">
        <f>K18/K$37</f>
        <v>0.0</v>
      </c>
      <c r="K18" s="215">
        <f>M18*'Data Komponen'!$D$5</f>
        <v>0.0</v>
      </c>
      <c r="L18" s="189">
        <f>M18/M$37</f>
        <v>0.0</v>
      </c>
      <c r="M18" s="216">
        <f>E18</f>
        <v>0.0</v>
      </c>
    </row>
    <row r="19">
      <c r="A19" s="163" t="inlineStr">
        <is>
          <t>C₂H₂</t>
        </is>
      </c>
      <c r="B19" s="189">
        <f>C19/C$37</f>
        <v>0.0</v>
      </c>
      <c r="C19" s="215">
        <f>E19*'Data Komponen'!$D$6</f>
        <v>0.0</v>
      </c>
      <c r="D19" s="189">
        <f>E19/E$37</f>
        <v>0.0</v>
      </c>
      <c r="E19" s="216">
        <f>'NME-7 Kolom HCl'!M18</f>
        <v>0.0</v>
      </c>
      <c r="F19" s="189">
        <f>G19/G$37</f>
        <v>0.0</v>
      </c>
      <c r="G19" s="215">
        <f>I19*'Data Komponen'!$D$6</f>
        <v>0.0</v>
      </c>
      <c r="H19" s="189">
        <f>I19/I$37</f>
        <v>0.0</v>
      </c>
      <c r="I19" s="216">
        <f>0</f>
        <v>0.0</v>
      </c>
      <c r="J19" s="189">
        <f>K19/K$37</f>
        <v>0.0</v>
      </c>
      <c r="K19" s="215">
        <f>M19*'Data Komponen'!$D$6</f>
        <v>0.0</v>
      </c>
      <c r="L19" s="189">
        <f>M19/M$37</f>
        <v>0.0</v>
      </c>
      <c r="M19" s="216">
        <f>E19</f>
        <v>0.0</v>
      </c>
    </row>
    <row r="20">
      <c r="A20" s="163" t="inlineStr">
        <is>
          <t>Cl₂</t>
        </is>
      </c>
      <c r="B20" s="189">
        <f>C20/C$37</f>
        <v>0.0</v>
      </c>
      <c r="C20" s="215">
        <f>E20*'Data Komponen'!$D$7</f>
        <v>0.0</v>
      </c>
      <c r="D20" s="189">
        <f>E20/E$37</f>
        <v>0.0</v>
      </c>
      <c r="E20" s="216">
        <f>'NME-7 Kolom HCl'!M19</f>
        <v>0.0</v>
      </c>
      <c r="F20" s="189">
        <f>G20/G$37</f>
        <v>0.0</v>
      </c>
      <c r="G20" s="215">
        <f>I20*'Data Komponen'!$D$7</f>
        <v>0.0</v>
      </c>
      <c r="H20" s="189">
        <f>I20/I$37</f>
        <v>0.0</v>
      </c>
      <c r="I20" s="216">
        <f>0</f>
        <v>0.0</v>
      </c>
      <c r="J20" s="189">
        <f>K20/K$37</f>
        <v>0.0</v>
      </c>
      <c r="K20" s="215">
        <f>M20*'Data Komponen'!$D$7</f>
        <v>0.0</v>
      </c>
      <c r="L20" s="189">
        <f>M20/M$37</f>
        <v>0.0</v>
      </c>
      <c r="M20" s="216">
        <f>E20</f>
        <v>0.0</v>
      </c>
    </row>
    <row r="21">
      <c r="A21" s="163" t="inlineStr">
        <is>
          <t>CₙHₘ</t>
        </is>
      </c>
      <c r="B21" s="189">
        <f>C21/C$37</f>
        <v>0.0</v>
      </c>
      <c r="C21" s="215">
        <f>E21*'Data Komponen'!$D$8</f>
        <v>0.0</v>
      </c>
      <c r="D21" s="189">
        <f>E21/E$37</f>
        <v>0.0</v>
      </c>
      <c r="E21" s="216">
        <f>'NME-7 Kolom HCl'!M20</f>
        <v>0.0</v>
      </c>
      <c r="F21" s="189">
        <f>G21/G$37</f>
        <v>0.0</v>
      </c>
      <c r="G21" s="215">
        <f>I21*'Data Komponen'!$D$8</f>
        <v>0.0</v>
      </c>
      <c r="H21" s="189">
        <f>I21/I$37</f>
        <v>0.0</v>
      </c>
      <c r="I21" s="216">
        <f>0</f>
        <v>0.0</v>
      </c>
      <c r="J21" s="189">
        <f>K21/K$37</f>
        <v>0.0</v>
      </c>
      <c r="K21" s="215">
        <f>M21*'Data Komponen'!$D$8</f>
        <v>0.0</v>
      </c>
      <c r="L21" s="189">
        <f>M21/M$37</f>
        <v>0.0</v>
      </c>
      <c r="M21" s="216">
        <f>E21</f>
        <v>0.0</v>
      </c>
    </row>
    <row r="22">
      <c r="A22" s="163" t="inlineStr">
        <is>
          <t>H₂O</t>
        </is>
      </c>
      <c r="B22" s="189">
        <f>C22/C$37</f>
        <v>4.4151641924924604e-05</v>
      </c>
      <c r="C22" s="215">
        <f>E22*'Data Komponen'!$D$9</f>
        <v>2.614266409950987</v>
      </c>
      <c r="D22" s="189">
        <f>E22/E$37</f>
        <v>0.0001941783629896648</v>
      </c>
      <c r="E22" s="216">
        <f>'NME-7 Kolom HCl'!M21</f>
        <v>0.14511609269780668</v>
      </c>
      <c r="F22" s="189">
        <f>G22/G$37</f>
        <v>0.0</v>
      </c>
      <c r="G22" s="215">
        <f>I22*'Data Komponen'!$D$9</f>
        <v>0.0</v>
      </c>
      <c r="H22" s="189">
        <f>I22/I$37</f>
        <v>0.0</v>
      </c>
      <c r="I22" s="216">
        <f>0</f>
        <v>0.0</v>
      </c>
      <c r="J22" s="189">
        <f>K22/K$37</f>
        <v>7.698402996788152e-05</v>
      </c>
      <c r="K22" s="215">
        <f>M22*'Data Komponen'!$D$9</f>
        <v>2.6142664099510515</v>
      </c>
      <c r="L22" s="189">
        <f>M22/M$37</f>
        <v>0.00042258820769546076</v>
      </c>
      <c r="M22" s="216">
        <f>E22</f>
        <v>0.14511609269780668</v>
      </c>
    </row>
    <row r="23">
      <c r="A23" s="163" t="inlineStr">
        <is>
          <t>CₓHᵧCl</t>
        </is>
      </c>
      <c r="B23" s="189">
        <f>C23/C$37</f>
        <v>0.0</v>
      </c>
      <c r="C23" s="215">
        <f>E23*'Data Komponen'!$D$10</f>
        <v>0.0</v>
      </c>
      <c r="D23" s="189">
        <f>E23/E$37</f>
        <v>0.0</v>
      </c>
      <c r="E23" s="216">
        <f>'NME-7 Kolom HCl'!M22</f>
        <v>0.0</v>
      </c>
      <c r="F23" s="189">
        <f>G23/G$37</f>
        <v>0.0</v>
      </c>
      <c r="G23" s="215">
        <f>I23*'Data Komponen'!$D$10</f>
        <v>0.0</v>
      </c>
      <c r="H23" s="189">
        <f>I23/I$37</f>
        <v>0.0</v>
      </c>
      <c r="I23" s="216">
        <f>0</f>
        <v>0.0</v>
      </c>
      <c r="J23" s="189">
        <f>K23/K$37</f>
        <v>0.0</v>
      </c>
      <c r="K23" s="215">
        <f>M23*'Data Komponen'!$D$10</f>
        <v>0.0</v>
      </c>
      <c r="L23" s="189">
        <f>M23/M$37</f>
        <v>0.0</v>
      </c>
      <c r="M23" s="216">
        <f>E23</f>
        <v>0.0</v>
      </c>
    </row>
    <row r="24">
      <c r="A24" s="163" t="inlineStr">
        <is>
          <t>Br₂</t>
        </is>
      </c>
      <c r="B24" s="189">
        <f>C24/C$37</f>
        <v>0.0</v>
      </c>
      <c r="C24" s="215">
        <f>E24*'Data Komponen'!$D$11</f>
        <v>0.0</v>
      </c>
      <c r="D24" s="189">
        <f>E24/E$37</f>
        <v>0.0</v>
      </c>
      <c r="E24" s="216">
        <f>'NME-7 Kolom HCl'!M23</f>
        <v>0.0</v>
      </c>
      <c r="F24" s="189">
        <f>G24/G$37</f>
        <v>0.0</v>
      </c>
      <c r="G24" s="215">
        <f>I24*'Data Komponen'!$D$11</f>
        <v>0.0</v>
      </c>
      <c r="H24" s="189">
        <f>I24/I$37</f>
        <v>0.0</v>
      </c>
      <c r="I24" s="216">
        <f>0</f>
        <v>0.0</v>
      </c>
      <c r="J24" s="189">
        <f>K24/K$37</f>
        <v>0.0</v>
      </c>
      <c r="K24" s="215">
        <f>M24*'Data Komponen'!$D$11</f>
        <v>0.0</v>
      </c>
      <c r="L24" s="189">
        <f>M24/M$37</f>
        <v>0.0</v>
      </c>
      <c r="M24" s="216">
        <f>E24</f>
        <v>0.0</v>
      </c>
    </row>
    <row r="25">
      <c r="A25" s="163" t="inlineStr">
        <is>
          <t>NCl₃</t>
        </is>
      </c>
      <c r="B25" s="189">
        <f>C25/C$37</f>
        <v>0.0</v>
      </c>
      <c r="C25" s="215">
        <f>E25*'Data Komponen'!$D$12</f>
        <v>0.0</v>
      </c>
      <c r="D25" s="189">
        <f>E25/E$37</f>
        <v>0.0</v>
      </c>
      <c r="E25" s="216">
        <f>'NME-7 Kolom HCl'!M24</f>
        <v>0.0</v>
      </c>
      <c r="F25" s="189">
        <f>G25/G$37</f>
        <v>0.0</v>
      </c>
      <c r="G25" s="215">
        <f>I25*'Data Komponen'!$D$12</f>
        <v>0.0</v>
      </c>
      <c r="H25" s="189">
        <f>I25/I$37</f>
        <v>0.0</v>
      </c>
      <c r="I25" s="216">
        <f>0</f>
        <v>0.0</v>
      </c>
      <c r="J25" s="189">
        <f>K25/K$37</f>
        <v>0.0</v>
      </c>
      <c r="K25" s="215">
        <f>M25*'Data Komponen'!$D$12</f>
        <v>0.0</v>
      </c>
      <c r="L25" s="189">
        <f>M25/M$37</f>
        <v>0.0</v>
      </c>
      <c r="M25" s="216">
        <f>E25</f>
        <v>0.0</v>
      </c>
    </row>
    <row r="26">
      <c r="A26" s="163" t="inlineStr">
        <is>
          <t>H₂</t>
        </is>
      </c>
      <c r="B26" s="189">
        <f>C26/C$37</f>
        <v>0.0</v>
      </c>
      <c r="C26" s="215">
        <f>E26*'Data Komponen'!$D$13</f>
        <v>0.0</v>
      </c>
      <c r="D26" s="189">
        <f>E26/E$37</f>
        <v>0.0</v>
      </c>
      <c r="E26" s="216">
        <f>'NME-7 Kolom HCl'!M25</f>
        <v>0.0</v>
      </c>
      <c r="F26" s="189">
        <f>G26/G$37</f>
        <v>0.0</v>
      </c>
      <c r="G26" s="215">
        <f>I26*'Data Komponen'!$D$13</f>
        <v>0.0</v>
      </c>
      <c r="H26" s="189">
        <f>I26/I$37</f>
        <v>0.0</v>
      </c>
      <c r="I26" s="216">
        <f>0</f>
        <v>0.0</v>
      </c>
      <c r="J26" s="189">
        <f>K26/K$37</f>
        <v>0.0</v>
      </c>
      <c r="K26" s="215">
        <f>M26*'Data Komponen'!$D$13</f>
        <v>0.0</v>
      </c>
      <c r="L26" s="189">
        <f>M26/M$37</f>
        <v>0.0</v>
      </c>
      <c r="M26" s="216">
        <f>E26</f>
        <v>0.0</v>
      </c>
    </row>
    <row r="27">
      <c r="A27" s="163" t="inlineStr">
        <is>
          <t>O₂</t>
        </is>
      </c>
      <c r="B27" s="189">
        <f>C27/C$37</f>
        <v>0.0</v>
      </c>
      <c r="C27" s="215">
        <f>E27*'Data Komponen'!$D$14</f>
        <v>0.0</v>
      </c>
      <c r="D27" s="189">
        <f>E27/E$37</f>
        <v>0.0</v>
      </c>
      <c r="E27" s="216">
        <f>'NME-7 Kolom HCl'!M26</f>
        <v>0.0</v>
      </c>
      <c r="F27" s="189">
        <f>G27/G$37</f>
        <v>0.0</v>
      </c>
      <c r="G27" s="215">
        <f>I27*'Data Komponen'!$D$14</f>
        <v>0.0</v>
      </c>
      <c r="H27" s="189">
        <f>I27/I$37</f>
        <v>0.0</v>
      </c>
      <c r="I27" s="216">
        <f>0</f>
        <v>0.0</v>
      </c>
      <c r="J27" s="189">
        <f>K27/K$37</f>
        <v>0.0</v>
      </c>
      <c r="K27" s="215">
        <f>M27*'Data Komponen'!$D$14</f>
        <v>0.0</v>
      </c>
      <c r="L27" s="189">
        <f>M27/M$37</f>
        <v>0.0</v>
      </c>
      <c r="M27" s="216">
        <f>E27</f>
        <v>0.0</v>
      </c>
    </row>
    <row r="28">
      <c r="A28" s="163" t="inlineStr">
        <is>
          <t>N₂</t>
        </is>
      </c>
      <c r="B28" s="189">
        <f>C28/C$37</f>
        <v>0.0</v>
      </c>
      <c r="C28" s="215">
        <f>E28*'Data Komponen'!$D$15</f>
        <v>0.0</v>
      </c>
      <c r="D28" s="189">
        <f>E28/E$37</f>
        <v>0.0</v>
      </c>
      <c r="E28" s="216">
        <f>'NME-7 Kolom HCl'!M27</f>
        <v>0.0</v>
      </c>
      <c r="F28" s="189">
        <f>G28/G$37</f>
        <v>0.0</v>
      </c>
      <c r="G28" s="215">
        <f>I28*'Data Komponen'!$D$15</f>
        <v>0.0</v>
      </c>
      <c r="H28" s="189">
        <f>I28/I$37</f>
        <v>0.0</v>
      </c>
      <c r="I28" s="216">
        <f>0</f>
        <v>0.0</v>
      </c>
      <c r="J28" s="189">
        <f>K28/K$37</f>
        <v>0.0</v>
      </c>
      <c r="K28" s="215">
        <f>M28*'Data Komponen'!$D$15</f>
        <v>0.0</v>
      </c>
      <c r="L28" s="189">
        <f>M28/M$37</f>
        <v>0.0</v>
      </c>
      <c r="M28" s="216">
        <f>E28</f>
        <v>0.0</v>
      </c>
    </row>
    <row r="29">
      <c r="A29" s="163" t="inlineStr">
        <is>
          <t>CO₂</t>
        </is>
      </c>
      <c r="B29" s="189">
        <f>C29/C$37</f>
        <v>0.0</v>
      </c>
      <c r="C29" s="215">
        <f>E29*'Data Komponen'!$D$16</f>
        <v>0.0</v>
      </c>
      <c r="D29" s="189">
        <f>E29/E$37</f>
        <v>0.0</v>
      </c>
      <c r="E29" s="216">
        <f>'NME-7 Kolom HCl'!M28</f>
        <v>0.0</v>
      </c>
      <c r="F29" s="189">
        <f>G29/G$37</f>
        <v>0.0</v>
      </c>
      <c r="G29" s="215">
        <f>I29*'Data Komponen'!$D$16</f>
        <v>0.0</v>
      </c>
      <c r="H29" s="189">
        <f>I29/I$37</f>
        <v>0.0</v>
      </c>
      <c r="I29" s="216">
        <f>0</f>
        <v>0.0</v>
      </c>
      <c r="J29" s="189">
        <f>K29/K$37</f>
        <v>0.0</v>
      </c>
      <c r="K29" s="215">
        <f>M29*'Data Komponen'!$D$16</f>
        <v>0.0</v>
      </c>
      <c r="L29" s="189">
        <f>M29/M$37</f>
        <v>0.0</v>
      </c>
      <c r="M29" s="216">
        <f>E29</f>
        <v>0.0</v>
      </c>
    </row>
    <row r="30">
      <c r="A30" s="163" t="inlineStr">
        <is>
          <t>EDC</t>
        </is>
      </c>
      <c r="B30" s="189">
        <f>C30/C$37</f>
        <v>0.5642923311949061</v>
      </c>
      <c r="C30" s="215">
        <f>E30*'Data Komponen'!$D$17</f>
        <v>33412.3584654955</v>
      </c>
      <c r="D30" s="189">
        <f>E30/E$37</f>
        <v>0.4517904985855777</v>
      </c>
      <c r="E30" s="216">
        <f>'NME-7 Kolom HCl'!M29</f>
        <v>337.63840040315176</v>
      </c>
      <c r="F30" s="189">
        <f>G30/G$37</f>
        <v>0.0007914660699231632</v>
      </c>
      <c r="G30" s="215">
        <f>I30*'Data Komponen'!$D$17</f>
        <v>19.986516917250967</v>
      </c>
      <c r="H30" s="189">
        <f>I30/I$37</f>
        <v>0.0004999995713487337</v>
      </c>
      <c r="I30" s="216">
        <f>I35*(1-$B$6)/$B$6</f>
        <v>0.20196765243434703</v>
      </c>
      <c r="J30" s="189">
        <f>K30/K$37</f>
        <v>0.9833272358941256</v>
      </c>
      <c r="K30" s="215">
        <f>M30*'Data Komponen'!$D$17</f>
        <v>33392.37194857867</v>
      </c>
      <c r="L30" s="189">
        <f>M30/M$37</f>
        <v>0.9826384839634729</v>
      </c>
      <c r="M30" s="216">
        <f>E30-I30</f>
        <v>337.4364327507174</v>
      </c>
    </row>
    <row r="31">
      <c r="A31" s="163" t="inlineStr">
        <is>
          <t>TCE</t>
        </is>
      </c>
      <c r="B31" s="189">
        <f>C31/C$37</f>
        <v>1.1287215432772394e-05</v>
      </c>
      <c r="C31" s="215">
        <f>E31*'Data Komponen'!$D$18</f>
        <v>0.6683282179619111</v>
      </c>
      <c r="D31" s="189">
        <f>E31/E$37</f>
        <v>6.703621128197196e-06</v>
      </c>
      <c r="E31" s="216">
        <f>'NME-7 Kolom HCl'!M30</f>
        <v>0.005009843991228917</v>
      </c>
      <c r="F31" s="189">
        <f>G31/G$37</f>
        <v>0.0</v>
      </c>
      <c r="G31" s="215">
        <f>I31*'Data Komponen'!$D$18</f>
        <v>0.0</v>
      </c>
      <c r="H31" s="189">
        <f>I31/I$37</f>
        <v>0.0</v>
      </c>
      <c r="I31" s="216">
        <f>0</f>
        <v>0.0</v>
      </c>
      <c r="J31" s="189">
        <f>K31/K$37</f>
        <v>1.9680702534415202e-05</v>
      </c>
      <c r="K31" s="215">
        <f>M31*'Data Komponen'!$D$18</f>
        <v>0.6683282179619057</v>
      </c>
      <c r="L31" s="189">
        <f>M31/M$37</f>
        <v>1.4589015964590536e-05</v>
      </c>
      <c r="M31" s="216">
        <f>E31</f>
        <v>0.005009843991228917</v>
      </c>
    </row>
    <row r="32">
      <c r="A32" s="163" t="inlineStr">
        <is>
          <t>HCl</t>
        </is>
      </c>
      <c r="B32" s="189">
        <f>C32/C$37</f>
        <v>2.1324155189495443e-07</v>
      </c>
      <c r="C32" s="215">
        <f>E32*'Data Komponen'!$D$19</f>
        <v>0.01262626262626249</v>
      </c>
      <c r="D32" s="189">
        <f>E32/E$37</f>
        <v>4.6337382934789143e-07</v>
      </c>
      <c r="E32" s="216">
        <f>'NME-7 Kolom HCl'!M31</f>
        <v>0.000346295017313362</v>
      </c>
      <c r="F32" s="189">
        <f>G32/G$37</f>
        <v>5.000000000000225e-07</v>
      </c>
      <c r="G32" s="215">
        <f>I32*'Data Komponen'!$D$19</f>
        <v>0.012626262626262798</v>
      </c>
      <c r="H32" s="189">
        <f>I32/I$37</f>
        <v>8.573024349687274e-07</v>
      </c>
      <c r="I32" s="216">
        <f>E32</f>
        <v>0.000346295017313362</v>
      </c>
      <c r="J32" s="189">
        <f>K32/K$37</f>
        <v>0.0</v>
      </c>
      <c r="K32" s="215">
        <f>M32*'Data Komponen'!$D$19</f>
        <v>0.0</v>
      </c>
      <c r="L32" s="189">
        <f>M32/M$37</f>
        <v>0.0</v>
      </c>
      <c r="M32" s="216">
        <f>0</f>
        <v>0.0</v>
      </c>
    </row>
    <row r="33">
      <c r="A33" s="163" t="inlineStr">
        <is>
          <t>FeCl₃</t>
        </is>
      </c>
      <c r="B33" s="189">
        <f>C33/C$37</f>
        <v>0.0</v>
      </c>
      <c r="C33" s="215">
        <f>E33*'Data Komponen'!$D$20</f>
        <v>0.0</v>
      </c>
      <c r="D33" s="189">
        <f>E33/E$37</f>
        <v>0.0</v>
      </c>
      <c r="E33" s="216">
        <f>'NME-7 Kolom HCl'!M32</f>
        <v>0.0</v>
      </c>
      <c r="F33" s="189">
        <f>G33/G$37</f>
        <v>0.0</v>
      </c>
      <c r="G33" s="215">
        <f>I33*'Data Komponen'!$D$20</f>
        <v>0.0</v>
      </c>
      <c r="H33" s="189">
        <f>I33/I$37</f>
        <v>0.0</v>
      </c>
      <c r="I33" s="216">
        <f>0</f>
        <v>0.0</v>
      </c>
      <c r="J33" s="189">
        <f>K33/K$37</f>
        <v>0.0</v>
      </c>
      <c r="K33" s="215">
        <f>M33*'Data Komponen'!$D$20</f>
        <v>0.0</v>
      </c>
      <c r="L33" s="189">
        <f>M33/M$37</f>
        <v>0.0</v>
      </c>
      <c r="M33" s="216">
        <f>E33</f>
        <v>0.0</v>
      </c>
    </row>
    <row r="34">
      <c r="A34" s="163" t="inlineStr">
        <is>
          <t>C₂H₅Cl</t>
        </is>
      </c>
      <c r="B34" s="189">
        <f>C34/C$37</f>
        <v>0.0</v>
      </c>
      <c r="C34" s="215">
        <f>E34*'Data Komponen'!$D$21</f>
        <v>0.0</v>
      </c>
      <c r="D34" s="189">
        <f>E34/E$37</f>
        <v>0.0</v>
      </c>
      <c r="E34" s="216">
        <f>'NME-7 Kolom HCl'!M33</f>
        <v>0.0</v>
      </c>
      <c r="F34" s="189">
        <f>G34/G$37</f>
        <v>0.0</v>
      </c>
      <c r="G34" s="215">
        <f>I34*'Data Komponen'!$D$21</f>
        <v>0.0</v>
      </c>
      <c r="H34" s="189">
        <f>I34/I$37</f>
        <v>0.0</v>
      </c>
      <c r="I34" s="216">
        <f>0</f>
        <v>0.0</v>
      </c>
      <c r="J34" s="189">
        <f>K34/K$37</f>
        <v>0.0</v>
      </c>
      <c r="K34" s="215">
        <f>M34*'Data Komponen'!$D$21</f>
        <v>0.0</v>
      </c>
      <c r="L34" s="189">
        <f>M34/M$37</f>
        <v>0.0</v>
      </c>
      <c r="M34" s="216">
        <f>E34</f>
        <v>0.0</v>
      </c>
    </row>
    <row r="35">
      <c r="A35" s="163" t="inlineStr">
        <is>
          <t>VCM</t>
        </is>
      </c>
      <c r="B35" s="189">
        <f>C35/C$37</f>
        <v>0.4290129281233482</v>
      </c>
      <c r="C35" s="215">
        <f>E35*'Data Komponen'!$D$22</f>
        <v>25402.318883965298</v>
      </c>
      <c r="D35" s="189">
        <f>E35/E$37</f>
        <v>0.543866743152774</v>
      </c>
      <c r="E35" s="216">
        <f>'NME-7 Kolom HCl'!M34</f>
        <v>406.4501085469183</v>
      </c>
      <c r="F35" s="189">
        <f>G35/G$37</f>
        <v>0.9992080339300768</v>
      </c>
      <c r="G35" s="215">
        <f>I35*'Data Komponen'!$D$22</f>
        <v>25232.52610934458</v>
      </c>
      <c r="H35" s="189">
        <f>I35/I$37</f>
        <v>0.9994991431262162</v>
      </c>
      <c r="I35" s="216">
        <f>E35-M35</f>
        <v>403.7333372162991</v>
      </c>
      <c r="J35" s="189">
        <f>K35/K$37</f>
        <v>0.005000000000000001</v>
      </c>
      <c r="K35" s="215">
        <f>M35*'Data Komponen'!$D$22</f>
        <v>169.79277462103175</v>
      </c>
      <c r="L35" s="189">
        <f>M35/M$37</f>
        <v>0.007911428057228038</v>
      </c>
      <c r="M35" s="216">
        <f>$B$7/(1-$B$7)*(SUM(K16:K34)+K36)/'Data Komponen'!$D$22</f>
        <v>2.716771330619088</v>
      </c>
    </row>
    <row r="36">
      <c r="A36" s="163" t="inlineStr">
        <is>
          <t>C₄H₈Cl₂ (berat)</t>
        </is>
      </c>
      <c r="B36" s="189">
        <f>C36/C$37</f>
        <v>0.006639088582836035</v>
      </c>
      <c r="C36" s="215">
        <f>E36*'Data Komponen'!$D$23</f>
        <v>393.1076063787176</v>
      </c>
      <c r="D36" s="189">
        <f>E36/E$37</f>
        <v>0.004141412903701133</v>
      </c>
      <c r="E36" s="216">
        <f>'NME-7 Kolom HCl'!M35</f>
        <v>3.0950186703622276</v>
      </c>
      <c r="F36" s="189">
        <f>G36/G$37</f>
        <v>0.0</v>
      </c>
      <c r="G36" s="215">
        <f>I36*'Data Komponen'!$D$23</f>
        <v>0.0</v>
      </c>
      <c r="H36" s="189">
        <f>I36/I$37</f>
        <v>0.0</v>
      </c>
      <c r="I36" s="216">
        <f>0</f>
        <v>0.0</v>
      </c>
      <c r="J36" s="189">
        <f>K36/K$37</f>
        <v>0.01157609937337197</v>
      </c>
      <c r="K36" s="215">
        <f>M36*'Data Komponen'!$D$23</f>
        <v>393.10760637872266</v>
      </c>
      <c r="L36" s="189">
        <f>M36/M$37</f>
        <v>0.009012910755638958</v>
      </c>
      <c r="M36" s="216">
        <f>E36</f>
        <v>3.0950186703622276</v>
      </c>
    </row>
    <row r="37">
      <c r="A37" s="162" t="inlineStr">
        <is>
          <t>Sub Total</t>
        </is>
      </c>
      <c r="B37" s="189">
        <f>SUM(B16:B36)</f>
        <v>0.9999999999999998</v>
      </c>
      <c r="C37" s="215">
        <f>SUM(C16:C36)</f>
        <v>59211.08017673006</v>
      </c>
      <c r="D37" s="189">
        <f>SUM(D16:D36)</f>
        <v>1.0</v>
      </c>
      <c r="E37" s="216">
        <f>SUM(E16:E36)</f>
        <v>747.3339998521386</v>
      </c>
      <c r="F37" s="189">
        <f>SUM(F16:F36)</f>
        <v>1.0</v>
      </c>
      <c r="G37" s="215">
        <f>SUM(G16:G36)</f>
        <v>25252.525252524458</v>
      </c>
      <c r="H37" s="189">
        <f>SUM(H16:H36)</f>
        <v>0.9999999999999999</v>
      </c>
      <c r="I37" s="216">
        <f>SUM(I16:I36)</f>
        <v>403.9356511637508</v>
      </c>
      <c r="J37" s="189">
        <f>SUM(J16:J36)</f>
        <v>1.0</v>
      </c>
      <c r="K37" s="215">
        <f>SUM(K16:K36)</f>
        <v>33958.55492420634</v>
      </c>
      <c r="L37" s="189">
        <f>SUM(L16:L36)</f>
        <v>0.9999999999999999</v>
      </c>
      <c r="M37" s="216">
        <f>SUM(M16:M36)</f>
        <v>343.3983486883878</v>
      </c>
    </row>
    <row r="38">
      <c r="A38" s="162" t="inlineStr">
        <is>
          <t>TOTAL MASSA</t>
        </is>
      </c>
      <c r="B38" s="215">
        <f>C37</f>
        <v>59211.08017673006</v>
      </c>
      <c r="C38" s="210" t="n"/>
      <c r="D38" s="210" t="n"/>
      <c r="E38" s="211" t="n"/>
      <c r="F38" s="215">
        <f>G37+K37</f>
        <v>59211.0801767308</v>
      </c>
      <c r="G38" s="210" t="n"/>
      <c r="H38" s="210" t="n"/>
      <c r="I38" s="210" t="n"/>
      <c r="J38" s="210" t="n"/>
      <c r="K38" s="210" t="n"/>
      <c r="L38" s="210" t="n"/>
      <c r="M38" s="211" t="n"/>
    </row>
    <row r="39">
      <c r="A39" s="162" t="inlineStr">
        <is>
          <t>Selisih (Inlet − Outlet), kg/h</t>
        </is>
      </c>
      <c r="B39" s="215">
        <f>B38-F38</f>
        <v>-7.421476766467094e-10</v>
      </c>
      <c r="C39" s="210" t="n"/>
      <c r="D39" s="210" t="n"/>
      <c r="E39" s="210" t="n"/>
      <c r="F39" s="210" t="n"/>
      <c r="G39" s="210" t="n"/>
      <c r="H39" s="210" t="n"/>
      <c r="I39" s="210" t="n"/>
      <c r="J39" s="210" t="n"/>
      <c r="K39" s="210" t="n"/>
      <c r="L39" s="210" t="n"/>
      <c r="M39" s="211" t="n"/>
    </row>
    <row r="42">
      <c r="A42" s="169" t="inlineStr">
        <is>
          <t>Neraca Energi V-105: Valve umpan kolom VCM</t>
        </is>
      </c>
    </row>
    <row r="43">
      <c r="A43" s="187" t="inlineStr">
        <is>
          <t>Reference state: H₂O, EDC, TCE, C₄H₈Cl₂ (berat) fasa liquid @ 25°C, 1 bar; HCl, VCM fasa gas @ 25°C, 1 bar</t>
        </is>
      </c>
    </row>
    <row r="44">
      <c r="A44" s="162" t="inlineStr">
        <is>
          <t>No. aliran PFD</t>
        </is>
      </c>
      <c r="B44" s="162" t="n">
        <v>45</v>
      </c>
      <c r="C44" s="211" t="n"/>
      <c r="D44" s="162" t="n">
        <v>46</v>
      </c>
      <c r="E44" s="211" t="n"/>
    </row>
    <row r="45">
      <c r="A45" s="162" t="inlineStr">
        <is>
          <t>Dari</t>
        </is>
      </c>
      <c r="B45" s="172" t="inlineStr">
        <is>
          <t>KD-103</t>
        </is>
      </c>
      <c r="C45" s="211" t="n"/>
      <c r="D45" s="172" t="inlineStr">
        <is>
          <t>V-105</t>
        </is>
      </c>
      <c r="E45" s="211" t="n"/>
    </row>
    <row r="46">
      <c r="A46" s="162" t="inlineStr">
        <is>
          <t>Ke</t>
        </is>
      </c>
      <c r="B46" s="172" t="inlineStr">
        <is>
          <t>V-105</t>
        </is>
      </c>
      <c r="C46" s="211" t="n"/>
      <c r="D46" s="172" t="inlineStr">
        <is>
          <t>KD-104</t>
        </is>
      </c>
      <c r="E46" s="211" t="n"/>
    </row>
    <row r="47">
      <c r="A47" s="162" t="inlineStr">
        <is>
          <t>T (K)</t>
        </is>
      </c>
      <c r="B47" s="185">
        <f>'NME-7 Kolom HCl'!$F$81</f>
        <v>354.15</v>
      </c>
      <c r="C47" s="211" t="n"/>
      <c r="D47" s="185">
        <f>'NME-7 Kolom HCl'!$F$81</f>
        <v>354.15</v>
      </c>
      <c r="E47" s="211" t="n"/>
    </row>
    <row r="48">
      <c r="A48" s="162" t="inlineStr">
        <is>
          <t>T (°C)</t>
        </is>
      </c>
      <c r="B48" s="185">
        <f>'NME-7 Kolom HCl'!$F$82</f>
        <v>81.0</v>
      </c>
      <c r="C48" s="211" t="n"/>
      <c r="D48" s="185">
        <f>IF(ISNUMBER(D47),D47-273.15,"-")</f>
        <v>81.0</v>
      </c>
      <c r="E48" s="211" t="n"/>
    </row>
    <row r="49">
      <c r="A49" s="162" t="inlineStr">
        <is>
          <t>P (bar abs)</t>
        </is>
      </c>
      <c r="B49" s="190">
        <f>'NME-7 Kolom HCl'!$F$83</f>
        <v>9.8</v>
      </c>
      <c r="C49" s="211" t="n"/>
      <c r="D49" s="190" t="n">
        <v>6.5</v>
      </c>
      <c r="E49" s="211" t="n"/>
    </row>
    <row r="50">
      <c r="A50" s="162" t="inlineStr">
        <is>
          <t>Substance</t>
        </is>
      </c>
      <c r="B50" s="162" t="inlineStr">
        <is>
          <t>INLET</t>
        </is>
      </c>
      <c r="C50" s="211" t="n"/>
      <c r="D50" s="162" t="inlineStr">
        <is>
          <t>OUTLET</t>
        </is>
      </c>
      <c r="E50" s="211" t="n"/>
    </row>
    <row r="51">
      <c r="A51" s="212" t="n"/>
      <c r="B51" s="162" t="inlineStr">
        <is>
          <t>Aliran 45</t>
        </is>
      </c>
      <c r="C51" s="211" t="n"/>
      <c r="D51" s="162" t="inlineStr">
        <is>
          <t>Aliran 46</t>
        </is>
      </c>
      <c r="E51" s="211" t="n"/>
    </row>
    <row r="52">
      <c r="A52" s="213" t="n"/>
      <c r="B52" s="162" t="inlineStr">
        <is>
          <t>ṅᵢ (kmol/h)</t>
        </is>
      </c>
      <c r="C52" s="162" t="inlineStr">
        <is>
          <t>Ĥᵢ (kJ/kmol)</t>
        </is>
      </c>
      <c r="D52" s="162" t="inlineStr">
        <is>
          <t>ṅᵢ (kmol/h)</t>
        </is>
      </c>
      <c r="E52" s="162" t="inlineStr">
        <is>
          <t>Ĥᵢ (kJ/kmol)</t>
        </is>
      </c>
    </row>
    <row r="53">
      <c r="A53" s="163" t="inlineStr">
        <is>
          <t>H₂O (l)</t>
        </is>
      </c>
      <c r="B53" s="216">
        <f>'NME-7 Kolom HCl'!M21</f>
        <v>0.14511609269780668</v>
      </c>
      <c r="C53" s="217">
        <f>('Data Termo'!$J$12*($B$47-298.15)+'Data Termo'!$K$12/2*($B$47^2-298.15^2)+'Data Termo'!$L$12/3*($B$47^3-298.15^3)+'Data Termo'!$M$12/4*($B$47^4-298.15^4))</f>
        <v>4211.551287977134</v>
      </c>
      <c r="D53" s="216">
        <f>E22</f>
        <v>0.14511609269780668</v>
      </c>
      <c r="E53" s="217">
        <f>('Data Termo'!$J$12*($D$47-298.15)+'Data Termo'!$K$12/2*($D$47^2-298.15^2)+'Data Termo'!$L$12/3*($D$47^3-298.15^3)+'Data Termo'!$M$12/4*($D$47^4-298.15^4))</f>
        <v>4211.551287977134</v>
      </c>
    </row>
    <row r="54">
      <c r="A54" s="163" t="inlineStr">
        <is>
          <t>EDC (l)</t>
        </is>
      </c>
      <c r="B54" s="216">
        <f>'NME-7 Kolom HCl'!M29</f>
        <v>337.63840040315176</v>
      </c>
      <c r="C54" s="217">
        <f>('Data Termo'!$J$20*($B$47-298.15)+'Data Termo'!$K$20/2*($B$47^2-298.15^2)+'Data Termo'!$L$20/3*($B$47^3-298.15^3)+'Data Termo'!$M$20/4*($B$47^4-298.15^4))</f>
        <v>7449.018564672698</v>
      </c>
      <c r="D54" s="216">
        <f>E30</f>
        <v>337.63840040315176</v>
      </c>
      <c r="E54" s="217">
        <f>('Data Termo'!$J$20*($D$47-298.15)+'Data Termo'!$K$20/2*($D$47^2-298.15^2)+'Data Termo'!$L$20/3*($D$47^3-298.15^3)+'Data Termo'!$M$20/4*($D$47^4-298.15^4))</f>
        <v>7449.018564672698</v>
      </c>
    </row>
    <row r="55">
      <c r="A55" s="163" t="inlineStr">
        <is>
          <t>TCE (l)</t>
        </is>
      </c>
      <c r="B55" s="216">
        <f>'NME-7 Kolom HCl'!M30</f>
        <v>0.005009843991228917</v>
      </c>
      <c r="C55" s="217">
        <f>('Data Termo'!$J$21*($B$47-298.15)+'Data Termo'!$K$21/2*($B$47^2-298.15^2)+'Data Termo'!$L$21/3*($B$47^3-298.15^3)+'Data Termo'!$M$21/4*($B$47^4-298.15^4))</f>
        <v>8751.270754793804</v>
      </c>
      <c r="D55" s="216">
        <f>E31</f>
        <v>0.005009843991228917</v>
      </c>
      <c r="E55" s="217">
        <f>('Data Termo'!$J$21*($D$47-298.15)+'Data Termo'!$K$21/2*($D$47^2-298.15^2)+'Data Termo'!$L$21/3*($D$47^3-298.15^3)+'Data Termo'!$M$21/4*($D$47^4-298.15^4))</f>
        <v>8751.270754793804</v>
      </c>
    </row>
    <row r="56">
      <c r="A56" s="163" t="inlineStr">
        <is>
          <t>HCl (g)</t>
        </is>
      </c>
      <c r="B56" s="216">
        <f>'NME-7 Kolom HCl'!M31</f>
        <v>0.000346295017313362</v>
      </c>
      <c r="C56" s="217">
        <f>('Data Termo'!$E$22*($B$47-298.15)+'Data Termo'!$F$22/2*($B$47^2-298.15^2)+'Data Termo'!$G$22/3*($B$47^3-298.15^3)+'Data Termo'!$H$22/4*($B$47^4-298.15^4)+'Data Termo'!$I$22/5*($B$47^5-298.15^5))</f>
        <v>1629.434898319252</v>
      </c>
      <c r="D56" s="216">
        <f>E32</f>
        <v>0.000346295017313362</v>
      </c>
      <c r="E56" s="217">
        <f>('Data Termo'!$E$22*($D$47-298.15)+'Data Termo'!$F$22/2*($D$47^2-298.15^2)+'Data Termo'!$G$22/3*($D$47^3-298.15^3)+'Data Termo'!$H$22/4*($D$47^4-298.15^4)+'Data Termo'!$I$22/5*($D$47^5-298.15^5))</f>
        <v>1629.434898319252</v>
      </c>
    </row>
    <row r="57">
      <c r="A57" s="163" t="inlineStr">
        <is>
          <t>VCM (l)</t>
        </is>
      </c>
      <c r="B57" s="216">
        <f>'NME-7 Kolom HCl'!M34</f>
        <v>406.4501085469183</v>
      </c>
      <c r="C57" s="217">
        <f>-'Data Termo'!$V$25+('Data Termo'!$J$25*($B$47-298.15)+'Data Termo'!$K$25/2*($B$47^2-298.15^2)+'Data Termo'!$L$25/3*($B$47^3-298.15^3)+'Data Termo'!$M$25/4*($B$47^4-298.15^4))</f>
        <v>-15061.266299760626</v>
      </c>
      <c r="D57" s="216">
        <f>E35</f>
        <v>406.4501085469183</v>
      </c>
      <c r="E57" s="217">
        <f>-'Data Termo'!$V$25+('Data Termo'!$J$25*($D$47-298.15)+'Data Termo'!$K$25/2*($D$47^2-298.15^2)+'Data Termo'!$L$25/3*($D$47^3-298.15^3)+'Data Termo'!$M$25/4*($D$47^4-298.15^4))</f>
        <v>-15061.266299760626</v>
      </c>
    </row>
    <row r="58">
      <c r="A58" s="163" t="inlineStr">
        <is>
          <t>C₄H₈Cl₂ (berat) (l)</t>
        </is>
      </c>
      <c r="B58" s="216">
        <f>'NME-7 Kolom HCl'!M35</f>
        <v>3.0950186703622276</v>
      </c>
      <c r="C58" s="217">
        <f>('Data Termo'!$J$26*($B$47-298.15)+'Data Termo'!$K$26/2*($B$47^2-298.15^2)+'Data Termo'!$L$26/3*($B$47^3-298.15^3)+'Data Termo'!$M$26/4*($B$47^4-298.15^4))</f>
        <v>10599.873495300046</v>
      </c>
      <c r="D58" s="216">
        <f>E36</f>
        <v>3.0950186703622276</v>
      </c>
      <c r="E58" s="217">
        <f>('Data Termo'!$J$26*($D$47-298.15)+'Data Termo'!$K$26/2*($D$47^2-298.15^2)+'Data Termo'!$L$26/3*($D$47^3-298.15^3)+'Data Termo'!$M$26/4*($D$47^4-298.15^4))</f>
        <v>10599.873495300046</v>
      </c>
    </row>
    <row r="59">
      <c r="A59" s="200" t="inlineStr">
        <is>
          <t>Sub Total ṅᵢĤᵢ (kJ/h)</t>
        </is>
      </c>
      <c r="B59" s="218">
        <f>SUMPRODUCT(B53:B58,C53:C58)</f>
        <v>-3573116.232637346</v>
      </c>
      <c r="C59" s="211" t="n"/>
      <c r="D59" s="218">
        <f>SUMPRODUCT(D53:D58,E53:E58)</f>
        <v>-3573116.232637346</v>
      </c>
      <c r="E59" s="211" t="n"/>
    </row>
    <row r="60">
      <c r="A60" s="163" t="inlineStr">
        <is>
          <t>Heat of reaction / heat of mixing (kJ/h)</t>
        </is>
      </c>
      <c r="B60" s="219" t="inlineStr">
        <is>
          <t>-</t>
        </is>
      </c>
      <c r="C60" s="211" t="n"/>
      <c r="D60" s="220" t="inlineStr">
        <is>
          <t>-</t>
        </is>
      </c>
      <c r="E60" s="211" t="n"/>
    </row>
    <row r="61">
      <c r="A61" s="200" t="inlineStr">
        <is>
          <t>Q (kJ/h)</t>
        </is>
      </c>
      <c r="B61" s="218" t="n">
        <v>0</v>
      </c>
      <c r="C61" s="210" t="n"/>
      <c r="D61" s="210" t="n"/>
      <c r="E61" s="211" t="n"/>
    </row>
    <row r="62">
      <c r="A62" s="200" t="inlineStr">
        <is>
          <t>W (kJ/h)</t>
        </is>
      </c>
      <c r="B62" s="218" t="n">
        <v>0</v>
      </c>
      <c r="C62" s="210" t="n"/>
      <c r="D62" s="210" t="n"/>
      <c r="E62" s="211" t="n"/>
    </row>
    <row r="63">
      <c r="A63" s="200" t="inlineStr">
        <is>
          <t>TOTAL (kJ/h)</t>
        </is>
      </c>
      <c r="B63" s="218">
        <f>B59+$B$61+$B$62</f>
        <v>-3573116.232637346</v>
      </c>
      <c r="C63" s="211" t="n"/>
      <c r="D63" s="218">
        <f>(D59)</f>
        <v>-3573116.232637346</v>
      </c>
      <c r="E63" s="211" t="n"/>
    </row>
    <row r="64">
      <c r="A64" s="163" t="inlineStr">
        <is>
          <t>Selisih masuk − keluar (kJ/h)</t>
        </is>
      </c>
      <c r="B64" s="217">
        <f>B63-D63</f>
        <v>0.0</v>
      </c>
      <c r="C64" s="210" t="n"/>
      <c r="D64" s="210" t="n"/>
      <c r="E64" s="211" t="n"/>
    </row>
    <row r="65">
      <c r="A65" s="163" t="inlineStr">
        <is>
          <t>Q (kW)</t>
        </is>
      </c>
      <c r="B65" s="217">
        <f>$B$61/3600</f>
        <v>0.0</v>
      </c>
      <c r="C65" s="210" t="n"/>
      <c r="D65" s="210" t="n"/>
      <c r="E65" s="211" t="n"/>
    </row>
    <row r="66">
      <c r="A66" s="163" t="inlineStr">
        <is>
          <t>W (kW)</t>
        </is>
      </c>
      <c r="B66" s="217">
        <f>$B$62/3600</f>
        <v>0.0</v>
      </c>
      <c r="C66" s="210" t="n"/>
      <c r="D66" s="210" t="n"/>
      <c r="E66" s="211" t="n"/>
    </row>
    <row r="69">
      <c r="A69" s="169" t="inlineStr">
        <is>
          <t>Neraca Energi KD-104: Kolom VCM (kondensor dan reboiler)</t>
        </is>
      </c>
    </row>
    <row r="70">
      <c r="A70" s="187" t="inlineStr">
        <is>
          <t>Reference state: H₂O, EDC, TCE, C₄H₈Cl₂ (berat) fasa liquid @ 25°C, 1 bar; HCl, VCM fasa gas @ 25°C, 1 bar</t>
        </is>
      </c>
    </row>
    <row r="71">
      <c r="A71" s="162" t="inlineStr">
        <is>
          <t>No. aliran PFD</t>
        </is>
      </c>
      <c r="B71" s="162" t="n">
        <v>46</v>
      </c>
      <c r="C71" s="211" t="n"/>
      <c r="D71" s="162" t="n">
        <v>47</v>
      </c>
      <c r="E71" s="211" t="n"/>
      <c r="F71" s="162" t="n">
        <v>49</v>
      </c>
      <c r="G71" s="211" t="n"/>
    </row>
    <row r="72">
      <c r="A72" s="162" t="inlineStr">
        <is>
          <t>Dari</t>
        </is>
      </c>
      <c r="B72" s="172" t="inlineStr">
        <is>
          <t>V-105</t>
        </is>
      </c>
      <c r="C72" s="211" t="n"/>
      <c r="D72" s="172" t="inlineStr">
        <is>
          <t>KD-104</t>
        </is>
      </c>
      <c r="E72" s="211" t="n"/>
      <c r="F72" s="172" t="inlineStr">
        <is>
          <t>KD-104</t>
        </is>
      </c>
      <c r="G72" s="211" t="n"/>
    </row>
    <row r="73">
      <c r="A73" s="162" t="inlineStr">
        <is>
          <t>Ke</t>
        </is>
      </c>
      <c r="B73" s="172" t="inlineStr">
        <is>
          <t>KD-104</t>
        </is>
      </c>
      <c r="C73" s="211" t="n"/>
      <c r="D73" s="172" t="inlineStr">
        <is>
          <t>E-110</t>
        </is>
      </c>
      <c r="E73" s="211" t="n"/>
      <c r="F73" s="172" t="inlineStr">
        <is>
          <t>E-111</t>
        </is>
      </c>
      <c r="G73" s="211" t="n"/>
    </row>
    <row r="74">
      <c r="A74" s="162" t="inlineStr">
        <is>
          <t>T (K)</t>
        </is>
      </c>
      <c r="B74" s="185">
        <f>$D$47</f>
        <v>354.15</v>
      </c>
      <c r="C74" s="211" t="n"/>
      <c r="D74" s="185">
        <f>D75+273.15</f>
        <v>310.15</v>
      </c>
      <c r="E74" s="211" t="n"/>
      <c r="F74" s="185">
        <f>F75+273.15</f>
        <v>425.15</v>
      </c>
      <c r="G74" s="211" t="n"/>
    </row>
    <row r="75">
      <c r="A75" s="162" t="inlineStr">
        <is>
          <t>T (°C)</t>
        </is>
      </c>
      <c r="B75" s="185">
        <f>$D$48</f>
        <v>81.0</v>
      </c>
      <c r="C75" s="211" t="n"/>
      <c r="D75" s="185" t="n">
        <v>37</v>
      </c>
      <c r="E75" s="211" t="n"/>
      <c r="F75" s="185" t="n">
        <v>152</v>
      </c>
      <c r="G75" s="211" t="n"/>
    </row>
    <row r="76">
      <c r="A76" s="162" t="inlineStr">
        <is>
          <t>P (bar abs)</t>
        </is>
      </c>
      <c r="B76" s="190">
        <f>$D$49</f>
        <v>6.5</v>
      </c>
      <c r="C76" s="211" t="n"/>
      <c r="D76" s="190" t="n">
        <v>6.5</v>
      </c>
      <c r="E76" s="211" t="n"/>
      <c r="F76" s="190" t="n">
        <v>6.5</v>
      </c>
      <c r="G76" s="211" t="n"/>
    </row>
    <row r="77">
      <c r="A77" s="162" t="inlineStr">
        <is>
          <t>Substance</t>
        </is>
      </c>
      <c r="B77" s="162" t="inlineStr">
        <is>
          <t>INLET</t>
        </is>
      </c>
      <c r="C77" s="211" t="n"/>
      <c r="D77" s="162" t="inlineStr">
        <is>
          <t>OUTLET</t>
        </is>
      </c>
      <c r="E77" s="210" t="n"/>
      <c r="F77" s="210" t="n"/>
      <c r="G77" s="211" t="n"/>
    </row>
    <row r="78">
      <c r="A78" s="212" t="n"/>
      <c r="B78" s="162" t="inlineStr">
        <is>
          <t>Aliran 46</t>
        </is>
      </c>
      <c r="C78" s="211" t="n"/>
      <c r="D78" s="162" t="inlineStr">
        <is>
          <t>Aliran 47</t>
        </is>
      </c>
      <c r="E78" s="211" t="n"/>
      <c r="F78" s="162" t="inlineStr">
        <is>
          <t>Aliran 49</t>
        </is>
      </c>
      <c r="G78" s="211" t="n"/>
    </row>
    <row r="79">
      <c r="A79" s="213" t="n"/>
      <c r="B79" s="162" t="inlineStr">
        <is>
          <t>ṅᵢ (kmol/h)</t>
        </is>
      </c>
      <c r="C79" s="162" t="inlineStr">
        <is>
          <t>Ĥᵢ (kJ/kmol)</t>
        </is>
      </c>
      <c r="D79" s="162" t="inlineStr">
        <is>
          <t>ṅᵢ (kmol/h)</t>
        </is>
      </c>
      <c r="E79" s="162" t="inlineStr">
        <is>
          <t>Ĥᵢ (kJ/kmol)</t>
        </is>
      </c>
      <c r="F79" s="162" t="inlineStr">
        <is>
          <t>ṅᵢ (kmol/h)</t>
        </is>
      </c>
      <c r="G79" s="162" t="inlineStr">
        <is>
          <t>Ĥᵢ (kJ/kmol)</t>
        </is>
      </c>
    </row>
    <row r="80">
      <c r="A80" s="163" t="inlineStr">
        <is>
          <t>H₂O (l)</t>
        </is>
      </c>
      <c r="B80" s="216">
        <f>E22</f>
        <v>0.14511609269780668</v>
      </c>
      <c r="C80" s="217">
        <f>('Data Termo'!$J$12*($B$74-298.15)+'Data Termo'!$K$12/2*($B$74^2-298.15^2)+'Data Termo'!$L$12/3*($B$74^3-298.15^3)+'Data Termo'!$M$12/4*($B$74^4-298.15^4))</f>
        <v>4211.551287977134</v>
      </c>
      <c r="D80" s="216">
        <f>I22</f>
        <v>0.0</v>
      </c>
      <c r="E80" s="217">
        <f>('Data Termo'!$J$12*($D$74-298.15)+'Data Termo'!$K$12/2*($D$74^2-298.15^2)+'Data Termo'!$L$12/3*($D$74^3-298.15^3)+'Data Termo'!$M$12/4*($D$74^4-298.15^4))</f>
        <v>905.1227310033881</v>
      </c>
      <c r="F80" s="216">
        <f>M22</f>
        <v>0.14511609269780668</v>
      </c>
      <c r="G80" s="217">
        <f>('Data Termo'!$J$12*($F$74-298.15)+'Data Termo'!$K$12/2*($F$74^2-298.15^2)+'Data Termo'!$L$12/3*($F$74^3-298.15^3)+'Data Termo'!$M$12/4*($F$74^4-298.15^4))</f>
        <v>9625.380006476644</v>
      </c>
    </row>
    <row r="81">
      <c r="A81" s="163" t="inlineStr">
        <is>
          <t>EDC (l)</t>
        </is>
      </c>
      <c r="B81" s="216">
        <f>E30</f>
        <v>337.63840040315176</v>
      </c>
      <c r="C81" s="217">
        <f>('Data Termo'!$J$20*($B$74-298.15)+'Data Termo'!$K$20/2*($B$74^2-298.15^2)+'Data Termo'!$L$20/3*($B$74^3-298.15^3)+'Data Termo'!$M$20/4*($B$74^4-298.15^4))</f>
        <v>7449.018564672698</v>
      </c>
      <c r="D81" s="216">
        <f>I30</f>
        <v>0.20196765243434703</v>
      </c>
      <c r="E81" s="217">
        <f>('Data Termo'!$J$20*($D$74-298.15)+'Data Termo'!$K$20/2*($D$74^2-298.15^2)+'Data Termo'!$L$20/3*($D$74^3-298.15^3)+'Data Termo'!$M$20/4*($D$74^4-298.15^4))</f>
        <v>1555.5963542552372</v>
      </c>
      <c r="F81" s="216">
        <f>M30</f>
        <v>337.4364327507174</v>
      </c>
      <c r="G81" s="217">
        <f>('Data Termo'!$J$20*($F$74-298.15)+'Data Termo'!$K$20/2*($F$74^2-298.15^2)+'Data Termo'!$L$20/3*($F$74^3-298.15^3)+'Data Termo'!$M$20/4*($F$74^4-298.15^4))</f>
        <v>17756.428085734064</v>
      </c>
    </row>
    <row r="82">
      <c r="A82" s="163" t="inlineStr">
        <is>
          <t>TCE (l)</t>
        </is>
      </c>
      <c r="B82" s="216">
        <f>E31</f>
        <v>0.005009843991228917</v>
      </c>
      <c r="C82" s="217">
        <f>('Data Termo'!$J$21*($B$74-298.15)+'Data Termo'!$K$21/2*($B$74^2-298.15^2)+'Data Termo'!$L$21/3*($B$74^3-298.15^3)+'Data Termo'!$M$21/4*($B$74^4-298.15^4))</f>
        <v>8751.270754793804</v>
      </c>
      <c r="D82" s="216">
        <f>I31</f>
        <v>0.0</v>
      </c>
      <c r="E82" s="217">
        <f>('Data Termo'!$J$21*($D$74-298.15)+'Data Termo'!$K$21/2*($D$74^2-298.15^2)+'Data Termo'!$L$21/3*($D$74^3-298.15^3)+'Data Termo'!$M$21/4*($D$74^4-298.15^4))</f>
        <v>1829.5606250806634</v>
      </c>
      <c r="F82" s="216">
        <f>M31</f>
        <v>0.005009843991228917</v>
      </c>
      <c r="G82" s="217">
        <f>('Data Termo'!$J$21*($F$74-298.15)+'Data Termo'!$K$21/2*($F$74^2-298.15^2)+'Data Termo'!$L$21/3*($F$74^3-298.15^3)+'Data Termo'!$M$21/4*($F$74^4-298.15^4))</f>
        <v>20773.342687555734</v>
      </c>
    </row>
    <row r="83">
      <c r="A83" s="163" t="inlineStr">
        <is>
          <t>HCl (l)</t>
        </is>
      </c>
      <c r="B83" s="172" t="inlineStr">
        <is>
          <t>-</t>
        </is>
      </c>
      <c r="C83" s="172" t="inlineStr">
        <is>
          <t>-</t>
        </is>
      </c>
      <c r="D83" s="216">
        <f>I32</f>
        <v>0.000346295017313362</v>
      </c>
      <c r="E83" s="217">
        <f>-'Data Termo'!$V$22+('Data Termo'!$J$22*($D$74-298.15)+'Data Termo'!$K$22/2*($D$74^2-298.15^2)+'Data Termo'!$L$22/3*($D$74^3-298.15^3)+'Data Termo'!$M$22/4*($D$74^4-298.15^4))</f>
        <v>-4817.301657782417</v>
      </c>
      <c r="F83" s="172" t="inlineStr">
        <is>
          <t>-</t>
        </is>
      </c>
      <c r="G83" s="172" t="inlineStr">
        <is>
          <t>-</t>
        </is>
      </c>
    </row>
    <row r="84">
      <c r="A84" s="163" t="inlineStr">
        <is>
          <t>HCl (g)</t>
        </is>
      </c>
      <c r="B84" s="216">
        <f>E32</f>
        <v>0.000346295017313362</v>
      </c>
      <c r="C84" s="217">
        <f>('Data Termo'!$E$22*($B$74-298.15)+'Data Termo'!$F$22/2*($B$74^2-298.15^2)+'Data Termo'!$G$22/3*($B$74^3-298.15^3)+'Data Termo'!$H$22/4*($B$74^4-298.15^4)+'Data Termo'!$I$22/5*($B$74^5-298.15^5))</f>
        <v>1629.434898319252</v>
      </c>
      <c r="D84" s="172" t="inlineStr">
        <is>
          <t>-</t>
        </is>
      </c>
      <c r="E84" s="172" t="inlineStr">
        <is>
          <t>-</t>
        </is>
      </c>
      <c r="F84" s="216">
        <f>M32</f>
        <v>0.0</v>
      </c>
      <c r="G84" s="217">
        <f>('Data Termo'!$E$22*($F$74-298.15)+'Data Termo'!$F$22/2*($F$74^2-298.15^2)+'Data Termo'!$G$22/3*($F$74^3-298.15^3)+'Data Termo'!$H$22/4*($F$74^4-298.15^4)+'Data Termo'!$I$22/5*($F$74^5-298.15^5))</f>
        <v>3699.8620618447003</v>
      </c>
    </row>
    <row r="85">
      <c r="A85" s="163" t="inlineStr">
        <is>
          <t>VCM (l)</t>
        </is>
      </c>
      <c r="B85" s="216">
        <f>E35</f>
        <v>406.4501085469183</v>
      </c>
      <c r="C85" s="217">
        <f>-'Data Termo'!$V$25+('Data Termo'!$J$25*($B$74-298.15)+'Data Termo'!$K$25/2*($B$74^2-298.15^2)+'Data Termo'!$L$25/3*($B$74^3-298.15^3)+'Data Termo'!$M$25/4*($B$74^4-298.15^4))</f>
        <v>-15061.266299760626</v>
      </c>
      <c r="D85" s="216">
        <f>I35</f>
        <v>403.7333372162991</v>
      </c>
      <c r="E85" s="217">
        <f>-'Data Termo'!$V$25+('Data Termo'!$J$25*($D$74-298.15)+'Data Termo'!$K$25/2*($D$74^2-298.15^2)+'Data Termo'!$L$25/3*($D$74^3-298.15^3)+'Data Termo'!$M$25/4*($D$74^4-298.15^4))</f>
        <v>-19161.405968426025</v>
      </c>
      <c r="F85" s="216">
        <f>M35</f>
        <v>2.716771330619088</v>
      </c>
      <c r="G85" s="217">
        <f>-'Data Termo'!$V$25+('Data Termo'!$J$25*($F$74-298.15)+'Data Termo'!$K$25/2*($F$74^2-298.15^2)+'Data Termo'!$L$25/3*($F$74^3-298.15^3)+'Data Termo'!$M$25/4*($F$74^4-298.15^4))</f>
        <v>-7180.501565890241</v>
      </c>
    </row>
    <row r="86">
      <c r="A86" s="163" t="inlineStr">
        <is>
          <t>C₄H₈Cl₂ (berat) (l)</t>
        </is>
      </c>
      <c r="B86" s="216">
        <f>E36</f>
        <v>3.0950186703622276</v>
      </c>
      <c r="C86" s="217">
        <f>('Data Termo'!$J$26*($B$74-298.15)+'Data Termo'!$K$26/2*($B$74^2-298.15^2)+'Data Termo'!$L$26/3*($B$74^3-298.15^3)+'Data Termo'!$M$26/4*($B$74^4-298.15^4))</f>
        <v>10599.873495300046</v>
      </c>
      <c r="D86" s="216">
        <f>I36</f>
        <v>0.0</v>
      </c>
      <c r="E86" s="217">
        <f>('Data Termo'!$J$26*($D$74-298.15)+'Data Termo'!$K$26/2*($D$74^2-298.15^2)+'Data Termo'!$L$26/3*($D$74^3-298.15^3)+'Data Termo'!$M$26/4*($D$74^4-298.15^4))</f>
        <v>2223.679898081034</v>
      </c>
      <c r="F86" s="216">
        <f>M36</f>
        <v>3.0950186703622276</v>
      </c>
      <c r="G86" s="217">
        <f>('Data Termo'!$J$26*($F$74-298.15)+'Data Termo'!$K$26/2*($F$74^2-298.15^2)+'Data Termo'!$L$26/3*($F$74^3-298.15^3)+'Data Termo'!$M$26/4*($F$74^4-298.15^4))</f>
        <v>24964.931617977258</v>
      </c>
    </row>
    <row r="87">
      <c r="A87" s="200" t="inlineStr">
        <is>
          <t>Sub Total ṅᵢĤᵢ (kJ/h)</t>
        </is>
      </c>
      <c r="B87" s="218">
        <f>SUMPRODUCT(B80:B86,C80:C86)</f>
        <v>-3573116.232637346</v>
      </c>
      <c r="C87" s="211" t="n"/>
      <c r="D87" s="218">
        <f>SUMPRODUCT(D80:D86,E80:E86)</f>
        <v>-7735785.865452707</v>
      </c>
      <c r="E87" s="211" t="n"/>
      <c r="F87" s="218">
        <f>SUMPRODUCT(F80:F86,G80:G86)</f>
        <v>6050925.769056344</v>
      </c>
      <c r="G87" s="211" t="n"/>
    </row>
    <row r="88">
      <c r="A88" s="163" t="inlineStr">
        <is>
          <t>Heat of reaction / heat of mixing (kJ/h)</t>
        </is>
      </c>
      <c r="B88" s="219" t="inlineStr">
        <is>
          <t>-</t>
        </is>
      </c>
      <c r="C88" s="211" t="n"/>
      <c r="D88" s="220" t="inlineStr">
        <is>
          <t>-</t>
        </is>
      </c>
      <c r="E88" s="210" t="n"/>
      <c r="F88" s="210" t="n"/>
      <c r="G88" s="211" t="n"/>
    </row>
    <row r="89">
      <c r="A89" s="200" t="inlineStr">
        <is>
          <t>Q kondensor (kJ/h)</t>
        </is>
      </c>
      <c r="B89" s="218">
        <f>-($B$8*3600000/(D85*('Data Termo'!$Q$25*1000*MAX(0,1-$B$9/'Data Termo'!$R$25)^'Data Termo'!$S$25)))*(D85*('Data Termo'!$Q$25*1000*MAX(0,1-$D$74/'Data Termo'!$R$25)^'Data Termo'!$S$25)+D81*('Data Termo'!$Q$20*1000*MAX(0,1-$D$74/'Data Termo'!$R$20)^'Data Termo'!$S$20)+D83*('Data Termo'!$Q$22*1000*MAX(0,1-$D$74/'Data Termo'!$R$22)^'Data Termo'!$S$22))</f>
        <v>-10041085.266337903</v>
      </c>
      <c r="C89" s="210" t="n"/>
      <c r="D89" s="210" t="n"/>
      <c r="E89" s="210" t="n"/>
      <c r="F89" s="210" t="n"/>
      <c r="G89" s="211" t="n"/>
    </row>
    <row r="90">
      <c r="A90" s="200" t="inlineStr">
        <is>
          <t>Q reboiler (kJ/h)</t>
        </is>
      </c>
      <c r="B90" s="218">
        <f>(D87+F87)-(B87)-$B$89</f>
        <v>11929341.402578887</v>
      </c>
      <c r="C90" s="210" t="n"/>
      <c r="D90" s="210" t="n"/>
      <c r="E90" s="210" t="n"/>
      <c r="F90" s="210" t="n"/>
      <c r="G90" s="211" t="n"/>
    </row>
    <row r="91">
      <c r="A91" s="200" t="inlineStr">
        <is>
          <t>W (kJ/h)</t>
        </is>
      </c>
      <c r="B91" s="218" t="n">
        <v>0</v>
      </c>
      <c r="C91" s="210" t="n"/>
      <c r="D91" s="210" t="n"/>
      <c r="E91" s="210" t="n"/>
      <c r="F91" s="210" t="n"/>
      <c r="G91" s="211" t="n"/>
    </row>
    <row r="92">
      <c r="A92" s="200" t="inlineStr">
        <is>
          <t>TOTAL (kJ/h)</t>
        </is>
      </c>
      <c r="B92" s="218">
        <f>B87+$B$89+$B$90+$B$91</f>
        <v>-1684860.0963963624</v>
      </c>
      <c r="C92" s="211" t="n"/>
      <c r="D92" s="218">
        <f>(D87+F87)</f>
        <v>-1684860.0963963624</v>
      </c>
      <c r="E92" s="210" t="n"/>
      <c r="F92" s="210" t="n"/>
      <c r="G92" s="211" t="n"/>
    </row>
    <row r="93">
      <c r="A93" s="163" t="inlineStr">
        <is>
          <t>Selisih masuk − keluar (kJ/h)</t>
        </is>
      </c>
      <c r="B93" s="217">
        <f>B92-D92</f>
        <v>0.0</v>
      </c>
      <c r="C93" s="210" t="n"/>
      <c r="D93" s="210" t="n"/>
      <c r="E93" s="210" t="n"/>
      <c r="F93" s="210" t="n"/>
      <c r="G93" s="211" t="n"/>
    </row>
    <row r="94">
      <c r="A94" s="163" t="inlineStr">
        <is>
          <t>Q kondensor (kW)</t>
        </is>
      </c>
      <c r="B94" s="217">
        <f>$B$89/3600</f>
        <v>-2789.1903517605288</v>
      </c>
      <c r="C94" s="210" t="n"/>
      <c r="D94" s="210" t="n"/>
      <c r="E94" s="210" t="n"/>
      <c r="F94" s="210" t="n"/>
      <c r="G94" s="211" t="n"/>
    </row>
    <row r="95">
      <c r="A95" s="163" t="inlineStr">
        <is>
          <t>Q reboiler (kW)</t>
        </is>
      </c>
      <c r="B95" s="217">
        <f>$B$90/3600</f>
        <v>3313.705945160802</v>
      </c>
      <c r="C95" s="210" t="n"/>
      <c r="D95" s="210" t="n"/>
      <c r="E95" s="210" t="n"/>
      <c r="F95" s="210" t="n"/>
      <c r="G95" s="211" t="n"/>
    </row>
    <row r="96">
      <c r="A96" s="163" t="inlineStr">
        <is>
          <t>W (kW)</t>
        </is>
      </c>
      <c r="B96" s="217">
        <f>$B$91/3600</f>
        <v>0.0</v>
      </c>
      <c r="C96" s="210" t="n"/>
      <c r="D96" s="210" t="n"/>
      <c r="E96" s="210" t="n"/>
      <c r="F96" s="210" t="n"/>
      <c r="G96" s="211" t="n"/>
    </row>
    <row r="99">
      <c r="A99" s="169" t="inlineStr">
        <is>
          <t>Neraca Energi E-110: Pendingin VCM produk</t>
        </is>
      </c>
    </row>
    <row r="100">
      <c r="A100" s="187" t="inlineStr">
        <is>
          <t>Reference state: EDC fasa liquid @ 25°C, 1 bar; HCl, VCM fasa gas @ 25°C, 1 bar</t>
        </is>
      </c>
    </row>
    <row r="101">
      <c r="A101" s="162" t="inlineStr">
        <is>
          <t>No. aliran PFD</t>
        </is>
      </c>
      <c r="B101" s="162" t="n">
        <v>47</v>
      </c>
      <c r="C101" s="211" t="n"/>
      <c r="D101" s="162" t="n">
        <v>48</v>
      </c>
      <c r="E101" s="211" t="n"/>
    </row>
    <row r="102">
      <c r="A102" s="162" t="inlineStr">
        <is>
          <t>Dari</t>
        </is>
      </c>
      <c r="B102" s="172" t="inlineStr">
        <is>
          <t>KD-104</t>
        </is>
      </c>
      <c r="C102" s="211" t="n"/>
      <c r="D102" s="172" t="inlineStr">
        <is>
          <t>E-110</t>
        </is>
      </c>
      <c r="E102" s="211" t="n"/>
    </row>
    <row r="103">
      <c r="A103" s="162" t="inlineStr">
        <is>
          <t>Ke</t>
        </is>
      </c>
      <c r="B103" s="172" t="inlineStr">
        <is>
          <t>E-110</t>
        </is>
      </c>
      <c r="C103" s="211" t="n"/>
      <c r="D103" s="172" t="inlineStr">
        <is>
          <t>T-103</t>
        </is>
      </c>
      <c r="E103" s="211" t="n"/>
    </row>
    <row r="104">
      <c r="A104" s="162" t="inlineStr">
        <is>
          <t>T (K)</t>
        </is>
      </c>
      <c r="B104" s="185">
        <f>$D$74</f>
        <v>310.15</v>
      </c>
      <c r="C104" s="211" t="n"/>
      <c r="D104" s="185">
        <f>D105+273.15</f>
        <v>303.15</v>
      </c>
      <c r="E104" s="211" t="n"/>
    </row>
    <row r="105">
      <c r="A105" s="162" t="inlineStr">
        <is>
          <t>T (°C)</t>
        </is>
      </c>
      <c r="B105" s="185">
        <f>$D$75</f>
        <v>37.0</v>
      </c>
      <c r="C105" s="211" t="n"/>
      <c r="D105" s="185" t="n">
        <v>30</v>
      </c>
      <c r="E105" s="211" t="n"/>
    </row>
    <row r="106">
      <c r="A106" s="162" t="inlineStr">
        <is>
          <t>P (bar abs)</t>
        </is>
      </c>
      <c r="B106" s="190">
        <f>$D$76</f>
        <v>6.5</v>
      </c>
      <c r="C106" s="211" t="n"/>
      <c r="D106" s="190" t="n">
        <v>6.5</v>
      </c>
      <c r="E106" s="211" t="n"/>
    </row>
    <row r="107">
      <c r="A107" s="162" t="inlineStr">
        <is>
          <t>Substance</t>
        </is>
      </c>
      <c r="B107" s="162" t="inlineStr">
        <is>
          <t>INLET</t>
        </is>
      </c>
      <c r="C107" s="211" t="n"/>
      <c r="D107" s="162" t="inlineStr">
        <is>
          <t>OUTLET</t>
        </is>
      </c>
      <c r="E107" s="211" t="n"/>
    </row>
    <row r="108">
      <c r="A108" s="212" t="n"/>
      <c r="B108" s="162" t="inlineStr">
        <is>
          <t>Aliran 47</t>
        </is>
      </c>
      <c r="C108" s="211" t="n"/>
      <c r="D108" s="162" t="inlineStr">
        <is>
          <t>Aliran 48</t>
        </is>
      </c>
      <c r="E108" s="211" t="n"/>
    </row>
    <row r="109">
      <c r="A109" s="213" t="n"/>
      <c r="B109" s="162" t="inlineStr">
        <is>
          <t>ṅᵢ (kmol/h)</t>
        </is>
      </c>
      <c r="C109" s="162" t="inlineStr">
        <is>
          <t>Ĥᵢ (kJ/kmol)</t>
        </is>
      </c>
      <c r="D109" s="162" t="inlineStr">
        <is>
          <t>ṅᵢ (kmol/h)</t>
        </is>
      </c>
      <c r="E109" s="162" t="inlineStr">
        <is>
          <t>Ĥᵢ (kJ/kmol)</t>
        </is>
      </c>
    </row>
    <row r="110">
      <c r="A110" s="163" t="inlineStr">
        <is>
          <t>EDC (l)</t>
        </is>
      </c>
      <c r="B110" s="216">
        <f>I30</f>
        <v>0.20196765243434703</v>
      </c>
      <c r="C110" s="217">
        <f>('Data Termo'!$J$20*($B$104-298.15)+'Data Termo'!$K$20/2*($B$104^2-298.15^2)+'Data Termo'!$L$20/3*($B$104^3-298.15^3)+'Data Termo'!$M$20/4*($B$104^4-298.15^4))</f>
        <v>1555.5963542552372</v>
      </c>
      <c r="D110" s="216">
        <f>I30</f>
        <v>0.20196765243434703</v>
      </c>
      <c r="E110" s="217">
        <f>('Data Termo'!$J$20*($D$104-298.15)+'Data Termo'!$K$20/2*($D$104^2-298.15^2)+'Data Termo'!$L$20/3*($D$104^3-298.15^3)+'Data Termo'!$M$20/4*($D$104^4-298.15^4))</f>
        <v>645.6218513230376</v>
      </c>
    </row>
    <row r="111">
      <c r="A111" s="163" t="inlineStr">
        <is>
          <t>HCl (l)</t>
        </is>
      </c>
      <c r="B111" s="216">
        <f>I32</f>
        <v>0.000346295017313362</v>
      </c>
      <c r="C111" s="217">
        <f>-'Data Termo'!$V$22+('Data Termo'!$J$22*($B$104-298.15)+'Data Termo'!$K$22/2*($B$104^2-298.15^2)+'Data Termo'!$L$22/3*($B$104^3-298.15^3)+'Data Termo'!$M$22/4*($B$104^4-298.15^4))</f>
        <v>-4817.301657782417</v>
      </c>
      <c r="D111" s="216">
        <f>I32</f>
        <v>0.000346295017313362</v>
      </c>
      <c r="E111" s="217">
        <f>-'Data Termo'!$V$22+('Data Termo'!$J$22*($D$104-298.15)+'Data Termo'!$K$22/2*($D$104^2-298.15^2)+'Data Termo'!$L$22/3*($D$104^3-298.15^3)+'Data Termo'!$M$22/4*($D$104^4-298.15^4))</f>
        <v>-5538.50316756786</v>
      </c>
    </row>
    <row r="112">
      <c r="A112" s="163" t="inlineStr">
        <is>
          <t>VCM (l)</t>
        </is>
      </c>
      <c r="B112" s="216">
        <f>I35</f>
        <v>403.7333372162991</v>
      </c>
      <c r="C112" s="217">
        <f>-'Data Termo'!$V$25+('Data Termo'!$J$25*($B$104-298.15)+'Data Termo'!$K$25/2*($B$104^2-298.15^2)+'Data Termo'!$L$25/3*($B$104^3-298.15^3)+'Data Termo'!$M$25/4*($B$104^4-298.15^4))</f>
        <v>-19161.405968426025</v>
      </c>
      <c r="D112" s="216">
        <f>I35</f>
        <v>403.7333372162991</v>
      </c>
      <c r="E112" s="217">
        <f>-'Data Termo'!$V$25+('Data Termo'!$J$25*($D$104-298.15)+'Data Termo'!$K$25/2*($D$104^2-298.15^2)+'Data Termo'!$L$25/3*($D$104^3-298.15^3)+'Data Termo'!$M$25/4*($D$104^4-298.15^4))</f>
        <v>-19774.46807959167</v>
      </c>
    </row>
    <row r="113">
      <c r="A113" s="200" t="inlineStr">
        <is>
          <t>Sub Total ṅᵢĤᵢ (kJ/h)</t>
        </is>
      </c>
      <c r="B113" s="218">
        <f>SUMPRODUCT(B110:B112,C110:C112)</f>
        <v>-7735785.865452707</v>
      </c>
      <c r="C113" s="211" t="n"/>
      <c r="D113" s="218">
        <f>SUMPRODUCT(D110:D112,E110:E112)</f>
        <v>-7983483.512677104</v>
      </c>
      <c r="E113" s="211" t="n"/>
    </row>
    <row r="114">
      <c r="A114" s="163" t="inlineStr">
        <is>
          <t>Heat of reaction / heat of mixing (kJ/h)</t>
        </is>
      </c>
      <c r="B114" s="219" t="inlineStr">
        <is>
          <t>-</t>
        </is>
      </c>
      <c r="C114" s="211" t="n"/>
      <c r="D114" s="220" t="inlineStr">
        <is>
          <t>-</t>
        </is>
      </c>
      <c r="E114" s="211" t="n"/>
    </row>
    <row r="115">
      <c r="A115" s="200" t="inlineStr">
        <is>
          <t>Q (kJ/h)</t>
        </is>
      </c>
      <c r="B115" s="218">
        <f>(D113)-(B113)</f>
        <v>-247697.6472243974</v>
      </c>
      <c r="C115" s="210" t="n"/>
      <c r="D115" s="210" t="n"/>
      <c r="E115" s="211" t="n"/>
    </row>
    <row r="116">
      <c r="A116" s="200" t="inlineStr">
        <is>
          <t>W (kJ/h)</t>
        </is>
      </c>
      <c r="B116" s="218" t="n">
        <v>0</v>
      </c>
      <c r="C116" s="210" t="n"/>
      <c r="D116" s="210" t="n"/>
      <c r="E116" s="211" t="n"/>
    </row>
    <row r="117">
      <c r="A117" s="200" t="inlineStr">
        <is>
          <t>TOTAL (kJ/h)</t>
        </is>
      </c>
      <c r="B117" s="218">
        <f>B113+$B$115+$B$116</f>
        <v>-7983483.512677104</v>
      </c>
      <c r="C117" s="211" t="n"/>
      <c r="D117" s="218">
        <f>(D113)</f>
        <v>-7983483.512677104</v>
      </c>
      <c r="E117" s="211" t="n"/>
    </row>
    <row r="118">
      <c r="A118" s="163" t="inlineStr">
        <is>
          <t>Selisih masuk − keluar (kJ/h)</t>
        </is>
      </c>
      <c r="B118" s="217">
        <f>B117-D117</f>
        <v>0.0</v>
      </c>
      <c r="C118" s="210" t="n"/>
      <c r="D118" s="210" t="n"/>
      <c r="E118" s="211" t="n"/>
    </row>
    <row r="119">
      <c r="A119" s="163" t="inlineStr">
        <is>
          <t>Q (kW)</t>
        </is>
      </c>
      <c r="B119" s="217">
        <f>$B$115/3600</f>
        <v>-68.80490200677706</v>
      </c>
      <c r="C119" s="210" t="n"/>
      <c r="D119" s="210" t="n"/>
      <c r="E119" s="211" t="n"/>
    </row>
    <row r="120">
      <c r="A120" s="163" t="inlineStr">
        <is>
          <t>W (kW)</t>
        </is>
      </c>
      <c r="B120" s="217">
        <f>$B$116/3600</f>
        <v>0.0</v>
      </c>
      <c r="C120" s="210" t="n"/>
      <c r="D120" s="210" t="n"/>
      <c r="E120" s="211" t="n"/>
    </row>
  </sheetData>
  <mergeCells count="109">
    <mergeCell ref="D60:E60"/>
    <mergeCell ref="B65:E65"/>
    <mergeCell ref="C7:L7"/>
    <mergeCell ref="B102:C102"/>
    <mergeCell ref="D45:E45"/>
    <mergeCell ref="A13:A15"/>
    <mergeCell ref="B77:C77"/>
    <mergeCell ref="D108:E108"/>
    <mergeCell ref="B101:C101"/>
    <mergeCell ref="D48:E48"/>
    <mergeCell ref="A107:A109"/>
    <mergeCell ref="B115:E115"/>
    <mergeCell ref="B78:C78"/>
    <mergeCell ref="D72:E72"/>
    <mergeCell ref="D78:E78"/>
    <mergeCell ref="F72:G72"/>
    <mergeCell ref="D77:G77"/>
    <mergeCell ref="D71:E71"/>
    <mergeCell ref="A50:A52"/>
    <mergeCell ref="B49:C49"/>
    <mergeCell ref="F71:G71"/>
    <mergeCell ref="B14:E14"/>
    <mergeCell ref="D114:E114"/>
    <mergeCell ref="B104:C104"/>
    <mergeCell ref="B13:E13"/>
    <mergeCell ref="B51:C51"/>
    <mergeCell ref="D73:E73"/>
    <mergeCell ref="B38:E38"/>
    <mergeCell ref="D51:E51"/>
    <mergeCell ref="D113:E113"/>
    <mergeCell ref="B63:C63"/>
    <mergeCell ref="B106:C106"/>
    <mergeCell ref="B64:E64"/>
    <mergeCell ref="F74:G74"/>
    <mergeCell ref="D88:G88"/>
    <mergeCell ref="D101:E101"/>
    <mergeCell ref="B117:C117"/>
    <mergeCell ref="D76:E76"/>
    <mergeCell ref="F76:G76"/>
    <mergeCell ref="D75:E75"/>
    <mergeCell ref="B66:E66"/>
    <mergeCell ref="F75:G75"/>
    <mergeCell ref="D47:E47"/>
    <mergeCell ref="B103:C103"/>
    <mergeCell ref="D103:E103"/>
    <mergeCell ref="F38:M38"/>
    <mergeCell ref="F13:M13"/>
    <mergeCell ref="B91:G91"/>
    <mergeCell ref="B61:E61"/>
    <mergeCell ref="C9:L9"/>
    <mergeCell ref="B119:E119"/>
    <mergeCell ref="B116:E116"/>
    <mergeCell ref="B93:G93"/>
    <mergeCell ref="C11:L11"/>
    <mergeCell ref="B39:M39"/>
    <mergeCell ref="F73:G73"/>
    <mergeCell ref="F87:G87"/>
    <mergeCell ref="B118:E118"/>
    <mergeCell ref="B72:C72"/>
    <mergeCell ref="D63:E63"/>
    <mergeCell ref="B71:C71"/>
    <mergeCell ref="B105:C105"/>
    <mergeCell ref="D105:E105"/>
    <mergeCell ref="D49:E49"/>
    <mergeCell ref="B107:C107"/>
    <mergeCell ref="B60:C60"/>
    <mergeCell ref="D107:E107"/>
    <mergeCell ref="C6:L6"/>
    <mergeCell ref="B88:C88"/>
    <mergeCell ref="B95:G95"/>
    <mergeCell ref="B44:C44"/>
    <mergeCell ref="B89:G89"/>
    <mergeCell ref="D106:E106"/>
    <mergeCell ref="B108:C108"/>
    <mergeCell ref="B120:E120"/>
    <mergeCell ref="D102:E102"/>
    <mergeCell ref="B92:C92"/>
    <mergeCell ref="D117:E117"/>
    <mergeCell ref="B90:G90"/>
    <mergeCell ref="B76:C76"/>
    <mergeCell ref="B45:C45"/>
    <mergeCell ref="B5:L5"/>
    <mergeCell ref="B75:C75"/>
    <mergeCell ref="B47:C47"/>
    <mergeCell ref="F78:G78"/>
    <mergeCell ref="C8:L8"/>
    <mergeCell ref="B59:C59"/>
    <mergeCell ref="D92:G92"/>
    <mergeCell ref="B46:C46"/>
    <mergeCell ref="D46:E46"/>
    <mergeCell ref="F14:I14"/>
    <mergeCell ref="B48:C48"/>
    <mergeCell ref="D104:E104"/>
    <mergeCell ref="B62:E62"/>
    <mergeCell ref="A77:A79"/>
    <mergeCell ref="J14:M14"/>
    <mergeCell ref="B73:C73"/>
    <mergeCell ref="B87:C87"/>
    <mergeCell ref="D87:E87"/>
    <mergeCell ref="B94:G94"/>
    <mergeCell ref="B74:C74"/>
    <mergeCell ref="D74:E74"/>
    <mergeCell ref="B114:C114"/>
    <mergeCell ref="B50:C50"/>
    <mergeCell ref="B96:G96"/>
    <mergeCell ref="D50:E50"/>
    <mergeCell ref="D44:E44"/>
    <mergeCell ref="D59:E59"/>
    <mergeCell ref="B113:C11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89"/>
  <sheetViews>
    <sheetView tabSelected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30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69" t="inlineStr">
        <is>
          <t>Neraca Massa Overall Pabrik VCM (kg/h)</t>
        </is>
      </c>
    </row>
    <row r="2">
      <c r="A2" s="162" t="inlineStr">
        <is>
          <t>Komponen</t>
        </is>
      </c>
      <c r="B2" s="162" t="inlineStr">
        <is>
          <t>Masuk</t>
        </is>
      </c>
      <c r="C2" s="210" t="n"/>
      <c r="D2" s="210" t="n"/>
      <c r="E2" s="210" t="n"/>
      <c r="F2" s="211" t="n"/>
      <c r="G2" s="162" t="inlineStr">
        <is>
          <t>Keluar</t>
        </is>
      </c>
      <c r="H2" s="210" t="n"/>
      <c r="I2" s="210" t="n"/>
      <c r="J2" s="210" t="n"/>
      <c r="K2" s="210" t="n"/>
      <c r="L2" s="211" t="n"/>
    </row>
    <row r="3">
      <c r="B3" s="162" t="inlineStr">
        <is>
          <t>Klorin (aliran 3)</t>
        </is>
      </c>
      <c r="C3" s="162" t="inlineStr">
        <is>
          <t>Etilena ke R-01 (aliran 8)</t>
        </is>
      </c>
      <c r="D3" s="162" t="inlineStr">
        <is>
          <t>Make-up FeCl₃ (aliran 10)</t>
        </is>
      </c>
      <c r="E3" s="162" t="inlineStr">
        <is>
          <t>Etilena ke R-02 (aliran 9)</t>
        </is>
      </c>
      <c r="F3" s="162" t="inlineStr">
        <is>
          <t>Udara (aliran 17)</t>
        </is>
      </c>
      <c r="G3" s="162" t="inlineStr">
        <is>
          <t>VCM produk (aliran 47)</t>
        </is>
      </c>
      <c r="H3" s="162" t="inlineStr">
        <is>
          <t>Gas vent Blok 1 (aliran 13)</t>
        </is>
      </c>
      <c r="I3" s="162" t="inlineStr">
        <is>
          <t>Gas vent Blok 3 (aliran 25)</t>
        </is>
      </c>
      <c r="J3" s="162" t="inlineStr">
        <is>
          <t>Air asam Blok 3 (aliran 28)</t>
        </is>
      </c>
      <c r="K3" s="162" t="inlineStr">
        <is>
          <t>Fraksi ringan Blok 4 (aliran 32)</t>
        </is>
      </c>
      <c r="L3" s="162" t="inlineStr">
        <is>
          <t>Fraksi berat Blok 5 (aliran 35)</t>
        </is>
      </c>
    </row>
    <row r="4">
      <c r="A4" s="163" t="inlineStr">
        <is>
          <t>Ethylene Purity</t>
        </is>
      </c>
      <c r="B4" s="215">
        <f>'NME-1 Klorinasi Langsung'!C21</f>
        <v>0.0</v>
      </c>
      <c r="C4" s="215">
        <f>'NME-1 Klorinasi Langsung'!G21</f>
        <v>6099.053440133403</v>
      </c>
      <c r="D4" s="215">
        <f>'NME-1 Klorinasi Langsung'!K21</f>
        <v>0.0</v>
      </c>
      <c r="E4" s="215">
        <f>'NME-2 Oksiklorinasi'!C20</f>
        <v>5701.6777406310985</v>
      </c>
      <c r="F4" s="215">
        <f>'NME-2 Oksiklorinasi'!K20</f>
        <v>0.0</v>
      </c>
      <c r="G4" s="215">
        <f>'NME-8 Kolom VCM'!G16</f>
        <v>0.0</v>
      </c>
      <c r="H4" s="215">
        <f>'NME-1 Klorinasi Langsung'!S21</f>
        <v>26.25804664787654</v>
      </c>
      <c r="I4" s="215">
        <f>'NME-3 Kondensasi-Dekantasi'!K17</f>
        <v>28.508388703155518</v>
      </c>
      <c r="J4" s="215">
        <f>'NME-3 Kondensasi-Dekantasi'!O17</f>
        <v>0.0</v>
      </c>
      <c r="K4" s="215">
        <f>'NME-4 Kolom Ringan'!K17</f>
        <v>0.0</v>
      </c>
      <c r="L4" s="215">
        <f>'NME-5 Kolom Berat'!K17</f>
        <v>0.0</v>
      </c>
    </row>
    <row r="5">
      <c r="A5" s="163" t="inlineStr">
        <is>
          <t>Methane</t>
        </is>
      </c>
      <c r="B5" s="215">
        <f>'NME-1 Klorinasi Langsung'!C22</f>
        <v>0.0</v>
      </c>
      <c r="C5" s="215">
        <f>'NME-1 Klorinasi Langsung'!G22</f>
        <v>1.4121638835275212</v>
      </c>
      <c r="D5" s="215">
        <f>'NME-1 Klorinasi Langsung'!K22</f>
        <v>0.0</v>
      </c>
      <c r="E5" s="215">
        <f>'NME-2 Oksiklorinasi'!C21</f>
        <v>1.3201562274974794</v>
      </c>
      <c r="F5" s="215">
        <f>'NME-2 Oksiklorinasi'!K21</f>
        <v>0.0</v>
      </c>
      <c r="G5" s="215">
        <f>'NME-8 Kolom VCM'!G17</f>
        <v>0.0</v>
      </c>
      <c r="H5" s="215">
        <f>'NME-1 Klorinasi Langsung'!S22</f>
        <v>1.4121638835275212</v>
      </c>
      <c r="I5" s="215">
        <f>'NME-3 Kondensasi-Dekantasi'!K18</f>
        <v>1.3201562274974794</v>
      </c>
      <c r="J5" s="215">
        <f>'NME-3 Kondensasi-Dekantasi'!O18</f>
        <v>0.0</v>
      </c>
      <c r="K5" s="215">
        <f>'NME-4 Kolom Ringan'!K18</f>
        <v>0.0</v>
      </c>
      <c r="L5" s="215">
        <f>'NME-5 Kolom Berat'!K18</f>
        <v>0.0</v>
      </c>
    </row>
    <row r="6">
      <c r="A6" s="163" t="inlineStr">
        <is>
          <t>Ethane</t>
        </is>
      </c>
      <c r="B6" s="215">
        <f>'NME-1 Klorinasi Langsung'!C23</f>
        <v>0.0</v>
      </c>
      <c r="C6" s="215">
        <f>'NME-1 Klorinasi Langsung'!G23</f>
        <v>0.07706331679247136</v>
      </c>
      <c r="D6" s="215">
        <f>'NME-1 Klorinasi Langsung'!K23</f>
        <v>0.0</v>
      </c>
      <c r="E6" s="215">
        <f>'NME-2 Oksiklorinasi'!C22</f>
        <v>0.07204235907879274</v>
      </c>
      <c r="F6" s="215">
        <f>'NME-2 Oksiklorinasi'!K22</f>
        <v>0.0</v>
      </c>
      <c r="G6" s="215">
        <f>'NME-8 Kolom VCM'!G18</f>
        <v>0.0</v>
      </c>
      <c r="H6" s="215">
        <f>'NME-1 Klorinasi Langsung'!S23</f>
        <v>0.07706331679247136</v>
      </c>
      <c r="I6" s="215">
        <f>'NME-3 Kondensasi-Dekantasi'!K19</f>
        <v>0.07204235907879274</v>
      </c>
      <c r="J6" s="215">
        <f>'NME-3 Kondensasi-Dekantasi'!O19</f>
        <v>0.0</v>
      </c>
      <c r="K6" s="215">
        <f>'NME-4 Kolom Ringan'!K19</f>
        <v>0.0</v>
      </c>
      <c r="L6" s="215">
        <f>'NME-5 Kolom Berat'!K19</f>
        <v>0.0</v>
      </c>
    </row>
    <row r="7">
      <c r="A7" s="163" t="inlineStr">
        <is>
          <t>Acetylene</t>
        </is>
      </c>
      <c r="B7" s="215">
        <f>'NME-1 Klorinasi Langsung'!C24</f>
        <v>0.0</v>
      </c>
      <c r="C7" s="215">
        <f>'NME-1 Klorinasi Langsung'!G24</f>
        <v>0.02951572788137131</v>
      </c>
      <c r="D7" s="215">
        <f>'NME-1 Klorinasi Langsung'!K24</f>
        <v>0.0</v>
      </c>
      <c r="E7" s="215">
        <f>'NME-2 Oksiklorinasi'!C23</f>
        <v>0.027592669962907983</v>
      </c>
      <c r="F7" s="215">
        <f>'NME-2 Oksiklorinasi'!K23</f>
        <v>0.0</v>
      </c>
      <c r="G7" s="215">
        <f>'NME-8 Kolom VCM'!G19</f>
        <v>0.0</v>
      </c>
      <c r="H7" s="215">
        <f>'NME-1 Klorinasi Langsung'!S24</f>
        <v>0.02951572788137131</v>
      </c>
      <c r="I7" s="215">
        <f>'NME-3 Kondensasi-Dekantasi'!K20</f>
        <v>0.027592669962907983</v>
      </c>
      <c r="J7" s="215">
        <f>'NME-3 Kondensasi-Dekantasi'!O20</f>
        <v>0.0</v>
      </c>
      <c r="K7" s="215">
        <f>'NME-4 Kolom Ringan'!K20</f>
        <v>0.0</v>
      </c>
      <c r="L7" s="215">
        <f>'NME-5 Kolom Berat'!K20</f>
        <v>0.0</v>
      </c>
    </row>
    <row r="8">
      <c r="A8" s="163" t="inlineStr">
        <is>
          <t>Chlorine</t>
        </is>
      </c>
      <c r="B8" s="215">
        <f>'NME-1 Klorinasi Langsung'!C25</f>
        <v>15353.620243935302</v>
      </c>
      <c r="C8" s="215">
        <f>'NME-1 Klorinasi Langsung'!G25</f>
        <v>0.0</v>
      </c>
      <c r="D8" s="215">
        <f>'NME-1 Klorinasi Langsung'!K25</f>
        <v>0.0</v>
      </c>
      <c r="E8" s="215">
        <f>'NME-2 Oksiklorinasi'!C24</f>
        <v>0.0</v>
      </c>
      <c r="F8" s="215">
        <f>'NME-2 Oksiklorinasi'!K24</f>
        <v>0.0</v>
      </c>
      <c r="G8" s="215">
        <f>'NME-8 Kolom VCM'!G20</f>
        <v>0.0</v>
      </c>
      <c r="H8" s="215">
        <f>'NME-1 Klorinasi Langsung'!S25</f>
        <v>1.535362024393377</v>
      </c>
      <c r="I8" s="215">
        <f>'NME-3 Kondensasi-Dekantasi'!K21</f>
        <v>219.45229882203654</v>
      </c>
      <c r="J8" s="215">
        <f>'NME-3 Kondensasi-Dekantasi'!O21</f>
        <v>0.0</v>
      </c>
      <c r="K8" s="215">
        <f>'NME-4 Kolom Ringan'!K21</f>
        <v>0.0</v>
      </c>
      <c r="L8" s="215">
        <f>'NME-5 Kolom Berat'!K21</f>
        <v>0.0</v>
      </c>
    </row>
    <row r="9">
      <c r="A9" s="163" t="inlineStr">
        <is>
          <t>CₙHₘ</t>
        </is>
      </c>
      <c r="B9" s="215">
        <f>'NME-1 Klorinasi Langsung'!C26</f>
        <v>0.06150852751431059</v>
      </c>
      <c r="C9" s="215">
        <f>'NME-1 Klorinasi Langsung'!G26</f>
        <v>0.0</v>
      </c>
      <c r="D9" s="215">
        <f>'NME-1 Klorinasi Langsung'!K26</f>
        <v>0.0</v>
      </c>
      <c r="E9" s="215">
        <f>'NME-2 Oksiklorinasi'!C25</f>
        <v>0.0</v>
      </c>
      <c r="F9" s="215">
        <f>'NME-2 Oksiklorinasi'!K25</f>
        <v>0.0</v>
      </c>
      <c r="G9" s="215">
        <f>'NME-8 Kolom VCM'!G21</f>
        <v>0.0</v>
      </c>
      <c r="H9" s="215">
        <f>'NME-1 Klorinasi Langsung'!S26</f>
        <v>0.06150852751431059</v>
      </c>
      <c r="I9" s="215">
        <f>'NME-3 Kondensasi-Dekantasi'!K22</f>
        <v>0.0</v>
      </c>
      <c r="J9" s="215">
        <f>'NME-3 Kondensasi-Dekantasi'!O22</f>
        <v>0.0</v>
      </c>
      <c r="K9" s="215">
        <f>'NME-4 Kolom Ringan'!K22</f>
        <v>0.0</v>
      </c>
      <c r="L9" s="215">
        <f>'NME-5 Kolom Berat'!K22</f>
        <v>0.0</v>
      </c>
    </row>
    <row r="10">
      <c r="A10" s="163" t="inlineStr">
        <is>
          <t>Water</t>
        </is>
      </c>
      <c r="B10" s="215">
        <f>'NME-1 Klorinasi Langsung'!C27</f>
        <v>0.18452558254293175</v>
      </c>
      <c r="C10" s="215">
        <f>'NME-1 Klorinasi Langsung'!G27</f>
        <v>0.0</v>
      </c>
      <c r="D10" s="215">
        <f>'NME-1 Klorinasi Langsung'!K27</f>
        <v>0.0</v>
      </c>
      <c r="E10" s="215">
        <f>'NME-2 Oksiklorinasi'!C26</f>
        <v>0.0</v>
      </c>
      <c r="F10" s="215">
        <f>'NME-2 Oksiklorinasi'!K26</f>
        <v>0.0</v>
      </c>
      <c r="G10" s="215">
        <f>'NME-8 Kolom VCM'!G22</f>
        <v>0.0</v>
      </c>
      <c r="H10" s="215">
        <f>'NME-1 Klorinasi Langsung'!S27</f>
        <v>0.0</v>
      </c>
      <c r="I10" s="215">
        <f>'NME-3 Kondensasi-Dekantasi'!K23</f>
        <v>0.0</v>
      </c>
      <c r="J10" s="215">
        <f>'NME-3 Kondensasi-Dekantasi'!O23</f>
        <v>3549.818993766917</v>
      </c>
      <c r="K10" s="215">
        <f>'NME-4 Kolom Ringan'!K23</f>
        <v>82.43221398205901</v>
      </c>
      <c r="L10" s="215">
        <f>'NME-5 Kolom Berat'!K23</f>
        <v>0.0</v>
      </c>
    </row>
    <row r="11">
      <c r="A11" s="163" t="inlineStr">
        <is>
          <t>CₓHᵧCl</t>
        </is>
      </c>
      <c r="B11" s="215">
        <f>'NME-1 Klorinasi Langsung'!C28</f>
        <v>0.12301705502862118</v>
      </c>
      <c r="C11" s="215">
        <f>'NME-1 Klorinasi Langsung'!G28</f>
        <v>0.0</v>
      </c>
      <c r="D11" s="215">
        <f>'NME-1 Klorinasi Langsung'!K28</f>
        <v>0.0</v>
      </c>
      <c r="E11" s="215">
        <f>'NME-2 Oksiklorinasi'!C27</f>
        <v>0.0</v>
      </c>
      <c r="F11" s="215">
        <f>'NME-2 Oksiklorinasi'!K27</f>
        <v>0.0</v>
      </c>
      <c r="G11" s="215">
        <f>'NME-8 Kolom VCM'!G23</f>
        <v>0.0</v>
      </c>
      <c r="H11" s="215">
        <f>'NME-1 Klorinasi Langsung'!S28</f>
        <v>0.12301705502862118</v>
      </c>
      <c r="I11" s="215">
        <f>'NME-3 Kondensasi-Dekantasi'!K24</f>
        <v>0.0</v>
      </c>
      <c r="J11" s="215">
        <f>'NME-3 Kondensasi-Dekantasi'!O24</f>
        <v>0.0</v>
      </c>
      <c r="K11" s="215">
        <f>'NME-4 Kolom Ringan'!K24</f>
        <v>0.0</v>
      </c>
      <c r="L11" s="215">
        <f>'NME-5 Kolom Berat'!K24</f>
        <v>0.0</v>
      </c>
    </row>
    <row r="12">
      <c r="A12" s="163" t="inlineStr">
        <is>
          <t>Bromine</t>
        </is>
      </c>
      <c r="B12" s="215">
        <f>'NME-1 Klorinasi Langsung'!C29</f>
        <v>1.3839418690719882</v>
      </c>
      <c r="C12" s="215">
        <f>'NME-1 Klorinasi Langsung'!G29</f>
        <v>0.0</v>
      </c>
      <c r="D12" s="215">
        <f>'NME-1 Klorinasi Langsung'!K29</f>
        <v>0.0</v>
      </c>
      <c r="E12" s="215">
        <f>'NME-2 Oksiklorinasi'!C28</f>
        <v>0.0</v>
      </c>
      <c r="F12" s="215">
        <f>'NME-2 Oksiklorinasi'!K28</f>
        <v>0.0</v>
      </c>
      <c r="G12" s="215">
        <f>'NME-8 Kolom VCM'!G24</f>
        <v>0.0</v>
      </c>
      <c r="H12" s="215">
        <f>'NME-1 Klorinasi Langsung'!S29</f>
        <v>0.0</v>
      </c>
      <c r="I12" s="215">
        <f>'NME-3 Kondensasi-Dekantasi'!K25</f>
        <v>0.0</v>
      </c>
      <c r="J12" s="215">
        <f>'NME-3 Kondensasi-Dekantasi'!O25</f>
        <v>0.0</v>
      </c>
      <c r="K12" s="215">
        <f>'NME-4 Kolom Ringan'!K25</f>
        <v>1.3839418690719882</v>
      </c>
      <c r="L12" s="215">
        <f>'NME-5 Kolom Berat'!K25</f>
        <v>0.0</v>
      </c>
    </row>
    <row r="13">
      <c r="A13" s="163" t="inlineStr">
        <is>
          <t>Nitrogen trichloride</t>
        </is>
      </c>
      <c r="B13" s="215">
        <f>'NME-1 Klorinasi Langsung'!C30</f>
        <v>0.07688565939288824</v>
      </c>
      <c r="C13" s="215">
        <f>'NME-1 Klorinasi Langsung'!G30</f>
        <v>0.0</v>
      </c>
      <c r="D13" s="215">
        <f>'NME-1 Klorinasi Langsung'!K30</f>
        <v>0.0</v>
      </c>
      <c r="E13" s="215">
        <f>'NME-2 Oksiklorinasi'!C29</f>
        <v>0.0</v>
      </c>
      <c r="F13" s="215">
        <f>'NME-2 Oksiklorinasi'!K29</f>
        <v>0.0</v>
      </c>
      <c r="G13" s="215">
        <f>'NME-8 Kolom VCM'!G25</f>
        <v>0.0</v>
      </c>
      <c r="H13" s="215">
        <f>'NME-1 Klorinasi Langsung'!S30</f>
        <v>0.0</v>
      </c>
      <c r="I13" s="215">
        <f>'NME-3 Kondensasi-Dekantasi'!K26</f>
        <v>0.0</v>
      </c>
      <c r="J13" s="215">
        <f>'NME-3 Kondensasi-Dekantasi'!O26</f>
        <v>0.0</v>
      </c>
      <c r="K13" s="215">
        <f>'NME-4 Kolom Ringan'!K26</f>
        <v>0.07688565939288824</v>
      </c>
      <c r="L13" s="215">
        <f>'NME-5 Kolom Berat'!K26</f>
        <v>0.0</v>
      </c>
    </row>
    <row r="14">
      <c r="A14" s="163" t="inlineStr">
        <is>
          <t>Hydrogen</t>
        </is>
      </c>
      <c r="B14" s="215">
        <f>'NME-1 Klorinasi Langsung'!C31</f>
        <v>0.4613139563573294</v>
      </c>
      <c r="C14" s="215">
        <f>'NME-1 Klorinasi Langsung'!G31</f>
        <v>0.0</v>
      </c>
      <c r="D14" s="215">
        <f>'NME-1 Klorinasi Langsung'!K31</f>
        <v>0.0</v>
      </c>
      <c r="E14" s="215">
        <f>'NME-2 Oksiklorinasi'!C30</f>
        <v>0.0</v>
      </c>
      <c r="F14" s="215">
        <f>'NME-2 Oksiklorinasi'!K30</f>
        <v>0.0</v>
      </c>
      <c r="G14" s="215">
        <f>'NME-8 Kolom VCM'!G26</f>
        <v>0.0</v>
      </c>
      <c r="H14" s="215">
        <f>'NME-1 Klorinasi Langsung'!S31</f>
        <v>0.4613139563573294</v>
      </c>
      <c r="I14" s="215">
        <f>'NME-3 Kondensasi-Dekantasi'!K27</f>
        <v>0.0</v>
      </c>
      <c r="J14" s="215">
        <f>'NME-3 Kondensasi-Dekantasi'!O27</f>
        <v>0.0</v>
      </c>
      <c r="K14" s="215">
        <f>'NME-4 Kolom Ringan'!K27</f>
        <v>0.0</v>
      </c>
      <c r="L14" s="215">
        <f>'NME-5 Kolom Berat'!K27</f>
        <v>0.0</v>
      </c>
    </row>
    <row r="15">
      <c r="A15" s="163" t="inlineStr">
        <is>
          <t>Oxygen</t>
        </is>
      </c>
      <c r="B15" s="215">
        <f>'NME-1 Klorinasi Langsung'!C32</f>
        <v>2.7678837381439765</v>
      </c>
      <c r="C15" s="215">
        <f>'NME-1 Klorinasi Langsung'!G32</f>
        <v>0.0</v>
      </c>
      <c r="D15" s="215">
        <f>'NME-1 Klorinasi Langsung'!K32</f>
        <v>0.0</v>
      </c>
      <c r="E15" s="215">
        <f>'NME-2 Oksiklorinasi'!C31</f>
        <v>0.0</v>
      </c>
      <c r="F15" s="215">
        <f>'NME-2 Oksiklorinasi'!K31</f>
        <v>5202.765695371912</v>
      </c>
      <c r="G15" s="215">
        <f>'NME-8 Kolom VCM'!G27</f>
        <v>0.0</v>
      </c>
      <c r="H15" s="215">
        <f>'NME-1 Klorinasi Langsung'!S32</f>
        <v>2.7678837381439765</v>
      </c>
      <c r="I15" s="215">
        <f>'NME-3 Kondensasi-Dekantasi'!K28</f>
        <v>1912.016393048713</v>
      </c>
      <c r="J15" s="215">
        <f>'NME-3 Kondensasi-Dekantasi'!O28</f>
        <v>0.0</v>
      </c>
      <c r="K15" s="215">
        <f>'NME-4 Kolom Ringan'!K28</f>
        <v>0.0</v>
      </c>
      <c r="L15" s="215">
        <f>'NME-5 Kolom Berat'!K28</f>
        <v>0.0</v>
      </c>
    </row>
    <row r="16">
      <c r="A16" s="163" t="inlineStr">
        <is>
          <t>Nitrogen</t>
        </is>
      </c>
      <c r="B16" s="215">
        <f>'NME-1 Klorinasi Langsung'!C33</f>
        <v>9.226279127146588</v>
      </c>
      <c r="C16" s="215">
        <f>'NME-1 Klorinasi Langsung'!G33</f>
        <v>0.0</v>
      </c>
      <c r="D16" s="215">
        <f>'NME-1 Klorinasi Langsung'!K33</f>
        <v>0.0</v>
      </c>
      <c r="E16" s="215">
        <f>'NME-2 Oksiklorinasi'!C32</f>
        <v>0.0</v>
      </c>
      <c r="F16" s="215">
        <f>'NME-2 Oksiklorinasi'!K32</f>
        <v>17134.868763788385</v>
      </c>
      <c r="G16" s="215">
        <f>'NME-8 Kolom VCM'!G28</f>
        <v>0.0</v>
      </c>
      <c r="H16" s="215">
        <f>'NME-1 Klorinasi Langsung'!S33</f>
        <v>9.226279127146588</v>
      </c>
      <c r="I16" s="215">
        <f>'NME-3 Kondensasi-Dekantasi'!K29</f>
        <v>17134.868763788385</v>
      </c>
      <c r="J16" s="215">
        <f>'NME-3 Kondensasi-Dekantasi'!O29</f>
        <v>0.0</v>
      </c>
      <c r="K16" s="215">
        <f>'NME-4 Kolom Ringan'!K29</f>
        <v>0.0</v>
      </c>
      <c r="L16" s="215">
        <f>'NME-5 Kolom Berat'!K29</f>
        <v>0.0</v>
      </c>
    </row>
    <row r="17">
      <c r="A17" s="163" t="inlineStr">
        <is>
          <t>Carbon dioxide</t>
        </is>
      </c>
      <c r="B17" s="215">
        <f>'NME-1 Klorinasi Langsung'!C34</f>
        <v>9.226279127146588</v>
      </c>
      <c r="C17" s="215">
        <f>'NME-1 Klorinasi Langsung'!G34</f>
        <v>0.0</v>
      </c>
      <c r="D17" s="215">
        <f>'NME-1 Klorinasi Langsung'!K34</f>
        <v>0.0</v>
      </c>
      <c r="E17" s="215">
        <f>'NME-2 Oksiklorinasi'!C33</f>
        <v>0.0</v>
      </c>
      <c r="F17" s="215">
        <f>'NME-2 Oksiklorinasi'!K33</f>
        <v>0.0</v>
      </c>
      <c r="G17" s="215">
        <f>'NME-8 Kolom VCM'!G29</f>
        <v>0.0</v>
      </c>
      <c r="H17" s="215">
        <f>'NME-1 Klorinasi Langsung'!S34</f>
        <v>9.226279127146588</v>
      </c>
      <c r="I17" s="215">
        <f>'NME-3 Kondensasi-Dekantasi'!K30</f>
        <v>89.44565386981179</v>
      </c>
      <c r="J17" s="215">
        <f>'NME-3 Kondensasi-Dekantasi'!O30</f>
        <v>0.0</v>
      </c>
      <c r="K17" s="215">
        <f>'NME-4 Kolom Ringan'!K30</f>
        <v>0.0</v>
      </c>
      <c r="L17" s="215">
        <f>'NME-5 Kolom Berat'!K30</f>
        <v>0.0</v>
      </c>
    </row>
    <row r="18">
      <c r="A18" s="163" t="inlineStr">
        <is>
          <t>EDC</t>
        </is>
      </c>
      <c r="B18" s="215">
        <f>'NME-1 Klorinasi Langsung'!C35</f>
        <v>0.0</v>
      </c>
      <c r="C18" s="215">
        <f>'NME-1 Klorinasi Langsung'!G35</f>
        <v>0.0</v>
      </c>
      <c r="D18" s="215">
        <f>'NME-1 Klorinasi Langsung'!K35</f>
        <v>0.0</v>
      </c>
      <c r="E18" s="215">
        <f>'NME-2 Oksiklorinasi'!C34</f>
        <v>0.0</v>
      </c>
      <c r="F18" s="215">
        <f>'NME-2 Oksiklorinasi'!K34</f>
        <v>0.0</v>
      </c>
      <c r="G18" s="215">
        <f>'NME-8 Kolom VCM'!G30</f>
        <v>19.986516917250967</v>
      </c>
      <c r="H18" s="215">
        <f>'NME-1 Klorinasi Langsung'!S35</f>
        <v>44.46040383285724</v>
      </c>
      <c r="I18" s="215">
        <f>'NME-3 Kondensasi-Dekantasi'!K31</f>
        <v>98.80089740634826</v>
      </c>
      <c r="J18" s="215">
        <f>'NME-3 Kondensasi-Dekantasi'!O31</f>
        <v>3.011585363497441</v>
      </c>
      <c r="K18" s="215">
        <f>'NME-4 Kolom Ringan'!K31</f>
        <v>123.50112175793534</v>
      </c>
      <c r="L18" s="215">
        <f>'NME-5 Kolom Berat'!K31</f>
        <v>39.95304731758825</v>
      </c>
    </row>
    <row r="19">
      <c r="A19" s="163" t="inlineStr">
        <is>
          <t>TCE</t>
        </is>
      </c>
      <c r="B19" s="215">
        <f>'NME-1 Klorinasi Langsung'!C36</f>
        <v>0.0</v>
      </c>
      <c r="C19" s="215">
        <f>'NME-1 Klorinasi Langsung'!G36</f>
        <v>0.0</v>
      </c>
      <c r="D19" s="215">
        <f>'NME-1 Klorinasi Langsung'!K36</f>
        <v>0.0</v>
      </c>
      <c r="E19" s="215">
        <f>'NME-2 Oksiklorinasi'!C35</f>
        <v>0.0</v>
      </c>
      <c r="F19" s="215">
        <f>'NME-2 Oksiklorinasi'!K35</f>
        <v>0.0</v>
      </c>
      <c r="G19" s="215">
        <f>'NME-8 Kolom VCM'!G31</f>
        <v>0.0</v>
      </c>
      <c r="H19" s="215">
        <f>'NME-1 Klorinasi Langsung'!S36</f>
        <v>0.0</v>
      </c>
      <c r="I19" s="215">
        <f>'NME-3 Kondensasi-Dekantasi'!K32</f>
        <v>0.0</v>
      </c>
      <c r="J19" s="215">
        <f>'NME-3 Kondensasi-Dekantasi'!O32</f>
        <v>0.0</v>
      </c>
      <c r="K19" s="215">
        <f>'NME-4 Kolom Ringan'!K32</f>
        <v>0.0</v>
      </c>
      <c r="L19" s="215">
        <f>'NME-5 Kolom Berat'!K32</f>
        <v>6.426937109715912</v>
      </c>
    </row>
    <row r="20">
      <c r="A20" s="163" t="inlineStr">
        <is>
          <t>HCl</t>
        </is>
      </c>
      <c r="B20" s="215">
        <f>'NME-1 Klorinasi Langsung'!C37</f>
        <v>0.0</v>
      </c>
      <c r="C20" s="215">
        <f>'NME-1 Klorinasi Langsung'!G37</f>
        <v>0.0</v>
      </c>
      <c r="D20" s="215">
        <f>'NME-1 Klorinasi Langsung'!K37</f>
        <v>0.0</v>
      </c>
      <c r="E20" s="215">
        <f>'NME-2 Oksiklorinasi'!C36</f>
        <v>0.0</v>
      </c>
      <c r="F20" s="215">
        <f>'NME-2 Oksiklorinasi'!K36</f>
        <v>0.0</v>
      </c>
      <c r="G20" s="215">
        <f>'NME-8 Kolom VCM'!G32</f>
        <v>0.012626262626262798</v>
      </c>
      <c r="H20" s="215">
        <f>'NME-1 Klorinasi Langsung'!S37</f>
        <v>1.7565763435406405</v>
      </c>
      <c r="I20" s="215">
        <f>'NME-3 Kondensasi-Dekantasi'!K33</f>
        <v>0.0</v>
      </c>
      <c r="J20" s="215">
        <f>'NME-3 Kondensasi-Dekantasi'!O33</f>
        <v>207.48871529308545</v>
      </c>
      <c r="K20" s="215">
        <f>'NME-4 Kolom Ringan'!K33</f>
        <v>0.0</v>
      </c>
      <c r="L20" s="215">
        <f>'NME-5 Kolom Berat'!K33</f>
        <v>0.0</v>
      </c>
    </row>
    <row r="21">
      <c r="A21" s="163" t="inlineStr">
        <is>
          <t>FeCl₃</t>
        </is>
      </c>
      <c r="B21" s="215">
        <f>'NME-1 Klorinasi Langsung'!C38</f>
        <v>0.0</v>
      </c>
      <c r="C21" s="215">
        <f>'NME-1 Klorinasi Langsung'!G38</f>
        <v>0.0</v>
      </c>
      <c r="D21" s="215">
        <f>'NME-1 Klorinasi Langsung'!K38</f>
        <v>4.2858109726273375</v>
      </c>
      <c r="E21" s="215">
        <f>'NME-2 Oksiklorinasi'!C37</f>
        <v>0.0</v>
      </c>
      <c r="F21" s="215">
        <f>'NME-2 Oksiklorinasi'!K37</f>
        <v>0.0</v>
      </c>
      <c r="G21" s="215">
        <f>'NME-8 Kolom VCM'!G33</f>
        <v>0.0</v>
      </c>
      <c r="H21" s="215">
        <f>'NME-1 Klorinasi Langsung'!S38</f>
        <v>0.0</v>
      </c>
      <c r="I21" s="215">
        <f>'NME-3 Kondensasi-Dekantasi'!K34</f>
        <v>0.0</v>
      </c>
      <c r="J21" s="215">
        <f>'NME-3 Kondensasi-Dekantasi'!O34</f>
        <v>4.162409948296146</v>
      </c>
      <c r="K21" s="215">
        <f>'NME-4 Kolom Ringan'!K34</f>
        <v>0.0</v>
      </c>
      <c r="L21" s="215">
        <f>'NME-5 Kolom Berat'!K34</f>
        <v>0.12340102433114014</v>
      </c>
    </row>
    <row r="22">
      <c r="A22" s="163" t="inlineStr">
        <is>
          <t>Ethyl chloride</t>
        </is>
      </c>
      <c r="B22" s="215">
        <f>'NME-1 Klorinasi Langsung'!C39</f>
        <v>0.0</v>
      </c>
      <c r="C22" s="215">
        <f>'NME-1 Klorinasi Langsung'!G39</f>
        <v>0.0</v>
      </c>
      <c r="D22" s="215">
        <f>'NME-1 Klorinasi Langsung'!K39</f>
        <v>0.0</v>
      </c>
      <c r="E22" s="215">
        <f>'NME-2 Oksiklorinasi'!C38</f>
        <v>0.0</v>
      </c>
      <c r="F22" s="215">
        <f>'NME-2 Oksiklorinasi'!K38</f>
        <v>0.0</v>
      </c>
      <c r="G22" s="215">
        <f>'NME-8 Kolom VCM'!G34</f>
        <v>0.0</v>
      </c>
      <c r="H22" s="215">
        <f>'NME-1 Klorinasi Langsung'!S39</f>
        <v>0.0</v>
      </c>
      <c r="I22" s="215">
        <f>'NME-3 Kondensasi-Dekantasi'!K35</f>
        <v>0.0</v>
      </c>
      <c r="J22" s="215">
        <f>'NME-3 Kondensasi-Dekantasi'!O35</f>
        <v>0.0</v>
      </c>
      <c r="K22" s="215">
        <f>'NME-4 Kolom Ringan'!K35</f>
        <v>104.89591200824856</v>
      </c>
      <c r="L22" s="215">
        <f>'NME-5 Kolom Berat'!K35</f>
        <v>0.0</v>
      </c>
    </row>
    <row r="23">
      <c r="A23" s="163" t="inlineStr">
        <is>
          <t>VCM</t>
        </is>
      </c>
      <c r="B23" s="215">
        <f>'NME-1 Klorinasi Langsung'!C40</f>
        <v>0.0</v>
      </c>
      <c r="C23" s="215">
        <f>'NME-1 Klorinasi Langsung'!G40</f>
        <v>0.0</v>
      </c>
      <c r="D23" s="215">
        <f>'NME-1 Klorinasi Langsung'!K40</f>
        <v>0.0</v>
      </c>
      <c r="E23" s="215">
        <f>'NME-2 Oksiklorinasi'!C39</f>
        <v>0.0</v>
      </c>
      <c r="F23" s="215">
        <f>'NME-2 Oksiklorinasi'!K39</f>
        <v>0.0</v>
      </c>
      <c r="G23" s="215">
        <f>'NME-8 Kolom VCM'!G35</f>
        <v>25232.52610934458</v>
      </c>
      <c r="H23" s="215">
        <f>'NME-1 Klorinasi Langsung'!S40</f>
        <v>0.0</v>
      </c>
      <c r="I23" s="215">
        <f>'NME-3 Kondensasi-Dekantasi'!K36</f>
        <v>2.56001028053807</v>
      </c>
      <c r="J23" s="215">
        <f>'NME-3 Kondensasi-Dekantasi'!O36</f>
        <v>0.0</v>
      </c>
      <c r="K23" s="215">
        <f>'NME-4 Kolom Ringan'!K36</f>
        <v>169.04584136104577</v>
      </c>
      <c r="L23" s="215">
        <f>'NME-5 Kolom Berat'!K36</f>
        <v>0.0</v>
      </c>
    </row>
    <row r="24">
      <c r="A24" s="163" t="inlineStr">
        <is>
          <t>Fraksi berat (C₄H₈Cl₂)</t>
        </is>
      </c>
      <c r="B24" s="215">
        <f>'NME-1 Klorinasi Langsung'!C41</f>
        <v>0.0</v>
      </c>
      <c r="C24" s="215">
        <f>'NME-1 Klorinasi Langsung'!G41</f>
        <v>0.0</v>
      </c>
      <c r="D24" s="215">
        <f>'NME-1 Klorinasi Langsung'!K41</f>
        <v>0.0</v>
      </c>
      <c r="E24" s="215">
        <f>'NME-2 Oksiklorinasi'!C40</f>
        <v>0.0</v>
      </c>
      <c r="F24" s="215">
        <f>'NME-2 Oksiklorinasi'!K40</f>
        <v>0.0</v>
      </c>
      <c r="G24" s="215">
        <f>'NME-8 Kolom VCM'!G36</f>
        <v>0.0</v>
      </c>
      <c r="H24" s="215">
        <f>'NME-1 Klorinasi Langsung'!S41</f>
        <v>0.0</v>
      </c>
      <c r="I24" s="215">
        <f>'NME-3 Kondensasi-Dekantasi'!K37</f>
        <v>0.0</v>
      </c>
      <c r="J24" s="215">
        <f>'NME-3 Kondensasi-Dekantasi'!O37</f>
        <v>0.0</v>
      </c>
      <c r="K24" s="215">
        <f>'NME-4 Kolom Ringan'!K37</f>
        <v>0.0</v>
      </c>
      <c r="L24" s="215">
        <f>'NME-5 Kolom Berat'!K37</f>
        <v>393.10760637872266</v>
      </c>
    </row>
    <row r="25">
      <c r="A25" s="162" t="inlineStr">
        <is>
          <t>Sub Total</t>
        </is>
      </c>
      <c r="B25" s="227">
        <f>SUM(B4:B24)</f>
        <v>15377.131878577646</v>
      </c>
      <c r="C25" s="227">
        <f>SUM(C4:C24)</f>
        <v>6100.572183061604</v>
      </c>
      <c r="D25" s="227">
        <f>SUM(D4:D24)</f>
        <v>4.2858109726273375</v>
      </c>
      <c r="E25" s="227">
        <f>SUM(E4:E24)</f>
        <v>5703.097531887638</v>
      </c>
      <c r="F25" s="227">
        <f>SUM(F4:F24)</f>
        <v>22337.634459160297</v>
      </c>
      <c r="G25" s="227">
        <f>SUM(G4:G24)</f>
        <v>25252.525252524458</v>
      </c>
      <c r="H25" s="227">
        <f>SUM(H4:H24)</f>
        <v>97.39541330820659</v>
      </c>
      <c r="I25" s="227">
        <f>SUM(I4:I24)</f>
        <v>19487.072197175527</v>
      </c>
      <c r="J25" s="227">
        <f>SUM(J4:J24)</f>
        <v>3764.4817043717962</v>
      </c>
      <c r="K25" s="227">
        <f>SUM(K4:K24)</f>
        <v>481.3359166377536</v>
      </c>
      <c r="L25" s="227">
        <f>SUM(L4:L24)</f>
        <v>439.610991830358</v>
      </c>
    </row>
    <row r="26">
      <c r="A26" s="162" t="inlineStr">
        <is>
          <t>TOTAL MASSA</t>
        </is>
      </c>
      <c r="B26" s="227">
        <f>SUM(B25:F25)</f>
        <v>49522.72186365981</v>
      </c>
      <c r="C26" s="210" t="n"/>
      <c r="D26" s="210" t="n"/>
      <c r="E26" s="210" t="n"/>
      <c r="F26" s="211" t="n"/>
      <c r="G26" s="227">
        <f>SUM(G25:L25)</f>
        <v>49522.4214758481</v>
      </c>
      <c r="H26" s="210" t="n"/>
      <c r="I26" s="210" t="n"/>
      <c r="J26" s="210" t="n"/>
      <c r="K26" s="210" t="n"/>
      <c r="L26" s="211" t="n"/>
    </row>
    <row r="27">
      <c r="A27" s="162" t="inlineStr">
        <is>
          <t>Selisih (Masuk − Keluar), kg/h</t>
        </is>
      </c>
      <c r="B27" s="215">
        <f>B26-G26</f>
        <v>0.3003878117087879</v>
      </c>
      <c r="C27" s="210" t="n"/>
      <c r="D27" s="210" t="n"/>
      <c r="E27" s="210" t="n"/>
      <c r="F27" s="210" t="n"/>
      <c r="G27" s="210" t="n"/>
      <c r="H27" s="210" t="n"/>
      <c r="I27" s="210" t="n"/>
      <c r="J27" s="210" t="n"/>
      <c r="K27" s="210" t="n"/>
      <c r="L27" s="211" t="n"/>
    </row>
    <row r="29">
      <c r="A29" s="169" t="inlineStr">
        <is>
          <t>Konsumsi dan residu per ton VCM produk</t>
        </is>
      </c>
    </row>
    <row r="30">
      <c r="A30" s="162" t="inlineStr">
        <is>
          <t>Besaran</t>
        </is>
      </c>
      <c r="B30" s="162" t="inlineStr">
        <is>
          <t>kg/h</t>
        </is>
      </c>
      <c r="C30" s="162" t="inlineStr">
        <is>
          <t>t/t VCM</t>
        </is>
      </c>
      <c r="D30" s="162" t="inlineStr">
        <is>
          <t>Pembanding</t>
        </is>
      </c>
    </row>
    <row r="31">
      <c r="A31" s="163" t="inlineStr">
        <is>
          <t>Etilena total (R-01 + R-02)</t>
        </is>
      </c>
      <c r="B31" s="215">
        <f>C25+E25</f>
        <v>11803.669714949243</v>
      </c>
      <c r="C31" s="189">
        <f>B31/G25</f>
        <v>0.4674253207120047</v>
      </c>
      <c r="D31" s="163" t="inlineStr">
        <is>
          <t>Dimian Tabel 7.2: 0.462 t/t</t>
        </is>
      </c>
    </row>
    <row r="32">
      <c r="A32" s="163" t="inlineStr">
        <is>
          <t>Klorin</t>
        </is>
      </c>
      <c r="B32" s="215">
        <f>B25</f>
        <v>15377.131878577646</v>
      </c>
      <c r="C32" s="189">
        <f>B32/G25</f>
        <v>0.6089344223916939</v>
      </c>
      <c r="D32" s="163" t="inlineStr">
        <is>
          <t>Dimian Tabel 7.2: 0.578 sampai 0.585 t/t</t>
        </is>
      </c>
    </row>
    <row r="33">
      <c r="A33" s="163" t="inlineStr">
        <is>
          <t>Udara</t>
        </is>
      </c>
      <c r="B33" s="215">
        <f>F25</f>
        <v>22337.634459160297</v>
      </c>
      <c r="C33" s="189">
        <f>B33/G25</f>
        <v>0.8845703245827756</v>
      </c>
      <c r="D33" s="163" t="inlineStr"/>
    </row>
    <row r="34">
      <c r="A34" s="163" t="inlineStr">
        <is>
          <t>Make-up FeCl₃</t>
        </is>
      </c>
      <c r="B34" s="215">
        <f>D25</f>
        <v>4.2858109726273375</v>
      </c>
      <c r="C34" s="189">
        <f>B34/G25</f>
        <v>0.0001697181145160479</v>
      </c>
      <c r="D34" s="163" t="inlineStr"/>
    </row>
    <row r="35">
      <c r="A35" s="163" t="inlineStr">
        <is>
          <t>Fraksi ringan Blok 4</t>
        </is>
      </c>
      <c r="B35" s="215">
        <f>K25</f>
        <v>481.3359166377536</v>
      </c>
      <c r="C35" s="189">
        <f>B35/G25</f>
        <v>0.019060902298855643</v>
      </c>
      <c r="D35" s="163" t="inlineStr">
        <is>
          <t>BREF: contoh 6 kg/t</t>
        </is>
      </c>
    </row>
    <row r="36">
      <c r="A36" s="163" t="inlineStr">
        <is>
          <t>Fraksi berat Blok 5</t>
        </is>
      </c>
      <c r="B36" s="215">
        <f>L25</f>
        <v>439.610991830358</v>
      </c>
      <c r="C36" s="189">
        <f>B36/G25</f>
        <v>0.017408595276482725</v>
      </c>
      <c r="D36" s="163" t="inlineStr">
        <is>
          <t>BREF: contoh sekitar 18 kg/t</t>
        </is>
      </c>
    </row>
    <row r="38">
      <c r="A38" s="169" t="inlineStr">
        <is>
          <t>Cek neraca tiap blok (kg/h)</t>
        </is>
      </c>
    </row>
    <row r="39">
      <c r="A39" s="162" t="inlineStr">
        <is>
          <t>Blok</t>
        </is>
      </c>
      <c r="B39" s="162" t="inlineStr">
        <is>
          <t>Massa masuk</t>
        </is>
      </c>
      <c r="C39" s="162" t="inlineStr">
        <is>
          <t>Massa keluar</t>
        </is>
      </c>
      <c r="D39" s="162" t="inlineStr">
        <is>
          <t>Selisih relatif</t>
        </is>
      </c>
    </row>
    <row r="40">
      <c r="A40" s="163" t="inlineStr">
        <is>
          <t>NME-1 Klorinasi Langsung</t>
        </is>
      </c>
      <c r="B40" s="215">
        <f>'NME-1 Klorinasi Langsung'!$B$43</f>
        <v>21481.989872611874</v>
      </c>
      <c r="C40" s="215">
        <f>'NME-1 Klorinasi Langsung'!$N$43</f>
        <v>21481.98987261204</v>
      </c>
      <c r="D40" s="196">
        <f>(B40-C40)/B40</f>
        <v>-7.790108184511122e-15</v>
      </c>
    </row>
    <row r="41">
      <c r="A41" s="163" t="inlineStr">
        <is>
          <t>NME-2 Oksiklorinasi</t>
        </is>
      </c>
      <c r="B41" s="215">
        <f>'NME-2 Oksiklorinasi'!$B$42</f>
        <v>43083.36682108486</v>
      </c>
      <c r="C41" s="215">
        <f>'NME-2 Oksiklorinasi'!$N$42</f>
        <v>43083.06643327203</v>
      </c>
      <c r="D41" s="196">
        <f>(B41-C41)/B41</f>
        <v>6.9722455553839525e-06</v>
      </c>
    </row>
    <row r="42">
      <c r="A42" s="163" t="inlineStr">
        <is>
          <t>NME-3 Kondensasi-Dekantasi</t>
        </is>
      </c>
      <c r="B42" s="215">
        <f>'NME-3 Kondensasi-Dekantasi'!$B$39</f>
        <v>64467.66089257586</v>
      </c>
      <c r="C42" s="215">
        <f>'NME-3 Kondensasi-Dekantasi'!$J$39</f>
        <v>64467.66089257604</v>
      </c>
      <c r="D42" s="196">
        <f>(B42-C42)/B42</f>
        <v>-2.7086911534045115e-15</v>
      </c>
    </row>
    <row r="43">
      <c r="A43" s="163" t="inlineStr">
        <is>
          <t>NME-4 Kolom Ringan</t>
        </is>
      </c>
      <c r="B43" s="215">
        <f>'NME-4 Kolom Ringan'!$B$39</f>
        <v>75174.6619152349</v>
      </c>
      <c r="C43" s="215">
        <f>'NME-4 Kolom Ringan'!$J$39</f>
        <v>75174.66191523585</v>
      </c>
      <c r="D43" s="196">
        <f>(B43-C43)/B43</f>
        <v>-1.2582357748550837e-14</v>
      </c>
    </row>
    <row r="44">
      <c r="A44" s="163" t="inlineStr">
        <is>
          <t>NME-5 Kolom Berat</t>
        </is>
      </c>
      <c r="B44" s="215">
        <f>'NME-5 Kolom Berat'!$B$39</f>
        <v>74693.32599859714</v>
      </c>
      <c r="C44" s="215">
        <f>'NME-5 Kolom Berat'!$F$39</f>
        <v>74693.32599859714</v>
      </c>
      <c r="D44" s="196">
        <f>(B44-C44)/B44</f>
        <v>0.0</v>
      </c>
    </row>
    <row r="45">
      <c r="A45" s="163" t="inlineStr">
        <is>
          <t>NME-6 Pirolisis</t>
        </is>
      </c>
      <c r="B45" s="215">
        <f>'NME-6 Pirolisis'!$B$37</f>
        <v>74253.71500676678</v>
      </c>
      <c r="C45" s="215">
        <f>'NME-6 Pirolisis'!$F$37</f>
        <v>74253.71500676678</v>
      </c>
      <c r="D45" s="196">
        <f>(B45-C45)/B45</f>
        <v>0.0</v>
      </c>
    </row>
    <row r="46">
      <c r="A46" s="163" t="inlineStr">
        <is>
          <t>NME-7 Kolom HCl</t>
        </is>
      </c>
      <c r="B46" s="215">
        <f>'NME-7 Kolom HCl'!$B$37</f>
        <v>74253.71500676678</v>
      </c>
      <c r="C46" s="215">
        <f>'NME-7 Kolom HCl'!$F$37</f>
        <v>74253.7150067668</v>
      </c>
      <c r="D46" s="196">
        <f>(B46-C46)/B46</f>
        <v>-1.9597558488542598e-16</v>
      </c>
    </row>
    <row r="47">
      <c r="A47" s="163" t="inlineStr">
        <is>
          <t>NME-8 Kolom VCM</t>
        </is>
      </c>
      <c r="B47" s="215">
        <f>'NME-8 Kolom VCM'!$B$38</f>
        <v>59211.08017673006</v>
      </c>
      <c r="C47" s="215">
        <f>'NME-8 Kolom VCM'!$F$38</f>
        <v>59211.0801767308</v>
      </c>
      <c r="D47" s="196">
        <f>(B47-C47)/B47</f>
        <v>-1.2533932406427763e-14</v>
      </c>
    </row>
    <row r="49" ht="48" customHeight="1">
      <c r="A49" s="175" t="inlineStr">
        <is>
          <t>Aliran daur ulang ditaut langsung antar sheet NM (NME-5 ke NME-6, NME-7 ke NME-2, NME-8 ke NME-4) dan basis etilena dikoreksi sampai VCM produk = target, sehingga workbook memakai iterative calculation (File &gt; Options &gt; Formulas &gt; Enable iterative calculation).</t>
        </is>
      </c>
    </row>
    <row r="52">
      <c r="A52" s="169" t="inlineStr">
        <is>
          <t>Ringkasan Neraca Energi Pabrik (Q positif = panas masuk ke proses; W positif = kerja masuk)</t>
        </is>
      </c>
    </row>
    <row r="53">
      <c r="A53" s="162" t="inlineStr">
        <is>
          <t>Sheet</t>
        </is>
      </c>
      <c r="B53" s="162" t="inlineStr">
        <is>
          <t>Alat</t>
        </is>
      </c>
      <c r="C53" s="162" t="inlineStr">
        <is>
          <t>Fungsi</t>
        </is>
      </c>
      <c r="D53" s="162" t="inlineStr">
        <is>
          <t>Besaran</t>
        </is>
      </c>
      <c r="E53" s="162" t="inlineStr">
        <is>
          <t>kJ/h</t>
        </is>
      </c>
      <c r="F53" s="162" t="inlineStr">
        <is>
          <t>kW</t>
        </is>
      </c>
    </row>
    <row r="54">
      <c r="A54" s="163" t="inlineStr">
        <is>
          <t>NME-1 Klorinasi Langsung</t>
        </is>
      </c>
      <c r="B54" s="172" t="inlineStr">
        <is>
          <t>E-101</t>
        </is>
      </c>
      <c r="C54" s="171" t="inlineStr">
        <is>
          <t>Vaporizer Cl₂</t>
        </is>
      </c>
      <c r="D54" s="172" t="inlineStr">
        <is>
          <t>Q</t>
        </is>
      </c>
      <c r="E54" s="217">
        <f>'NME-1 Klorinasi Langsung'!$B$105</f>
        <v>3311238.7086937195</v>
      </c>
      <c r="F54" s="217">
        <f>E54/3600</f>
        <v>919.7885301926999</v>
      </c>
    </row>
    <row r="55">
      <c r="A55" s="163" t="inlineStr">
        <is>
          <t>NME-1 Klorinasi Langsung</t>
        </is>
      </c>
      <c r="B55" s="172" t="inlineStr">
        <is>
          <t>E-102</t>
        </is>
      </c>
      <c r="C55" s="171" t="inlineStr">
        <is>
          <t>Pemanas etilena setelah ekspansi</t>
        </is>
      </c>
      <c r="D55" s="172" t="inlineStr">
        <is>
          <t>Q</t>
        </is>
      </c>
      <c r="E55" s="217">
        <f>'NME-1 Klorinasi Langsung'!$B$183</f>
        <v>571211.8884337856</v>
      </c>
      <c r="F55" s="217">
        <f>E55/3600</f>
        <v>158.66996900938491</v>
      </c>
    </row>
    <row r="56">
      <c r="A56" s="163" t="inlineStr">
        <is>
          <t>NME-1 Klorinasi Langsung</t>
        </is>
      </c>
      <c r="B56" s="172" t="inlineStr">
        <is>
          <t>R-01 + E-103</t>
        </is>
      </c>
      <c r="C56" s="171" t="inlineStr">
        <is>
          <t>Reaktor klorinasi langsung dan kondensor vent</t>
        </is>
      </c>
      <c r="D56" s="172" t="inlineStr">
        <is>
          <t>Q</t>
        </is>
      </c>
      <c r="E56" s="217">
        <f>'NME-1 Klorinasi Langsung'!$B$253</f>
        <v>-46135889.7365636</v>
      </c>
      <c r="F56" s="217">
        <f>E56/3600</f>
        <v>-12815.524926823222</v>
      </c>
    </row>
    <row r="57">
      <c r="A57" s="163" t="inlineStr">
        <is>
          <t>NME-2 Oksiklorinasi</t>
        </is>
      </c>
      <c r="B57" s="172" t="inlineStr">
        <is>
          <t>K-101</t>
        </is>
      </c>
      <c r="C57" s="171" t="inlineStr">
        <is>
          <t>Kompresor udara</t>
        </is>
      </c>
      <c r="D57" s="172" t="inlineStr">
        <is>
          <t>W</t>
        </is>
      </c>
      <c r="E57" s="217">
        <f>'NME-2 Oksiklorinasi'!$B$63</f>
        <v>5542024.277685499</v>
      </c>
      <c r="F57" s="217">
        <f>E57/3600</f>
        <v>1539.451188245972</v>
      </c>
    </row>
    <row r="58">
      <c r="A58" s="163" t="inlineStr">
        <is>
          <t>NME-2 Oksiklorinasi</t>
        </is>
      </c>
      <c r="B58" s="172" t="inlineStr">
        <is>
          <t>E-109</t>
        </is>
      </c>
      <c r="C58" s="171" t="inlineStr">
        <is>
          <t>Vaporizer HCl</t>
        </is>
      </c>
      <c r="D58" s="172" t="inlineStr">
        <is>
          <t>Q</t>
        </is>
      </c>
      <c r="E58" s="217">
        <f>'NME-2 Oksiklorinasi'!$B$113</f>
        <v>3624262.2388927294</v>
      </c>
      <c r="F58" s="217">
        <f>E58/3600</f>
        <v>1006.739510803536</v>
      </c>
    </row>
    <row r="59">
      <c r="A59" s="163" t="inlineStr">
        <is>
          <t>NME-2 Oksiklorinasi</t>
        </is>
      </c>
      <c r="B59" s="172" t="inlineStr">
        <is>
          <t>R-02</t>
        </is>
      </c>
      <c r="C59" s="171" t="inlineStr">
        <is>
          <t>Reaktor oksiklorinasi</t>
        </is>
      </c>
      <c r="D59" s="172" t="inlineStr">
        <is>
          <t>Q</t>
        </is>
      </c>
      <c r="E59" s="217">
        <f>'NME-2 Oksiklorinasi'!$B$148</f>
        <v>-45155931.42446389</v>
      </c>
      <c r="F59" s="217">
        <f>E59/3600</f>
        <v>-12543.314284573304</v>
      </c>
    </row>
    <row r="60">
      <c r="A60" s="163" t="inlineStr">
        <is>
          <t>NME-3 Kondensasi-Dekantasi</t>
        </is>
      </c>
      <c r="B60" s="172" t="inlineStr">
        <is>
          <t>P-101</t>
        </is>
      </c>
      <c r="C60" s="171" t="inlineStr">
        <is>
          <t>Pompa EDC dari R-01</t>
        </is>
      </c>
      <c r="D60" s="172" t="inlineStr">
        <is>
          <t>W</t>
        </is>
      </c>
      <c r="E60" s="217">
        <f>'NME-3 Kondensasi-Dekantasi'!$B$63</f>
        <v>10476.142023607968</v>
      </c>
      <c r="F60" s="217">
        <f>E60/3600</f>
        <v>2.9100394510022136</v>
      </c>
    </row>
    <row r="61">
      <c r="A61" s="163" t="inlineStr">
        <is>
          <t>NME-3 Kondensasi-Dekantasi</t>
        </is>
      </c>
      <c r="B61" s="172" t="inlineStr">
        <is>
          <t>Blok 3</t>
        </is>
      </c>
      <c r="C61" s="171" t="inlineStr">
        <is>
          <t>Q-201, E-104, M-101, D-101, E-105, P-105 (satu volume kontrol)</t>
        </is>
      </c>
      <c r="D61" s="172" t="inlineStr">
        <is>
          <t>Q</t>
        </is>
      </c>
      <c r="E61" s="217">
        <f>'NME-3 Kondensasi-Dekantasi'!$B$104</f>
        <v>-26576982.85711393</v>
      </c>
      <c r="F61" s="217">
        <f>E61/3600</f>
        <v>-7382.495238087203</v>
      </c>
    </row>
    <row r="62">
      <c r="A62" s="163" t="inlineStr">
        <is>
          <t>NME-4 Kolom Ringan</t>
        </is>
      </c>
      <c r="B62" s="172" t="inlineStr">
        <is>
          <t>E-106</t>
        </is>
      </c>
      <c r="C62" s="171" t="inlineStr">
        <is>
          <t>Pemanas umpan kolom ringan</t>
        </is>
      </c>
      <c r="D62" s="172" t="inlineStr">
        <is>
          <t>Q</t>
        </is>
      </c>
      <c r="E62" s="217">
        <f>'NME-4 Kolom Ringan'!$B$91</f>
        <v>2716366.2019093283</v>
      </c>
      <c r="F62" s="217">
        <f>E62/3600</f>
        <v>754.5461671970356</v>
      </c>
    </row>
    <row r="63">
      <c r="A63" s="163" t="inlineStr">
        <is>
          <t>NME-4 Kolom Ringan</t>
        </is>
      </c>
      <c r="B63" s="172" t="inlineStr">
        <is>
          <t>E-111</t>
        </is>
      </c>
      <c r="C63" s="171" t="inlineStr">
        <is>
          <t>Pendingin EDC daur ulang</t>
        </is>
      </c>
      <c r="D63" s="172" t="inlineStr">
        <is>
          <t>Q</t>
        </is>
      </c>
      <c r="E63" s="217">
        <f>'NME-4 Kolom Ringan'!$B$117</f>
        <v>-3429168.7224488375</v>
      </c>
      <c r="F63" s="217">
        <f>E63/3600</f>
        <v>-952.5468673468993</v>
      </c>
    </row>
    <row r="64">
      <c r="A64" s="163" t="inlineStr">
        <is>
          <t>NME-4 Kolom Ringan</t>
        </is>
      </c>
      <c r="B64" s="172" t="inlineStr">
        <is>
          <t>KD-101</t>
        </is>
      </c>
      <c r="C64" s="171" t="inlineStr">
        <is>
          <t>Kolom ringan (kondensor dan reboiler)</t>
        </is>
      </c>
      <c r="D64" s="172" t="inlineStr">
        <is>
          <t>Q kondensor</t>
        </is>
      </c>
      <c r="E64" s="217">
        <f>'NME-4 Kolom Ringan'!$B$179</f>
        <v>-14246405.612550985</v>
      </c>
      <c r="F64" s="217">
        <f>E64/3600</f>
        <v>-3957.3348923752737</v>
      </c>
    </row>
    <row r="65">
      <c r="A65" s="163" t="inlineStr">
        <is>
          <t>NME-4 Kolom Ringan</t>
        </is>
      </c>
      <c r="B65" s="172" t="inlineStr">
        <is>
          <t>KD-101</t>
        </is>
      </c>
      <c r="C65" s="171" t="inlineStr">
        <is>
          <t>Kolom ringan (kondensor dan reboiler)</t>
        </is>
      </c>
      <c r="D65" s="172" t="inlineStr">
        <is>
          <t>Q reboiler</t>
        </is>
      </c>
      <c r="E65" s="217">
        <f>'NME-4 Kolom Ringan'!$B$180</f>
        <v>14550687.15936246</v>
      </c>
      <c r="F65" s="217">
        <f>E65/3600</f>
        <v>4041.85754426735</v>
      </c>
    </row>
    <row r="66">
      <c r="A66" s="163" t="inlineStr">
        <is>
          <t>NME-5 Kolom Berat</t>
        </is>
      </c>
      <c r="B66" s="172" t="inlineStr">
        <is>
          <t>P-103</t>
        </is>
      </c>
      <c r="C66" s="171" t="inlineStr">
        <is>
          <t>Pompa umpan kolom berat</t>
        </is>
      </c>
      <c r="D66" s="172" t="inlineStr">
        <is>
          <t>W</t>
        </is>
      </c>
      <c r="E66" s="217">
        <f>'NME-5 Kolom Berat'!$B$63</f>
        <v>14951.668750638186</v>
      </c>
      <c r="F66" s="217">
        <f>E66/3600</f>
        <v>4.153241319621718</v>
      </c>
    </row>
    <row r="67">
      <c r="A67" s="163" t="inlineStr">
        <is>
          <t>NME-5 Kolom Berat</t>
        </is>
      </c>
      <c r="B67" s="172" t="inlineStr">
        <is>
          <t>KD-102</t>
        </is>
      </c>
      <c r="C67" s="171" t="inlineStr">
        <is>
          <t>Kolom berat (kondensor dan reboiler)</t>
        </is>
      </c>
      <c r="D67" s="172" t="inlineStr">
        <is>
          <t>Q kondensor</t>
        </is>
      </c>
      <c r="E67" s="217">
        <f>'NME-5 Kolom Berat'!$B$89</f>
        <v>-45313162.63915342</v>
      </c>
      <c r="F67" s="217">
        <f>E67/3600</f>
        <v>-12586.98962198706</v>
      </c>
    </row>
    <row r="68">
      <c r="A68" s="163" t="inlineStr">
        <is>
          <t>NME-5 Kolom Berat</t>
        </is>
      </c>
      <c r="B68" s="172" t="inlineStr">
        <is>
          <t>KD-102</t>
        </is>
      </c>
      <c r="C68" s="171" t="inlineStr">
        <is>
          <t>Kolom berat (kondensor dan reboiler)</t>
        </is>
      </c>
      <c r="D68" s="172" t="inlineStr">
        <is>
          <t>Q reboiler</t>
        </is>
      </c>
      <c r="E68" s="217">
        <f>'NME-5 Kolom Berat'!$B$90</f>
        <v>48997009.0296514</v>
      </c>
      <c r="F68" s="217">
        <f>E68/3600</f>
        <v>13610.280286014278</v>
      </c>
    </row>
    <row r="69">
      <c r="A69" s="163" t="inlineStr">
        <is>
          <t>NME-6 Pirolisis</t>
        </is>
      </c>
      <c r="B69" s="172" t="inlineStr">
        <is>
          <t>P-104</t>
        </is>
      </c>
      <c r="C69" s="171" t="inlineStr">
        <is>
          <t>Pompa umpan furnace</t>
        </is>
      </c>
      <c r="D69" s="172" t="inlineStr">
        <is>
          <t>W</t>
        </is>
      </c>
      <c r="E69" s="217">
        <f>'NME-6 Pirolisis'!$B$59</f>
        <v>130578.15462055644</v>
      </c>
      <c r="F69" s="217">
        <f>E69/3600</f>
        <v>36.271709616821234</v>
      </c>
    </row>
    <row r="70">
      <c r="A70" s="163" t="inlineStr">
        <is>
          <t>NME-6 Pirolisis</t>
        </is>
      </c>
      <c r="B70" s="172" t="inlineStr">
        <is>
          <t>E-107</t>
        </is>
      </c>
      <c r="C70" s="171" t="inlineStr">
        <is>
          <t>Economizer umpan furnace</t>
        </is>
      </c>
      <c r="D70" s="172" t="inlineStr">
        <is>
          <t>Q</t>
        </is>
      </c>
      <c r="E70" s="217">
        <f>'NME-6 Pirolisis'!$B$84</f>
        <v>8255002.481669627</v>
      </c>
      <c r="F70" s="217">
        <f>E70/3600</f>
        <v>2293.05624490823</v>
      </c>
    </row>
    <row r="71">
      <c r="A71" s="163" t="inlineStr">
        <is>
          <t>NME-6 Pirolisis</t>
        </is>
      </c>
      <c r="B71" s="172" t="inlineStr">
        <is>
          <t>F-101</t>
        </is>
      </c>
      <c r="C71" s="171" t="inlineStr">
        <is>
          <t>Furnace pirolisis (penguapan, pemanasan, reaksi)</t>
        </is>
      </c>
      <c r="D71" s="172" t="inlineStr">
        <is>
          <t>Q</t>
        </is>
      </c>
      <c r="E71" s="217">
        <f>'NME-6 Pirolisis'!$B$115</f>
        <v>72254315.79948175</v>
      </c>
      <c r="F71" s="217">
        <f>E71/3600</f>
        <v>20070.64327763382</v>
      </c>
    </row>
    <row r="72">
      <c r="A72" s="163" t="inlineStr">
        <is>
          <t>NME-6 Pirolisis</t>
        </is>
      </c>
      <c r="B72" s="172" t="inlineStr">
        <is>
          <t>Q-101</t>
        </is>
      </c>
      <c r="C72" s="171" t="inlineStr">
        <is>
          <t>Quench gas pirolisis</t>
        </is>
      </c>
      <c r="D72" s="172" t="inlineStr">
        <is>
          <t>Q</t>
        </is>
      </c>
      <c r="E72" s="217">
        <f>'NME-6 Pirolisis'!$B$143</f>
        <v>-35694724.499011144</v>
      </c>
      <c r="F72" s="217">
        <f>E72/3600</f>
        <v>-9915.201249725318</v>
      </c>
    </row>
    <row r="73">
      <c r="A73" s="163" t="inlineStr">
        <is>
          <t>NME-7 Kolom HCl</t>
        </is>
      </c>
      <c r="B73" s="172" t="inlineStr">
        <is>
          <t>E-108</t>
        </is>
      </c>
      <c r="C73" s="171" t="inlineStr">
        <is>
          <t>Pendingin umpan kolom HCl</t>
        </is>
      </c>
      <c r="D73" s="172" t="inlineStr">
        <is>
          <t>Q</t>
        </is>
      </c>
      <c r="E73" s="217">
        <f>'NME-7 Kolom HCl'!$B$68</f>
        <v>-25608297.703842286</v>
      </c>
      <c r="F73" s="217">
        <f>E73/3600</f>
        <v>-7113.416028845079</v>
      </c>
    </row>
    <row r="74">
      <c r="A74" s="163" t="inlineStr">
        <is>
          <t>NME-7 Kolom HCl</t>
        </is>
      </c>
      <c r="B74" s="172" t="inlineStr">
        <is>
          <t>KD-103</t>
        </is>
      </c>
      <c r="C74" s="171" t="inlineStr">
        <is>
          <t>Kolom HCl (kondensor dan reboiler)</t>
        </is>
      </c>
      <c r="D74" s="172" t="inlineStr">
        <is>
          <t>Q kondensor</t>
        </is>
      </c>
      <c r="E74" s="217">
        <f>'NME-7 Kolom HCl'!$B$97</f>
        <v>-5433543.00446155</v>
      </c>
      <c r="F74" s="217">
        <f>E74/3600</f>
        <v>-1509.3175012393194</v>
      </c>
    </row>
    <row r="75">
      <c r="A75" s="163" t="inlineStr">
        <is>
          <t>NME-7 Kolom HCl</t>
        </is>
      </c>
      <c r="B75" s="172" t="inlineStr">
        <is>
          <t>KD-103</t>
        </is>
      </c>
      <c r="C75" s="171" t="inlineStr">
        <is>
          <t>Kolom HCl (kondensor dan reboiler)</t>
        </is>
      </c>
      <c r="D75" s="172" t="inlineStr">
        <is>
          <t>Q reboiler</t>
        </is>
      </c>
      <c r="E75" s="217">
        <f>'NME-7 Kolom HCl'!$B$98</f>
        <v>7571458.76717091</v>
      </c>
      <c r="F75" s="217">
        <f>E75/3600</f>
        <v>2103.182990880808</v>
      </c>
    </row>
    <row r="76">
      <c r="A76" s="163" t="inlineStr">
        <is>
          <t>NME-8 Kolom VCM</t>
        </is>
      </c>
      <c r="B76" s="172" t="inlineStr">
        <is>
          <t>KD-104</t>
        </is>
      </c>
      <c r="C76" s="171" t="inlineStr">
        <is>
          <t>Kolom VCM (kondensor dan reboiler)</t>
        </is>
      </c>
      <c r="D76" s="172" t="inlineStr">
        <is>
          <t>Q kondensor</t>
        </is>
      </c>
      <c r="E76" s="217">
        <f>'NME-8 Kolom VCM'!$B$89</f>
        <v>-10041085.266337903</v>
      </c>
      <c r="F76" s="217">
        <f>E76/3600</f>
        <v>-2789.1903517605288</v>
      </c>
    </row>
    <row r="77">
      <c r="A77" s="163" t="inlineStr">
        <is>
          <t>NME-8 Kolom VCM</t>
        </is>
      </c>
      <c r="B77" s="172" t="inlineStr">
        <is>
          <t>KD-104</t>
        </is>
      </c>
      <c r="C77" s="171" t="inlineStr">
        <is>
          <t>Kolom VCM (kondensor dan reboiler)</t>
        </is>
      </c>
      <c r="D77" s="172" t="inlineStr">
        <is>
          <t>Q reboiler</t>
        </is>
      </c>
      <c r="E77" s="217">
        <f>'NME-8 Kolom VCM'!$B$90</f>
        <v>11929341.402578887</v>
      </c>
      <c r="F77" s="217">
        <f>E77/3600</f>
        <v>3313.705945160802</v>
      </c>
    </row>
    <row r="78">
      <c r="A78" s="163" t="inlineStr">
        <is>
          <t>NME-8 Kolom VCM</t>
        </is>
      </c>
      <c r="B78" s="172" t="inlineStr">
        <is>
          <t>E-110</t>
        </is>
      </c>
      <c r="C78" s="171" t="inlineStr">
        <is>
          <t>Pendingin VCM produk</t>
        </is>
      </c>
      <c r="D78" s="172" t="inlineStr">
        <is>
          <t>Q</t>
        </is>
      </c>
      <c r="E78" s="217">
        <f>'NME-8 Kolom VCM'!$B$115</f>
        <v>-247697.6472243974</v>
      </c>
      <c r="F78" s="217">
        <f>E78/3600</f>
        <v>-68.80490200677706</v>
      </c>
    </row>
    <row r="79">
      <c r="A79" s="200" t="inlineStr">
        <is>
          <t>Total panas ditambahkan (Q &gt; 0)</t>
        </is>
      </c>
      <c r="E79" s="218">
        <f>MAX(0,E54)+MAX(0,E55)+MAX(0,E56)+MAX(0,E58)+MAX(0,E59)+MAX(0,E61)+MAX(0,E62)+MAX(0,E63)+MAX(0,E64)+MAX(0,E65)+MAX(0,E67)+MAX(0,E68)+MAX(0,E70)+MAX(0,E71)+MAX(0,E72)+MAX(0,E73)+MAX(0,E74)+MAX(0,E75)+MAX(0,E76)+MAX(0,E77)+MAX(0,E78)</f>
        <v>173780893.6778446</v>
      </c>
      <c r="F79" s="218">
        <f>E79/3600</f>
        <v>48272.47046606795</v>
      </c>
    </row>
    <row r="80">
      <c r="A80" s="200" t="inlineStr">
        <is>
          <t>Total panas dibuang (Q &lt; 0)</t>
        </is>
      </c>
      <c r="E80" s="218">
        <f>MIN(0,E54)+MIN(0,E55)+MIN(0,E56)+MIN(0,E58)+MIN(0,E59)+MIN(0,E61)+MIN(0,E62)+MIN(0,E63)+MIN(0,E64)+MIN(0,E65)+MIN(0,E67)+MIN(0,E68)+MIN(0,E70)+MIN(0,E71)+MIN(0,E72)+MIN(0,E73)+MIN(0,E74)+MIN(0,E75)+MIN(0,E76)+MIN(0,E77)+MIN(0,E78)</f>
        <v>-257882889.11317196</v>
      </c>
      <c r="F80" s="218">
        <f>E80/3600</f>
        <v>-71634.13586477</v>
      </c>
    </row>
    <row r="81">
      <c r="A81" s="200" t="inlineStr">
        <is>
          <t>Total kerja (W)</t>
        </is>
      </c>
      <c r="E81" s="218">
        <f>E57+E60+E66+E69</f>
        <v>5698030.243080301</v>
      </c>
      <c r="F81" s="218">
        <f>E81/3600</f>
        <v>1582.786178633417</v>
      </c>
    </row>
    <row r="82">
      <c r="A82" s="200" t="inlineStr">
        <is>
          <t>Total heat of reaction / heat of mixing (Σξ·ΔH°r)</t>
        </is>
      </c>
      <c r="E82" s="218">
        <f>'NME-1 Klorinasi Langsung'!$H$252+'NME-2 Oksiklorinasi'!$H$147+'NME-3 Kondensasi-Dekantasi'!$F$103+'NME-6 Pirolisis'!$D$114</f>
        <v>-70399090.73853698</v>
      </c>
      <c r="F82" s="218">
        <f>E82/3600</f>
        <v>-19555.30298292694</v>
      </c>
    </row>
    <row r="84">
      <c r="A84" s="169" t="inlineStr">
        <is>
          <t>Cek neraca energi pabrik</t>
        </is>
      </c>
    </row>
    <row r="85">
      <c r="A85" s="163" t="inlineStr">
        <is>
          <t>Ḣ umpan: aliran 1, 4, 10, 16 (kJ/h)</t>
        </is>
      </c>
      <c r="E85" s="217">
        <f>'NME-1 Klorinasi Langsung'!$B$68+'NME-1 Klorinasi Langsung'!$B$129+'NME-1 Klorinasi Langsung'!$F$251+'NME-2 Oksiklorinasi'!$B$60</f>
        <v>-383638.711895754</v>
      </c>
    </row>
    <row r="86">
      <c r="A86" s="163" t="inlineStr">
        <is>
          <t>Ḣ keluar: aliran 13, 25, 28, 32, 35, 48 (kJ/h)</t>
        </is>
      </c>
      <c r="E86" s="217">
        <f>'NME-1 Klorinasi Langsung'!$H$251+'NME-3 Kondensasi-Dekantasi'!$F$102+'NME-3 Kondensasi-Dekantasi'!$H$102+'NME-4 Kolom Ringan'!$F$177+'NME-5 Kolom Berat'!$D$87+'NME-8 Kolom VCM'!$D$113</f>
        <v>-8388513.165605788</v>
      </c>
    </row>
    <row r="87">
      <c r="A87" s="163" t="inlineStr">
        <is>
          <t>ΣQ + ΣW (kJ/h)</t>
        </is>
      </c>
      <c r="E87" s="217">
        <f>E79+E80+E81</f>
        <v>-78403965.19224705</v>
      </c>
    </row>
    <row r="88">
      <c r="A88" s="200" t="inlineStr">
        <is>
          <t>Selisih: Ḣ umpan + ΣQ + ΣW − Ḣ keluar − Σξ·ΔH°r (kJ/h)</t>
        </is>
      </c>
      <c r="E88" s="218">
        <f>E85+E87-E86-E82</f>
        <v>-2.9802322387695312e-08</v>
      </c>
    </row>
    <row r="89">
      <c r="A89" s="163" t="inlineStr">
        <is>
          <t>Selisih relatif terhadap Ḣ umpan + ΣQ&gt;0</t>
        </is>
      </c>
      <c r="E89" s="196">
        <f>E88/(ABS(E85)+E79)</f>
        <v>-1.7111590964459132e-16</v>
      </c>
    </row>
  </sheetData>
  <mergeCells count="6">
    <mergeCell ref="G2:L2"/>
    <mergeCell ref="B2:F2"/>
    <mergeCell ref="A49:H49"/>
    <mergeCell ref="G26:L26"/>
    <mergeCell ref="B26:F26"/>
    <mergeCell ref="B27:L2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Z36"/>
  <sheetViews>
    <sheetView tabSelected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</cols>
  <sheetData>
    <row r="1">
      <c r="A1" s="123" t="inlineStr">
        <is>
          <t>Tabel Aliran Massa (kg/h) sesuai Diagram Alir PFD-VCM-001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  <c r="AH1" s="176" t="n"/>
      <c r="AI1" s="176" t="n"/>
      <c r="AJ1" s="176" t="n"/>
      <c r="AK1" s="176" t="n"/>
      <c r="AL1" s="176" t="n"/>
      <c r="AM1" s="176" t="n"/>
      <c r="AN1" s="176" t="n"/>
      <c r="AO1" s="176" t="n"/>
      <c r="AP1" s="176" t="n"/>
      <c r="AQ1" s="176" t="n"/>
      <c r="AR1" s="176" t="n"/>
      <c r="AS1" s="176" t="n"/>
      <c r="AT1" s="176" t="n"/>
      <c r="AU1" s="176" t="n"/>
      <c r="AV1" s="176" t="n"/>
      <c r="AW1" s="176" t="n"/>
      <c r="AX1" s="176" t="n"/>
      <c r="AY1" s="176" t="n"/>
      <c r="AZ1" s="177" t="n"/>
    </row>
    <row r="2">
      <c r="A2" s="123" t="inlineStr">
        <is>
          <t>No. aliran</t>
        </is>
      </c>
      <c r="B2" s="123" t="n">
        <v>1</v>
      </c>
      <c r="C2" s="123" t="n">
        <v>2</v>
      </c>
      <c r="D2" s="123" t="n">
        <v>3</v>
      </c>
      <c r="E2" s="123" t="n">
        <v>4</v>
      </c>
      <c r="F2" s="123" t="n">
        <v>5</v>
      </c>
      <c r="G2" s="123" t="n">
        <v>6</v>
      </c>
      <c r="H2" s="123" t="n">
        <v>7</v>
      </c>
      <c r="I2" s="123" t="n">
        <v>8</v>
      </c>
      <c r="J2" s="123" t="n">
        <v>9</v>
      </c>
      <c r="K2" s="123" t="n">
        <v>10</v>
      </c>
      <c r="L2" s="123" t="n">
        <v>11</v>
      </c>
      <c r="M2" s="123" t="n">
        <v>12</v>
      </c>
      <c r="N2" s="123" t="n">
        <v>13</v>
      </c>
      <c r="O2" s="123" t="n">
        <v>14</v>
      </c>
      <c r="P2" s="123" t="n">
        <v>15</v>
      </c>
      <c r="Q2" s="123" t="n">
        <v>16</v>
      </c>
      <c r="R2" s="123" t="n">
        <v>17</v>
      </c>
      <c r="S2" s="123" t="n">
        <v>18</v>
      </c>
      <c r="T2" s="123" t="n">
        <v>19</v>
      </c>
      <c r="U2" s="123" t="n">
        <v>20</v>
      </c>
      <c r="V2" s="123" t="n">
        <v>21</v>
      </c>
      <c r="W2" s="123" t="n">
        <v>22</v>
      </c>
      <c r="X2" s="123" t="n">
        <v>23</v>
      </c>
      <c r="Y2" s="123" t="n">
        <v>24</v>
      </c>
      <c r="Z2" s="123" t="n">
        <v>25</v>
      </c>
      <c r="AA2" s="123" t="n">
        <v>26</v>
      </c>
      <c r="AB2" s="123" t="n">
        <v>27</v>
      </c>
      <c r="AC2" s="123" t="n">
        <v>28</v>
      </c>
      <c r="AD2" s="123" t="n">
        <v>29</v>
      </c>
      <c r="AE2" s="123" t="n">
        <v>30</v>
      </c>
      <c r="AF2" s="123" t="n">
        <v>31</v>
      </c>
      <c r="AG2" s="123" t="n">
        <v>32</v>
      </c>
      <c r="AH2" s="123" t="n">
        <v>33</v>
      </c>
      <c r="AI2" s="123" t="n">
        <v>34</v>
      </c>
      <c r="AJ2" s="123" t="n">
        <v>35</v>
      </c>
      <c r="AK2" s="123" t="n">
        <v>36</v>
      </c>
      <c r="AL2" s="123" t="n">
        <v>37</v>
      </c>
      <c r="AM2" s="123" t="n">
        <v>38</v>
      </c>
      <c r="AN2" s="123" t="n">
        <v>39</v>
      </c>
      <c r="AO2" s="123" t="n">
        <v>40</v>
      </c>
      <c r="AP2" s="123" t="n">
        <v>41</v>
      </c>
      <c r="AQ2" s="123" t="n">
        <v>42</v>
      </c>
      <c r="AR2" s="123" t="n">
        <v>43</v>
      </c>
      <c r="AS2" s="123" t="n">
        <v>44</v>
      </c>
      <c r="AT2" s="123" t="n">
        <v>45</v>
      </c>
      <c r="AU2" s="123" t="n">
        <v>46</v>
      </c>
      <c r="AV2" s="123" t="n">
        <v>47</v>
      </c>
      <c r="AW2" s="123" t="n">
        <v>48</v>
      </c>
      <c r="AX2" s="123" t="n">
        <v>49</v>
      </c>
      <c r="AY2" s="123" t="n">
        <v>50</v>
      </c>
      <c r="AZ2" s="123" t="n">
        <v>51</v>
      </c>
    </row>
    <row r="3">
      <c r="A3" s="123" t="inlineStr">
        <is>
          <t>Dari</t>
        </is>
      </c>
      <c r="B3" s="1" t="inlineStr">
        <is>
          <t>T-101</t>
        </is>
      </c>
      <c r="C3" s="1" t="inlineStr">
        <is>
          <t>V-101</t>
        </is>
      </c>
      <c r="D3" s="1" t="inlineStr">
        <is>
          <t>E-101</t>
        </is>
      </c>
      <c r="E3" s="1" t="inlineStr">
        <is>
          <t>Pipa etilena</t>
        </is>
      </c>
      <c r="F3" s="1" t="inlineStr">
        <is>
          <t>T-102</t>
        </is>
      </c>
      <c r="G3" s="1" t="inlineStr">
        <is>
          <t>V-102</t>
        </is>
      </c>
      <c r="H3" s="1" t="inlineStr">
        <is>
          <t>E-102</t>
        </is>
      </c>
      <c r="I3" s="1" t="inlineStr">
        <is>
          <t>V-103</t>
        </is>
      </c>
      <c r="J3" s="1" t="inlineStr">
        <is>
          <t>E-102</t>
        </is>
      </c>
      <c r="K3" s="1" t="inlineStr">
        <is>
          <t>Make-up</t>
        </is>
      </c>
      <c r="L3" s="1" t="inlineStr">
        <is>
          <t>R-01</t>
        </is>
      </c>
      <c r="M3" s="1" t="inlineStr">
        <is>
          <t>E-103</t>
        </is>
      </c>
      <c r="N3" s="1" t="inlineStr">
        <is>
          <t>E-103</t>
        </is>
      </c>
      <c r="O3" s="1" t="inlineStr">
        <is>
          <t>R-01</t>
        </is>
      </c>
      <c r="P3" s="1" t="inlineStr">
        <is>
          <t>P-101</t>
        </is>
      </c>
      <c r="Q3" s="1" t="inlineStr">
        <is>
          <t>Udara</t>
        </is>
      </c>
      <c r="R3" s="1" t="inlineStr">
        <is>
          <t>K-101</t>
        </is>
      </c>
      <c r="S3" s="1" t="inlineStr">
        <is>
          <t>R-02</t>
        </is>
      </c>
      <c r="T3" s="1" t="inlineStr">
        <is>
          <t>Q-201</t>
        </is>
      </c>
      <c r="U3" s="1" t="inlineStr">
        <is>
          <t>E-104</t>
        </is>
      </c>
      <c r="V3" s="1" t="inlineStr">
        <is>
          <t>M-101</t>
        </is>
      </c>
      <c r="W3" s="1" t="inlineStr">
        <is>
          <t>Q-201</t>
        </is>
      </c>
      <c r="X3" s="1" t="inlineStr">
        <is>
          <t>D-101</t>
        </is>
      </c>
      <c r="Y3" s="1" t="inlineStr">
        <is>
          <t>E-105</t>
        </is>
      </c>
      <c r="Z3" s="1" t="inlineStr">
        <is>
          <t>E-105</t>
        </is>
      </c>
      <c r="AA3" s="1" t="inlineStr">
        <is>
          <t>D-101</t>
        </is>
      </c>
      <c r="AB3" s="1" t="inlineStr">
        <is>
          <t>P-105</t>
        </is>
      </c>
      <c r="AC3" s="1" t="inlineStr">
        <is>
          <t>P-105</t>
        </is>
      </c>
      <c r="AD3" s="1" t="inlineStr">
        <is>
          <t>D-101</t>
        </is>
      </c>
      <c r="AE3" s="1" t="inlineStr">
        <is>
          <t>P-102</t>
        </is>
      </c>
      <c r="AF3" s="1" t="inlineStr">
        <is>
          <t>E-106</t>
        </is>
      </c>
      <c r="AG3" s="1" t="inlineStr">
        <is>
          <t>KD-101</t>
        </is>
      </c>
      <c r="AH3" s="1" t="inlineStr">
        <is>
          <t>KD-101</t>
        </is>
      </c>
      <c r="AI3" s="1" t="inlineStr">
        <is>
          <t>P-103</t>
        </is>
      </c>
      <c r="AJ3" s="1" t="inlineStr">
        <is>
          <t>KD-102</t>
        </is>
      </c>
      <c r="AK3" s="1" t="inlineStr">
        <is>
          <t>KD-102</t>
        </is>
      </c>
      <c r="AL3" s="1" t="inlineStr">
        <is>
          <t>P-104</t>
        </is>
      </c>
      <c r="AM3" s="1" t="inlineStr">
        <is>
          <t>E-107</t>
        </is>
      </c>
      <c r="AN3" s="1" t="inlineStr">
        <is>
          <t>F-101</t>
        </is>
      </c>
      <c r="AO3" s="1" t="inlineStr">
        <is>
          <t>Q-101</t>
        </is>
      </c>
      <c r="AP3" s="1" t="inlineStr">
        <is>
          <t>E-108</t>
        </is>
      </c>
      <c r="AQ3" s="1" t="inlineStr">
        <is>
          <t>KD-103</t>
        </is>
      </c>
      <c r="AR3" s="1" t="inlineStr">
        <is>
          <t>V-104</t>
        </is>
      </c>
      <c r="AS3" s="1" t="inlineStr">
        <is>
          <t>E-109</t>
        </is>
      </c>
      <c r="AT3" s="1" t="inlineStr">
        <is>
          <t>KD-103</t>
        </is>
      </c>
      <c r="AU3" s="1" t="inlineStr">
        <is>
          <t>V-105</t>
        </is>
      </c>
      <c r="AV3" s="1" t="inlineStr">
        <is>
          <t>KD-104</t>
        </is>
      </c>
      <c r="AW3" s="1" t="inlineStr">
        <is>
          <t>E-110</t>
        </is>
      </c>
      <c r="AX3" s="1" t="inlineStr">
        <is>
          <t>KD-104</t>
        </is>
      </c>
      <c r="AY3" s="1" t="inlineStr">
        <is>
          <t>E-111</t>
        </is>
      </c>
      <c r="AZ3" s="1" t="inlineStr">
        <is>
          <t>V-106</t>
        </is>
      </c>
    </row>
    <row r="4">
      <c r="A4" s="123" t="inlineStr">
        <is>
          <t>Ke</t>
        </is>
      </c>
      <c r="B4" s="1" t="inlineStr">
        <is>
          <t>V-101</t>
        </is>
      </c>
      <c r="C4" s="1" t="inlineStr">
        <is>
          <t>E-101</t>
        </is>
      </c>
      <c r="D4" s="1" t="inlineStr">
        <is>
          <t>R-01</t>
        </is>
      </c>
      <c r="E4" s="1" t="inlineStr">
        <is>
          <t>T-102</t>
        </is>
      </c>
      <c r="F4" s="1" t="inlineStr">
        <is>
          <t>V-102</t>
        </is>
      </c>
      <c r="G4" s="1" t="inlineStr">
        <is>
          <t>E-102</t>
        </is>
      </c>
      <c r="H4" s="1" t="inlineStr">
        <is>
          <t>V-103</t>
        </is>
      </c>
      <c r="I4" s="1" t="inlineStr">
        <is>
          <t>R-01</t>
        </is>
      </c>
      <c r="J4" s="1" t="inlineStr">
        <is>
          <t>R-02</t>
        </is>
      </c>
      <c r="K4" s="1" t="inlineStr">
        <is>
          <t>R-01</t>
        </is>
      </c>
      <c r="L4" s="1" t="inlineStr">
        <is>
          <t>E-103</t>
        </is>
      </c>
      <c r="M4" s="1" t="inlineStr">
        <is>
          <t>R-01</t>
        </is>
      </c>
      <c r="N4" s="1" t="inlineStr">
        <is>
          <t>UPL</t>
        </is>
      </c>
      <c r="O4" s="1" t="inlineStr">
        <is>
          <t>P-101</t>
        </is>
      </c>
      <c r="P4" s="1" t="inlineStr">
        <is>
          <t>M-101</t>
        </is>
      </c>
      <c r="Q4" s="1" t="inlineStr">
        <is>
          <t>K-101</t>
        </is>
      </c>
      <c r="R4" s="1" t="inlineStr">
        <is>
          <t>R-02</t>
        </is>
      </c>
      <c r="S4" s="1" t="inlineStr">
        <is>
          <t>Q-201</t>
        </is>
      </c>
      <c r="T4" s="1" t="inlineStr">
        <is>
          <t>E-104</t>
        </is>
      </c>
      <c r="U4" s="1" t="inlineStr">
        <is>
          <t>M-101</t>
        </is>
      </c>
      <c r="V4" s="1" t="inlineStr">
        <is>
          <t>D-101</t>
        </is>
      </c>
      <c r="W4" s="1" t="inlineStr">
        <is>
          <t>D-101</t>
        </is>
      </c>
      <c r="X4" s="1" t="inlineStr">
        <is>
          <t>E-105</t>
        </is>
      </c>
      <c r="Y4" s="1" t="inlineStr">
        <is>
          <t>D-101</t>
        </is>
      </c>
      <c r="Z4" s="1" t="inlineStr">
        <is>
          <t>UPL</t>
        </is>
      </c>
      <c r="AA4" s="1" t="inlineStr">
        <is>
          <t>P-105</t>
        </is>
      </c>
      <c r="AB4" s="1" t="inlineStr">
        <is>
          <t>Q-201</t>
        </is>
      </c>
      <c r="AC4" s="1" t="inlineStr">
        <is>
          <t>UPL</t>
        </is>
      </c>
      <c r="AD4" s="1" t="inlineStr">
        <is>
          <t>P-102</t>
        </is>
      </c>
      <c r="AE4" s="1" t="inlineStr">
        <is>
          <t>E-106</t>
        </is>
      </c>
      <c r="AF4" s="1" t="inlineStr">
        <is>
          <t>KD-101</t>
        </is>
      </c>
      <c r="AG4" s="1" t="inlineStr">
        <is>
          <t>UPL</t>
        </is>
      </c>
      <c r="AH4" s="1" t="inlineStr">
        <is>
          <t>P-103</t>
        </is>
      </c>
      <c r="AI4" s="1" t="inlineStr">
        <is>
          <t>KD-102</t>
        </is>
      </c>
      <c r="AJ4" s="1" t="inlineStr">
        <is>
          <t>UPL</t>
        </is>
      </c>
      <c r="AK4" s="1" t="inlineStr">
        <is>
          <t>P-104</t>
        </is>
      </c>
      <c r="AL4" s="1" t="inlineStr">
        <is>
          <t>E-107</t>
        </is>
      </c>
      <c r="AM4" s="1" t="inlineStr">
        <is>
          <t>F-101</t>
        </is>
      </c>
      <c r="AN4" s="1" t="inlineStr">
        <is>
          <t>Q-101</t>
        </is>
      </c>
      <c r="AO4" s="1" t="inlineStr">
        <is>
          <t>E-108</t>
        </is>
      </c>
      <c r="AP4" s="1" t="inlineStr">
        <is>
          <t>KD-103</t>
        </is>
      </c>
      <c r="AQ4" s="1" t="inlineStr">
        <is>
          <t>V-104</t>
        </is>
      </c>
      <c r="AR4" s="1" t="inlineStr">
        <is>
          <t>E-109</t>
        </is>
      </c>
      <c r="AS4" s="1" t="inlineStr">
        <is>
          <t>R-02</t>
        </is>
      </c>
      <c r="AT4" s="1" t="inlineStr">
        <is>
          <t>V-105</t>
        </is>
      </c>
      <c r="AU4" s="1" t="inlineStr">
        <is>
          <t>KD-104</t>
        </is>
      </c>
      <c r="AV4" s="1" t="inlineStr">
        <is>
          <t>E-110</t>
        </is>
      </c>
      <c r="AW4" s="1" t="inlineStr">
        <is>
          <t>T-103</t>
        </is>
      </c>
      <c r="AX4" s="1" t="inlineStr">
        <is>
          <t>E-111</t>
        </is>
      </c>
      <c r="AY4" s="1" t="inlineStr">
        <is>
          <t>V-106</t>
        </is>
      </c>
      <c r="AZ4" s="1" t="inlineStr">
        <is>
          <t>KD-101</t>
        </is>
      </c>
    </row>
    <row r="5">
      <c r="A5" s="123" t="inlineStr">
        <is>
          <t>Fase</t>
        </is>
      </c>
      <c r="B5" s="172" t="inlineStr">
        <is>
          <t>Cair</t>
        </is>
      </c>
      <c r="C5" s="172" t="inlineStr">
        <is>
          <t>Cair</t>
        </is>
      </c>
      <c r="D5" s="172" t="inlineStr">
        <is>
          <t>Gas</t>
        </is>
      </c>
      <c r="E5" s="172" t="inlineStr">
        <is>
          <t>Gas</t>
        </is>
      </c>
      <c r="F5" s="172" t="inlineStr">
        <is>
          <t>Gas</t>
        </is>
      </c>
      <c r="G5" s="172" t="inlineStr">
        <is>
          <t>Gas</t>
        </is>
      </c>
      <c r="H5" s="172" t="inlineStr">
        <is>
          <t>Gas</t>
        </is>
      </c>
      <c r="I5" s="172" t="inlineStr">
        <is>
          <t>Gas</t>
        </is>
      </c>
      <c r="J5" s="172" t="inlineStr">
        <is>
          <t>Gas</t>
        </is>
      </c>
      <c r="K5" s="172" t="inlineStr">
        <is>
          <t>Padat</t>
        </is>
      </c>
      <c r="L5" s="1" t="inlineStr">
        <is>
          <t>Gas</t>
        </is>
      </c>
      <c r="M5" s="1" t="inlineStr">
        <is>
          <t>Cair</t>
        </is>
      </c>
      <c r="N5" s="172" t="inlineStr">
        <is>
          <t>Gas</t>
        </is>
      </c>
      <c r="O5" s="172" t="inlineStr">
        <is>
          <t>Cair</t>
        </is>
      </c>
      <c r="P5" s="172" t="inlineStr">
        <is>
          <t>Cair</t>
        </is>
      </c>
      <c r="Q5" s="172" t="inlineStr">
        <is>
          <t>Gas</t>
        </is>
      </c>
      <c r="R5" s="172" t="inlineStr">
        <is>
          <t>Gas</t>
        </is>
      </c>
      <c r="S5" s="172" t="inlineStr">
        <is>
          <t>Gas</t>
        </is>
      </c>
      <c r="T5" s="1" t="inlineStr">
        <is>
          <t>Gas</t>
        </is>
      </c>
      <c r="U5" s="1" t="inlineStr">
        <is>
          <t>Gas + cair</t>
        </is>
      </c>
      <c r="V5" s="1" t="inlineStr">
        <is>
          <t>Gas + cair</t>
        </is>
      </c>
      <c r="W5" s="1" t="inlineStr">
        <is>
          <t>Cair</t>
        </is>
      </c>
      <c r="X5" s="1" t="inlineStr">
        <is>
          <t>Gas</t>
        </is>
      </c>
      <c r="Y5" s="1" t="inlineStr">
        <is>
          <t>Cair</t>
        </is>
      </c>
      <c r="Z5" s="172" t="inlineStr">
        <is>
          <t>Gas</t>
        </is>
      </c>
      <c r="AA5" s="1" t="inlineStr">
        <is>
          <t>Cair</t>
        </is>
      </c>
      <c r="AB5" s="1" t="inlineStr">
        <is>
          <t>Cair</t>
        </is>
      </c>
      <c r="AC5" s="172" t="inlineStr">
        <is>
          <t>Cair</t>
        </is>
      </c>
      <c r="AD5" s="172" t="inlineStr">
        <is>
          <t>Cair</t>
        </is>
      </c>
      <c r="AE5" s="172" t="inlineStr">
        <is>
          <t>Cair</t>
        </is>
      </c>
      <c r="AF5" s="172" t="inlineStr">
        <is>
          <t>Cair</t>
        </is>
      </c>
      <c r="AG5" s="172" t="inlineStr">
        <is>
          <t>Gas</t>
        </is>
      </c>
      <c r="AH5" s="172" t="inlineStr">
        <is>
          <t>Cair</t>
        </is>
      </c>
      <c r="AI5" s="172" t="inlineStr">
        <is>
          <t>Cair</t>
        </is>
      </c>
      <c r="AJ5" s="172" t="inlineStr">
        <is>
          <t>Cair</t>
        </is>
      </c>
      <c r="AK5" s="172" t="inlineStr">
        <is>
          <t>Cair</t>
        </is>
      </c>
      <c r="AL5" s="172" t="inlineStr">
        <is>
          <t>Cair</t>
        </is>
      </c>
      <c r="AM5" s="172" t="inlineStr">
        <is>
          <t>Cair</t>
        </is>
      </c>
      <c r="AN5" s="172" t="inlineStr">
        <is>
          <t>Gas</t>
        </is>
      </c>
      <c r="AO5" s="172" t="inlineStr">
        <is>
          <t>Gas</t>
        </is>
      </c>
      <c r="AP5" s="172" t="inlineStr">
        <is>
          <t>Cair</t>
        </is>
      </c>
      <c r="AQ5" s="172" t="inlineStr">
        <is>
          <t>Cair</t>
        </is>
      </c>
      <c r="AR5" s="172" t="inlineStr">
        <is>
          <t>Cair</t>
        </is>
      </c>
      <c r="AS5" s="172" t="inlineStr">
        <is>
          <t>Gas</t>
        </is>
      </c>
      <c r="AT5" s="172" t="inlineStr">
        <is>
          <t>Cair</t>
        </is>
      </c>
      <c r="AU5" s="172" t="inlineStr">
        <is>
          <t>Cair</t>
        </is>
      </c>
      <c r="AV5" s="172" t="inlineStr">
        <is>
          <t>Cair</t>
        </is>
      </c>
      <c r="AW5" s="172" t="inlineStr">
        <is>
          <t>Cair</t>
        </is>
      </c>
      <c r="AX5" s="172" t="inlineStr">
        <is>
          <t>Cair</t>
        </is>
      </c>
      <c r="AY5" s="172" t="inlineStr">
        <is>
          <t>Cair</t>
        </is>
      </c>
      <c r="AZ5" s="172" t="inlineStr">
        <is>
          <t>Cair</t>
        </is>
      </c>
    </row>
    <row r="6">
      <c r="A6" s="123" t="inlineStr">
        <is>
          <t>T; P</t>
        </is>
      </c>
      <c r="B6" s="172" t="str">
        <f>IF(ISNUMBER('NME-1 Klorinasi Langsung'!$B$53),TEXT('NME-1 Klorinasi Langsung'!$B$53,"0.0")&amp;" °C; ","")&amp;TEXT('NME-1 Klorinasi Langsung'!$B$54,"0.00")&amp;" bar abs"</f>
        <v>30.0 °C; 8.90 bar abs</v>
      </c>
      <c r="C6" s="172" t="str">
        <f>IF(ISNUMBER('NME-1 Klorinasi Langsung'!$D$53),TEXT('NME-1 Klorinasi Langsung'!$D$53,"0.0")&amp;" °C; ","")&amp;TEXT('NME-1 Klorinasi Langsung'!$D$54,"0.00")&amp;" bar abs"</f>
        <v>30.0 °C; 1.01 bar abs</v>
      </c>
      <c r="D6" s="172" t="str">
        <f>IF(ISNUMBER('NME-1 Klorinasi Langsung'!$D$84),TEXT('NME-1 Klorinasi Langsung'!$D$84,"0.0")&amp;" °C; ","")&amp;TEXT('NME-1 Klorinasi Langsung'!$D$85,"0.00")&amp;" bar abs"</f>
        <v>-23.0 °C; 1.01 bar abs</v>
      </c>
      <c r="E6" s="172" t="str">
        <f>IF(ISNUMBER('NME-1 Klorinasi Langsung'!$B$119),TEXT('NME-1 Klorinasi Langsung'!$B$119,"0.0")&amp;" °C; ","")&amp;TEXT('NME-1 Klorinasi Langsung'!$B$120,"0.00")&amp;" bar abs"</f>
        <v>30.0 °C; 36.30 bar abs</v>
      </c>
      <c r="F6" s="172" t="str">
        <f>IF(ISNUMBER('NME-1 Klorinasi Langsung'!$D$119),TEXT('NME-1 Klorinasi Langsung'!$D$119,"0.0")&amp;" °C; ","")&amp;TEXT('NME-1 Klorinasi Langsung'!$D$120,"0.00")&amp;" bar abs"</f>
        <v>30.0 °C; 36.30 bar abs</v>
      </c>
      <c r="G6" s="172" t="str">
        <f>IF(ISNUMBER('NME-1 Klorinasi Langsung'!$D$145),TEXT('NME-1 Klorinasi Langsung'!$D$145,"0.0")&amp;" °C; ","")&amp;TEXT('NME-1 Klorinasi Langsung'!$D$146,"0.00")&amp;" bar abs"</f>
        <v>-0.2 °C; 5.37 bar abs</v>
      </c>
      <c r="H6" s="172" t="str">
        <f>IF(ISNUMBER('NME-1 Klorinasi Langsung'!$D$171),TEXT('NME-1 Klorinasi Langsung'!$D$171,"0.0")&amp;" °C; ","")&amp;TEXT('NME-1 Klorinasi Langsung'!$D$172,"0.00")&amp;" bar abs"</f>
        <v>30.0 °C; 5.37 bar abs</v>
      </c>
      <c r="I6" s="172" t="str">
        <f>IF(ISNUMBER('NME-1 Klorinasi Langsung'!$D$197),TEXT('NME-1 Klorinasi Langsung'!$D$197,"0.0")&amp;" °C; ","")&amp;TEXT('NME-1 Klorinasi Langsung'!$D$198,"0.00")&amp;" bar abs"</f>
        <v>25.7 °C; 1.01 bar abs</v>
      </c>
      <c r="J6" s="172" t="str">
        <f>IF(ISNUMBER('NME-1 Klorinasi Langsung'!$F$171),TEXT('NME-1 Klorinasi Langsung'!$F$171,"0.0")&amp;" °C; ","")&amp;TEXT('NME-1 Klorinasi Langsung'!$F$172,"0.00")&amp;" bar abs"</f>
        <v>30.0 °C; 5.37 bar abs</v>
      </c>
      <c r="K6" s="172" t="str">
        <f>IF(ISNUMBER('NME-1 Klorinasi Langsung'!$F$223),TEXT('NME-1 Klorinasi Langsung'!$F$223,"0.0")&amp;" °C; ","")&amp;TEXT('NME-1 Klorinasi Langsung'!$F$224,"0.00")&amp;" bar abs"</f>
        <v>30.0 °C; 1.01 bar abs</v>
      </c>
      <c r="L6" s="172" t="inlineStr">
        <is>
          <t>-</t>
        </is>
      </c>
      <c r="M6" s="172" t="inlineStr">
        <is>
          <t>-</t>
        </is>
      </c>
      <c r="N6" s="172" t="str">
        <f>IF(ISNUMBER('NME-1 Klorinasi Langsung'!$H$223),TEXT('NME-1 Klorinasi Langsung'!$H$223,"0.0")&amp;" °C; ","")&amp;TEXT('NME-1 Klorinasi Langsung'!$H$224,"0.00")&amp;" bar abs"</f>
        <v>5.0 °C; 1.01 bar abs</v>
      </c>
      <c r="O6" s="172" t="str">
        <f>IF(ISNUMBER('NME-1 Klorinasi Langsung'!$J$223),TEXT('NME-1 Klorinasi Langsung'!$J$223,"0.0")&amp;" °C; ","")&amp;TEXT('NME-1 Klorinasi Langsung'!$J$224,"0.00")&amp;" bar abs"</f>
        <v>65.0 °C; 1.01 bar abs</v>
      </c>
      <c r="P6" s="172" t="str">
        <f>IF(ISNUMBER('NME-3 Kondensasi-Dekantasi'!$D$49),TEXT('NME-3 Kondensasi-Dekantasi'!$D$49,"0.0")&amp;" °C; ","")&amp;TEXT('NME-3 Kondensasi-Dekantasi'!$D$50,"0.00")&amp;" bar abs"</f>
        <v>65.4 °C; 5.37 bar abs</v>
      </c>
      <c r="Q6" s="172" t="str">
        <f>IF(ISNUMBER('NME-2 Oksiklorinasi'!$B$52),TEXT('NME-2 Oksiklorinasi'!$B$52,"0.0")&amp;" °C; ","")&amp;TEXT('NME-2 Oksiklorinasi'!$B$53,"0.00")&amp;" bar abs"</f>
        <v>30.0 °C; 1.01 bar abs</v>
      </c>
      <c r="R6" s="172" t="str">
        <f>IF(ISNUMBER('NME-2 Oksiklorinasi'!$D$52),TEXT('NME-2 Oksiklorinasi'!$D$52,"0.0")&amp;" °C; ","")&amp;TEXT('NME-2 Oksiklorinasi'!$D$53,"0.00")&amp;" bar abs"</f>
        <v>272.0 °C; 5.37 bar abs</v>
      </c>
      <c r="S6" s="172" t="str">
        <f>IF(ISNUMBER('NME-2 Oksiklorinasi'!$H$127),TEXT('NME-2 Oksiklorinasi'!$H$127,"0.0")&amp;" °C; ","")&amp;TEXT('NME-2 Oksiklorinasi'!$H$128,"0.00")&amp;" bar abs"</f>
        <v>225.0 °C; 5.37 bar abs</v>
      </c>
      <c r="T6" s="172" t="inlineStr">
        <is>
          <t>-</t>
        </is>
      </c>
      <c r="U6" s="172" t="inlineStr">
        <is>
          <t>-</t>
        </is>
      </c>
      <c r="V6" s="172" t="inlineStr">
        <is>
          <t>-</t>
        </is>
      </c>
      <c r="W6" s="172" t="inlineStr">
        <is>
          <t>-</t>
        </is>
      </c>
      <c r="X6" s="172" t="inlineStr">
        <is>
          <t>-</t>
        </is>
      </c>
      <c r="Y6" s="172" t="inlineStr">
        <is>
          <t>-</t>
        </is>
      </c>
      <c r="Z6" s="172" t="str">
        <f>IF(ISNUMBER('NME-3 Kondensasi-Dekantasi'!$F$76),TEXT('NME-3 Kondensasi-Dekantasi'!$F$76,"0.0")&amp;" °C; ","")&amp;TEXT('NME-3 Kondensasi-Dekantasi'!$F$77,"0.00")&amp;" bar abs"</f>
        <v>-25.0 °C; 5.37 bar abs</v>
      </c>
      <c r="AA6" s="172" t="inlineStr">
        <is>
          <t>-</t>
        </is>
      </c>
      <c r="AB6" s="172" t="inlineStr">
        <is>
          <t>-</t>
        </is>
      </c>
      <c r="AC6" s="172" t="str">
        <f>IF(ISNUMBER('NME-3 Kondensasi-Dekantasi'!$H$76),TEXT('NME-3 Kondensasi-Dekantasi'!$H$76,"0.0")&amp;" °C; ","")&amp;TEXT('NME-3 Kondensasi-Dekantasi'!$H$77,"0.00")&amp;" bar abs"</f>
        <v>35.0 °C; 5.37 bar abs</v>
      </c>
      <c r="AD6" s="172" t="str">
        <f>IF(ISNUMBER('NME-3 Kondensasi-Dekantasi'!$J$76),TEXT('NME-3 Kondensasi-Dekantasi'!$J$76,"0.0")&amp;" °C; ","")&amp;TEXT('NME-3 Kondensasi-Dekantasi'!$J$77,"0.00")&amp;" bar abs"</f>
        <v>35.0 °C; 5.37 bar abs</v>
      </c>
      <c r="AE6" s="172" t="str">
        <f>IF(ISNUMBER('NME-4 Kolom Ringan'!$D$49),TEXT('NME-4 Kolom Ringan'!$D$49,"0.0")&amp;" °C; ","")&amp;TEXT('NME-4 Kolom Ringan'!$D$50,"0.00")&amp;" bar abs"</f>
        <v>35.0 °C; 5.37 bar abs</v>
      </c>
      <c r="AF6" s="172" t="str">
        <f>IF(ISNUMBER('NME-4 Kolom Ringan'!$D$77),TEXT('NME-4 Kolom Ringan'!$D$77,"0.0")&amp;" °C; ","")&amp;TEXT('NME-4 Kolom Ringan'!$D$78,"0.00")&amp;" bar abs"</f>
        <v>83.4 °C; 1.01 bar abs</v>
      </c>
      <c r="AG6" s="172" t="str">
        <f>IF(ISNUMBER('NME-4 Kolom Ringan'!$F$157),TEXT('NME-4 Kolom Ringan'!$F$157,"0.0")&amp;" °C; ","")&amp;TEXT('NME-4 Kolom Ringan'!$F$158,"0.00")&amp;" bar abs"</f>
        <v>75.0 °C; 1.01 bar abs</v>
      </c>
      <c r="AH6" s="172" t="str">
        <f>IF(ISNUMBER('NME-4 Kolom Ringan'!$H$157),TEXT('NME-4 Kolom Ringan'!$H$157,"0.0")&amp;" °C; ","")&amp;TEXT('NME-4 Kolom Ringan'!$H$158,"0.00")&amp;" bar abs"</f>
        <v>83.4 °C; 1.01 bar abs</v>
      </c>
      <c r="AI6" s="172" t="str">
        <f>IF(ISNUMBER('NME-5 Kolom Berat'!$D$49),TEXT('NME-5 Kolom Berat'!$D$49,"0.0")&amp;" °C; ","")&amp;TEXT('NME-5 Kolom Berat'!$D$50,"0.00")&amp;" bar abs"</f>
        <v>83.6 °C; 2.75 bar abs</v>
      </c>
      <c r="AJ6" s="172" t="str">
        <f>IF(ISNUMBER('NME-5 Kolom Berat'!$D$76),TEXT('NME-5 Kolom Berat'!$D$76,"0.0")&amp;" °C; ","")&amp;TEXT('NME-5 Kolom Berat'!$D$77,"0.00")&amp;" bar abs"</f>
        <v>127.0 °C; 3.00 bar abs</v>
      </c>
      <c r="AK6" s="172" t="str">
        <f>IF(ISNUMBER('NME-5 Kolom Berat'!$F$76),TEXT('NME-5 Kolom Berat'!$F$76,"0.0")&amp;" °C; ","")&amp;TEXT('NME-5 Kolom Berat'!$F$77,"0.00")&amp;" bar abs"</f>
        <v>118.0 °C; 2.50 bar abs</v>
      </c>
      <c r="AL6" s="172" t="str">
        <f>IF(ISNUMBER('NME-6 Pirolisis'!$D$47),TEXT('NME-6 Pirolisis'!$D$47,"0.0")&amp;" °C; ","")&amp;TEXT('NME-6 Pirolisis'!$D$48,"0.00")&amp;" bar abs"</f>
        <v>119.2 °C; 17.00 bar abs</v>
      </c>
      <c r="AM6" s="172" t="str">
        <f>IF(ISNUMBER('NME-6 Pirolisis'!$D$72),TEXT('NME-6 Pirolisis'!$D$72,"0.0")&amp;" °C; ","")&amp;TEXT('NME-6 Pirolisis'!$D$73,"0.00")&amp;" bar abs"</f>
        <v>190.0 °C; 17.00 bar abs</v>
      </c>
      <c r="AN6" s="172" t="str">
        <f>IF(ISNUMBER('NME-6 Pirolisis'!$D$98),TEXT('NME-6 Pirolisis'!$D$98,"0.0")&amp;" °C; ","")&amp;TEXT('NME-6 Pirolisis'!$D$99,"0.00")&amp;" bar abs"</f>
        <v>516.0 °C; 13.00 bar abs</v>
      </c>
      <c r="AO6" s="172" t="str">
        <f>IF(ISNUMBER('NME-6 Pirolisis'!$D$129),TEXT('NME-6 Pirolisis'!$D$129,"0.0")&amp;" °C; ","")&amp;TEXT('NME-6 Pirolisis'!$D$130,"0.00")&amp;" bar abs"</f>
        <v>80.0 °C; 11.00 bar abs</v>
      </c>
      <c r="AP6" s="172" t="str">
        <f>IF(ISNUMBER('NME-7 Kolom HCl'!$D$47),TEXT('NME-7 Kolom HCl'!$D$47,"0.0")&amp;" °C; ","")&amp;TEXT('NME-7 Kolom HCl'!$D$48,"0.00")&amp;" bar abs"</f>
        <v>30.0 °C; 11.00 bar abs</v>
      </c>
      <c r="AQ6" s="172" t="str">
        <f>IF(ISNUMBER('NME-7 Kolom HCl'!$D$82),TEXT('NME-7 Kolom HCl'!$D$82,"0.0")&amp;" °C; ","")&amp;TEXT('NME-7 Kolom HCl'!$D$83,"0.00")&amp;" bar abs"</f>
        <v>-28.9 °C; 11.00 bar abs</v>
      </c>
      <c r="AR6" s="172" t="str">
        <f>IF(ISNUMBER('NME-2 Oksiklorinasi'!$D$76),TEXT('NME-2 Oksiklorinasi'!$D$76,"0.0")&amp;" °C; ","")&amp;TEXT('NME-2 Oksiklorinasi'!$D$77,"0.00")&amp;" bar abs"</f>
        <v>-28.9 °C; 5.37 bar abs</v>
      </c>
      <c r="AS6" s="172" t="str">
        <f>IF(ISNUMBER('NME-2 Oksiklorinasi'!$D$100),TEXT('NME-2 Oksiklorinasi'!$D$100,"0.0")&amp;" °C; ","")&amp;TEXT('NME-2 Oksiklorinasi'!$D$101,"0.00")&amp;" bar abs"</f>
        <v>-40.9 °C; 5.37 bar abs</v>
      </c>
      <c r="AT6" s="172" t="str">
        <f>IF(ISNUMBER('NME-7 Kolom HCl'!$F$82),TEXT('NME-7 Kolom HCl'!$F$82,"0.0")&amp;" °C; ","")&amp;TEXT('NME-7 Kolom HCl'!$F$83,"0.00")&amp;" bar abs"</f>
        <v>81.0 °C; 9.80 bar abs</v>
      </c>
      <c r="AU6" s="172" t="str">
        <f>IF(ISNUMBER('NME-8 Kolom VCM'!$D$48),TEXT('NME-8 Kolom VCM'!$D$48,"0.0")&amp;" °C; ","")&amp;TEXT('NME-8 Kolom VCM'!$D$49,"0.00")&amp;" bar abs"</f>
        <v>81.0 °C; 6.50 bar abs</v>
      </c>
      <c r="AV6" s="172" t="str">
        <f>IF(ISNUMBER('NME-8 Kolom VCM'!$D$75),TEXT('NME-8 Kolom VCM'!$D$75,"0.0")&amp;" °C; ","")&amp;TEXT('NME-8 Kolom VCM'!$D$76,"0.00")&amp;" bar abs"</f>
        <v>37.0 °C; 6.50 bar abs</v>
      </c>
      <c r="AW6" s="172" t="str">
        <f>IF(ISNUMBER('NME-8 Kolom VCM'!$D$105),TEXT('NME-8 Kolom VCM'!$D$105,"0.0")&amp;" °C; ","")&amp;TEXT('NME-8 Kolom VCM'!$D$106,"0.00")&amp;" bar abs"</f>
        <v>30.0 °C; 6.50 bar abs</v>
      </c>
      <c r="AX6" s="172" t="str">
        <f>IF(ISNUMBER('NME-8 Kolom VCM'!$F$75),TEXT('NME-8 Kolom VCM'!$F$75,"0.0")&amp;" °C; ","")&amp;TEXT('NME-8 Kolom VCM'!$F$76,"0.00")&amp;" bar abs"</f>
        <v>152.0 °C; 6.50 bar abs</v>
      </c>
      <c r="AY6" s="172" t="str">
        <f>IF(ISNUMBER('NME-4 Kolom Ringan'!$D$105),TEXT('NME-4 Kolom Ringan'!$D$105,"0.0")&amp;" °C; ","")&amp;TEXT('NME-4 Kolom Ringan'!$D$106,"0.00")&amp;" bar abs"</f>
        <v>83.4 °C; 6.50 bar abs</v>
      </c>
      <c r="AZ6" s="172" t="str">
        <f>IF(ISNUMBER('NME-4 Kolom Ringan'!$D$131),TEXT('NME-4 Kolom Ringan'!$D$131,"0.0")&amp;" °C; ","")&amp;TEXT('NME-4 Kolom Ringan'!$D$132,"0.00")&amp;" bar abs"</f>
        <v>83.4 °C; 1.01 bar abs</v>
      </c>
    </row>
    <row r="7">
      <c r="A7" s="123" t="inlineStr">
        <is>
          <t>Rujukan NM</t>
        </is>
      </c>
      <c r="B7" s="172" t="inlineStr">
        <is>
          <t>NME-1</t>
        </is>
      </c>
      <c r="C7" s="172" t="inlineStr">
        <is>
          <t>NME-1</t>
        </is>
      </c>
      <c r="D7" s="172" t="inlineStr">
        <is>
          <t>NME-1</t>
        </is>
      </c>
      <c r="E7" s="172" t="inlineStr">
        <is>
          <t>NME-1 + NME-2</t>
        </is>
      </c>
      <c r="F7" s="172" t="inlineStr">
        <is>
          <t>NME-1 + NME-2</t>
        </is>
      </c>
      <c r="G7" s="172" t="inlineStr">
        <is>
          <t>NME-1 + NME-2</t>
        </is>
      </c>
      <c r="H7" s="172" t="inlineStr">
        <is>
          <t>NME-1</t>
        </is>
      </c>
      <c r="I7" s="172" t="inlineStr">
        <is>
          <t>NME-1</t>
        </is>
      </c>
      <c r="J7" s="172" t="inlineStr">
        <is>
          <t>NME-2</t>
        </is>
      </c>
      <c r="K7" s="172" t="inlineStr">
        <is>
          <t>NME-1</t>
        </is>
      </c>
      <c r="L7" s="172" t="inlineStr">
        <is>
          <t>Internal blok</t>
        </is>
      </c>
      <c r="M7" s="172" t="inlineStr">
        <is>
          <t>Internal blok</t>
        </is>
      </c>
      <c r="N7" s="172" t="inlineStr">
        <is>
          <t>NME-1</t>
        </is>
      </c>
      <c r="O7" s="172" t="inlineStr">
        <is>
          <t>NME-1</t>
        </is>
      </c>
      <c r="P7" s="172" t="inlineStr">
        <is>
          <t>NME-3</t>
        </is>
      </c>
      <c r="Q7" s="172" t="inlineStr">
        <is>
          <t>NME-2</t>
        </is>
      </c>
      <c r="R7" s="172" t="inlineStr">
        <is>
          <t>NME-2</t>
        </is>
      </c>
      <c r="S7" s="172" t="inlineStr">
        <is>
          <t>NME-2</t>
        </is>
      </c>
      <c r="T7" s="172" t="inlineStr">
        <is>
          <t>Internal blok</t>
        </is>
      </c>
      <c r="U7" s="172" t="inlineStr">
        <is>
          <t>Internal blok</t>
        </is>
      </c>
      <c r="V7" s="172" t="inlineStr">
        <is>
          <t>Internal blok</t>
        </is>
      </c>
      <c r="W7" s="172" t="inlineStr">
        <is>
          <t>Internal blok</t>
        </is>
      </c>
      <c r="X7" s="172" t="inlineStr">
        <is>
          <t>Internal blok</t>
        </is>
      </c>
      <c r="Y7" s="172" t="inlineStr">
        <is>
          <t>Internal blok</t>
        </is>
      </c>
      <c r="Z7" s="172" t="inlineStr">
        <is>
          <t>NME-3</t>
        </is>
      </c>
      <c r="AA7" s="172" t="inlineStr">
        <is>
          <t>Internal blok</t>
        </is>
      </c>
      <c r="AB7" s="172" t="inlineStr">
        <is>
          <t>Internal blok</t>
        </is>
      </c>
      <c r="AC7" s="172" t="inlineStr">
        <is>
          <t>NME-3</t>
        </is>
      </c>
      <c r="AD7" s="172" t="inlineStr">
        <is>
          <t>NME-3</t>
        </is>
      </c>
      <c r="AE7" s="172" t="inlineStr">
        <is>
          <t>NME-3</t>
        </is>
      </c>
      <c r="AF7" s="172" t="inlineStr">
        <is>
          <t>NME-4</t>
        </is>
      </c>
      <c r="AG7" s="172" t="inlineStr">
        <is>
          <t>NME-4</t>
        </is>
      </c>
      <c r="AH7" s="172" t="inlineStr">
        <is>
          <t>NME-4</t>
        </is>
      </c>
      <c r="AI7" s="172" t="inlineStr">
        <is>
          <t>NME-5</t>
        </is>
      </c>
      <c r="AJ7" s="172" t="inlineStr">
        <is>
          <t>NME-5</t>
        </is>
      </c>
      <c r="AK7" s="172" t="inlineStr">
        <is>
          <t>NME-5</t>
        </is>
      </c>
      <c r="AL7" s="172" t="inlineStr">
        <is>
          <t>NME-5</t>
        </is>
      </c>
      <c r="AM7" s="172" t="inlineStr">
        <is>
          <t>NME-6</t>
        </is>
      </c>
      <c r="AN7" s="172" t="inlineStr">
        <is>
          <t>NME-6</t>
        </is>
      </c>
      <c r="AO7" s="172" t="inlineStr">
        <is>
          <t>NME-7</t>
        </is>
      </c>
      <c r="AP7" s="172" t="inlineStr">
        <is>
          <t>NME-7</t>
        </is>
      </c>
      <c r="AQ7" s="172" t="inlineStr">
        <is>
          <t>NME-7</t>
        </is>
      </c>
      <c r="AR7" s="172" t="inlineStr">
        <is>
          <t>NME-7</t>
        </is>
      </c>
      <c r="AS7" s="172" t="inlineStr">
        <is>
          <t>NME-2</t>
        </is>
      </c>
      <c r="AT7" s="172" t="inlineStr">
        <is>
          <t>NME-7</t>
        </is>
      </c>
      <c r="AU7" s="172" t="inlineStr">
        <is>
          <t>NME-8</t>
        </is>
      </c>
      <c r="AV7" s="172" t="inlineStr">
        <is>
          <t>NME-8</t>
        </is>
      </c>
      <c r="AW7" s="172" t="inlineStr">
        <is>
          <t>NME-8</t>
        </is>
      </c>
      <c r="AX7" s="172" t="inlineStr">
        <is>
          <t>NME-8</t>
        </is>
      </c>
      <c r="AY7" s="172" t="inlineStr">
        <is>
          <t>NME-8</t>
        </is>
      </c>
      <c r="AZ7" s="172" t="inlineStr">
        <is>
          <t>NME-4</t>
        </is>
      </c>
    </row>
    <row r="8">
      <c r="A8" s="163" t="inlineStr">
        <is>
          <t>Ethylene Purity</t>
        </is>
      </c>
      <c r="B8" s="215">
        <f>'NME-1 Klorinasi Langsung'!C21</f>
        <v>0.0</v>
      </c>
      <c r="C8" s="215">
        <f>'NME-1 Klorinasi Langsung'!C21</f>
        <v>0.0</v>
      </c>
      <c r="D8" s="215">
        <f>'NME-1 Klorinasi Langsung'!C21</f>
        <v>0.0</v>
      </c>
      <c r="E8" s="215">
        <f>'NME-1 Klorinasi Langsung'!G21+'NME-2 Oksiklorinasi'!C20</f>
        <v>11800.731180764502</v>
      </c>
      <c r="F8" s="215">
        <f>'NME-1 Klorinasi Langsung'!G21+'NME-2 Oksiklorinasi'!C20</f>
        <v>11800.731180764502</v>
      </c>
      <c r="G8" s="215">
        <f>'NME-1 Klorinasi Langsung'!G21+'NME-2 Oksiklorinasi'!C20</f>
        <v>11800.731180764502</v>
      </c>
      <c r="H8" s="215">
        <f>'NME-1 Klorinasi Langsung'!G21</f>
        <v>6099.053440133403</v>
      </c>
      <c r="I8" s="215">
        <f>'NME-1 Klorinasi Langsung'!G21</f>
        <v>6099.053440133403</v>
      </c>
      <c r="J8" s="215">
        <f>'NME-2 Oksiklorinasi'!C20</f>
        <v>5701.6777406310985</v>
      </c>
      <c r="K8" s="215">
        <f>'NME-1 Klorinasi Langsung'!K21</f>
        <v>0.0</v>
      </c>
      <c r="L8" s="215" t="inlineStr">
        <is>
          <t>-</t>
        </is>
      </c>
      <c r="M8" s="215" t="inlineStr">
        <is>
          <t>-</t>
        </is>
      </c>
      <c r="N8" s="215">
        <f>'NME-1 Klorinasi Langsung'!S21</f>
        <v>26.25804664787654</v>
      </c>
      <c r="O8" s="215">
        <f>'NME-1 Klorinasi Langsung'!O21</f>
        <v>0.0</v>
      </c>
      <c r="P8" s="215">
        <f>'NME-3 Kondensasi-Dekantasi'!C17</f>
        <v>0.0</v>
      </c>
      <c r="Q8" s="215">
        <f>'NME-2 Oksiklorinasi'!K20</f>
        <v>0.0</v>
      </c>
      <c r="R8" s="215">
        <f>'NME-2 Oksiklorinasi'!K20</f>
        <v>0.0</v>
      </c>
      <c r="S8" s="215">
        <f>'NME-2 Oksiklorinasi'!O20</f>
        <v>28.508388703155518</v>
      </c>
      <c r="T8" s="215" t="inlineStr">
        <is>
          <t>-</t>
        </is>
      </c>
      <c r="U8" s="215" t="inlineStr">
        <is>
          <t>-</t>
        </is>
      </c>
      <c r="V8" s="215" t="inlineStr">
        <is>
          <t>-</t>
        </is>
      </c>
      <c r="W8" s="215" t="inlineStr">
        <is>
          <t>-</t>
        </is>
      </c>
      <c r="X8" s="215" t="inlineStr">
        <is>
          <t>-</t>
        </is>
      </c>
      <c r="Y8" s="215" t="inlineStr">
        <is>
          <t>-</t>
        </is>
      </c>
      <c r="Z8" s="215">
        <f>'NME-3 Kondensasi-Dekantasi'!K17</f>
        <v>28.508388703155518</v>
      </c>
      <c r="AA8" s="215" t="inlineStr">
        <is>
          <t>-</t>
        </is>
      </c>
      <c r="AB8" s="215" t="inlineStr">
        <is>
          <t>-</t>
        </is>
      </c>
      <c r="AC8" s="215">
        <f>'NME-3 Kondensasi-Dekantasi'!O17</f>
        <v>0.0</v>
      </c>
      <c r="AD8" s="215">
        <f>'NME-3 Kondensasi-Dekantasi'!S17</f>
        <v>0.0</v>
      </c>
      <c r="AE8" s="215">
        <f>'NME-3 Kondensasi-Dekantasi'!S17</f>
        <v>0.0</v>
      </c>
      <c r="AF8" s="215">
        <f>'NME-4 Kolom Ringan'!C17</f>
        <v>0.0</v>
      </c>
      <c r="AG8" s="215">
        <f>'NME-4 Kolom Ringan'!K17</f>
        <v>0.0</v>
      </c>
      <c r="AH8" s="215">
        <f>'NME-4 Kolom Ringan'!O17</f>
        <v>0.0</v>
      </c>
      <c r="AI8" s="215">
        <f>'NME-5 Kolom Berat'!C17</f>
        <v>0.0</v>
      </c>
      <c r="AJ8" s="215">
        <f>'NME-5 Kolom Berat'!K17</f>
        <v>0.0</v>
      </c>
      <c r="AK8" s="215">
        <f>'NME-5 Kolom Berat'!G17</f>
        <v>0.0</v>
      </c>
      <c r="AL8" s="215">
        <f>'NME-5 Kolom Berat'!G17</f>
        <v>0.0</v>
      </c>
      <c r="AM8" s="215">
        <f>'NME-6 Pirolisis'!C15</f>
        <v>0.0</v>
      </c>
      <c r="AN8" s="215">
        <f>'NME-6 Pirolisis'!G15</f>
        <v>0.0</v>
      </c>
      <c r="AO8" s="215">
        <f>'NME-7 Kolom HCl'!C15</f>
        <v>0.0</v>
      </c>
      <c r="AP8" s="215">
        <f>'NME-7 Kolom HCl'!C15</f>
        <v>0.0</v>
      </c>
      <c r="AQ8" s="215">
        <f>'NME-7 Kolom HCl'!G15</f>
        <v>0.0</v>
      </c>
      <c r="AR8" s="215">
        <f>'NME-7 Kolom HCl'!G15</f>
        <v>0.0</v>
      </c>
      <c r="AS8" s="215">
        <f>'NME-2 Oksiklorinasi'!G20</f>
        <v>0.0</v>
      </c>
      <c r="AT8" s="215">
        <f>'NME-7 Kolom HCl'!K15</f>
        <v>0.0</v>
      </c>
      <c r="AU8" s="215">
        <f>'NME-8 Kolom VCM'!C16</f>
        <v>0.0</v>
      </c>
      <c r="AV8" s="215">
        <f>'NME-8 Kolom VCM'!G16</f>
        <v>0.0</v>
      </c>
      <c r="AW8" s="215">
        <f>'NME-8 Kolom VCM'!G16</f>
        <v>0.0</v>
      </c>
      <c r="AX8" s="215">
        <f>'NME-8 Kolom VCM'!K16</f>
        <v>0.0</v>
      </c>
      <c r="AY8" s="215">
        <f>'NME-8 Kolom VCM'!K16</f>
        <v>0.0</v>
      </c>
      <c r="AZ8" s="215">
        <f>'NME-4 Kolom Ringan'!G17</f>
        <v>0.0</v>
      </c>
    </row>
    <row r="9">
      <c r="A9" s="163" t="inlineStr">
        <is>
          <t>Methane</t>
        </is>
      </c>
      <c r="B9" s="215">
        <f>'NME-1 Klorinasi Langsung'!C22</f>
        <v>0.0</v>
      </c>
      <c r="C9" s="215">
        <f>'NME-1 Klorinasi Langsung'!C22</f>
        <v>0.0</v>
      </c>
      <c r="D9" s="215">
        <f>'NME-1 Klorinasi Langsung'!C22</f>
        <v>0.0</v>
      </c>
      <c r="E9" s="215">
        <f>'NME-1 Klorinasi Langsung'!G22+'NME-2 Oksiklorinasi'!C21</f>
        <v>2.7323201110250004</v>
      </c>
      <c r="F9" s="215">
        <f>'NME-1 Klorinasi Langsung'!G22+'NME-2 Oksiklorinasi'!C21</f>
        <v>2.7323201110250004</v>
      </c>
      <c r="G9" s="215">
        <f>'NME-1 Klorinasi Langsung'!G22+'NME-2 Oksiklorinasi'!C21</f>
        <v>2.7323201110250004</v>
      </c>
      <c r="H9" s="215">
        <f>'NME-1 Klorinasi Langsung'!G22</f>
        <v>1.4121638835275212</v>
      </c>
      <c r="I9" s="215">
        <f>'NME-1 Klorinasi Langsung'!G22</f>
        <v>1.4121638835275212</v>
      </c>
      <c r="J9" s="215">
        <f>'NME-2 Oksiklorinasi'!C21</f>
        <v>1.3201562274974794</v>
      </c>
      <c r="K9" s="215">
        <f>'NME-1 Klorinasi Langsung'!K22</f>
        <v>0.0</v>
      </c>
      <c r="L9" s="215" t="inlineStr">
        <is>
          <t>-</t>
        </is>
      </c>
      <c r="M9" s="215" t="inlineStr">
        <is>
          <t>-</t>
        </is>
      </c>
      <c r="N9" s="215">
        <f>'NME-1 Klorinasi Langsung'!S22</f>
        <v>1.4121638835275212</v>
      </c>
      <c r="O9" s="215">
        <f>'NME-1 Klorinasi Langsung'!O22</f>
        <v>0.0</v>
      </c>
      <c r="P9" s="215">
        <f>'NME-3 Kondensasi-Dekantasi'!C18</f>
        <v>0.0</v>
      </c>
      <c r="Q9" s="215">
        <f>'NME-2 Oksiklorinasi'!K21</f>
        <v>0.0</v>
      </c>
      <c r="R9" s="215">
        <f>'NME-2 Oksiklorinasi'!K21</f>
        <v>0.0</v>
      </c>
      <c r="S9" s="215">
        <f>'NME-2 Oksiklorinasi'!O21</f>
        <v>1.3201562274974794</v>
      </c>
      <c r="T9" s="215" t="inlineStr">
        <is>
          <t>-</t>
        </is>
      </c>
      <c r="U9" s="215" t="inlineStr">
        <is>
          <t>-</t>
        </is>
      </c>
      <c r="V9" s="215" t="inlineStr">
        <is>
          <t>-</t>
        </is>
      </c>
      <c r="W9" s="215" t="inlineStr">
        <is>
          <t>-</t>
        </is>
      </c>
      <c r="X9" s="215" t="inlineStr">
        <is>
          <t>-</t>
        </is>
      </c>
      <c r="Y9" s="215" t="inlineStr">
        <is>
          <t>-</t>
        </is>
      </c>
      <c r="Z9" s="215">
        <f>'NME-3 Kondensasi-Dekantasi'!K18</f>
        <v>1.3201562274974794</v>
      </c>
      <c r="AA9" s="215" t="inlineStr">
        <is>
          <t>-</t>
        </is>
      </c>
      <c r="AB9" s="215" t="inlineStr">
        <is>
          <t>-</t>
        </is>
      </c>
      <c r="AC9" s="215">
        <f>'NME-3 Kondensasi-Dekantasi'!O18</f>
        <v>0.0</v>
      </c>
      <c r="AD9" s="215">
        <f>'NME-3 Kondensasi-Dekantasi'!S18</f>
        <v>0.0</v>
      </c>
      <c r="AE9" s="215">
        <f>'NME-3 Kondensasi-Dekantasi'!S18</f>
        <v>0.0</v>
      </c>
      <c r="AF9" s="215">
        <f>'NME-4 Kolom Ringan'!C18</f>
        <v>0.0</v>
      </c>
      <c r="AG9" s="215">
        <f>'NME-4 Kolom Ringan'!K18</f>
        <v>0.0</v>
      </c>
      <c r="AH9" s="215">
        <f>'NME-4 Kolom Ringan'!O18</f>
        <v>0.0</v>
      </c>
      <c r="AI9" s="215">
        <f>'NME-5 Kolom Berat'!C18</f>
        <v>0.0</v>
      </c>
      <c r="AJ9" s="215">
        <f>'NME-5 Kolom Berat'!K18</f>
        <v>0.0</v>
      </c>
      <c r="AK9" s="215">
        <f>'NME-5 Kolom Berat'!G18</f>
        <v>0.0</v>
      </c>
      <c r="AL9" s="215">
        <f>'NME-5 Kolom Berat'!G18</f>
        <v>0.0</v>
      </c>
      <c r="AM9" s="215">
        <f>'NME-6 Pirolisis'!C16</f>
        <v>0.0</v>
      </c>
      <c r="AN9" s="215">
        <f>'NME-6 Pirolisis'!G16</f>
        <v>0.0</v>
      </c>
      <c r="AO9" s="215">
        <f>'NME-7 Kolom HCl'!C16</f>
        <v>0.0</v>
      </c>
      <c r="AP9" s="215">
        <f>'NME-7 Kolom HCl'!C16</f>
        <v>0.0</v>
      </c>
      <c r="AQ9" s="215">
        <f>'NME-7 Kolom HCl'!G16</f>
        <v>0.0</v>
      </c>
      <c r="AR9" s="215">
        <f>'NME-7 Kolom HCl'!G16</f>
        <v>0.0</v>
      </c>
      <c r="AS9" s="215">
        <f>'NME-2 Oksiklorinasi'!G21</f>
        <v>0.0</v>
      </c>
      <c r="AT9" s="215">
        <f>'NME-7 Kolom HCl'!K16</f>
        <v>0.0</v>
      </c>
      <c r="AU9" s="215">
        <f>'NME-8 Kolom VCM'!C17</f>
        <v>0.0</v>
      </c>
      <c r="AV9" s="215">
        <f>'NME-8 Kolom VCM'!G17</f>
        <v>0.0</v>
      </c>
      <c r="AW9" s="215">
        <f>'NME-8 Kolom VCM'!G17</f>
        <v>0.0</v>
      </c>
      <c r="AX9" s="215">
        <f>'NME-8 Kolom VCM'!K17</f>
        <v>0.0</v>
      </c>
      <c r="AY9" s="215">
        <f>'NME-8 Kolom VCM'!K17</f>
        <v>0.0</v>
      </c>
      <c r="AZ9" s="215">
        <f>'NME-4 Kolom Ringan'!G18</f>
        <v>0.0</v>
      </c>
    </row>
    <row r="10">
      <c r="A10" s="163" t="inlineStr">
        <is>
          <t>Ethane</t>
        </is>
      </c>
      <c r="B10" s="215">
        <f>'NME-1 Klorinasi Langsung'!C23</f>
        <v>0.0</v>
      </c>
      <c r="C10" s="215">
        <f>'NME-1 Klorinasi Langsung'!C23</f>
        <v>0.0</v>
      </c>
      <c r="D10" s="215">
        <f>'NME-1 Klorinasi Langsung'!C23</f>
        <v>0.0</v>
      </c>
      <c r="E10" s="215">
        <f>'NME-1 Klorinasi Langsung'!G23+'NME-2 Oksiklorinasi'!C22</f>
        <v>0.1491056758712641</v>
      </c>
      <c r="F10" s="215">
        <f>'NME-1 Klorinasi Langsung'!G23+'NME-2 Oksiklorinasi'!C22</f>
        <v>0.1491056758712641</v>
      </c>
      <c r="G10" s="215">
        <f>'NME-1 Klorinasi Langsung'!G23+'NME-2 Oksiklorinasi'!C22</f>
        <v>0.1491056758712641</v>
      </c>
      <c r="H10" s="215">
        <f>'NME-1 Klorinasi Langsung'!G23</f>
        <v>0.07706331679247136</v>
      </c>
      <c r="I10" s="215">
        <f>'NME-1 Klorinasi Langsung'!G23</f>
        <v>0.07706331679247136</v>
      </c>
      <c r="J10" s="215">
        <f>'NME-2 Oksiklorinasi'!C22</f>
        <v>0.07204235907879274</v>
      </c>
      <c r="K10" s="215">
        <f>'NME-1 Klorinasi Langsung'!K23</f>
        <v>0.0</v>
      </c>
      <c r="L10" s="215" t="inlineStr">
        <is>
          <t>-</t>
        </is>
      </c>
      <c r="M10" s="215" t="inlineStr">
        <is>
          <t>-</t>
        </is>
      </c>
      <c r="N10" s="215">
        <f>'NME-1 Klorinasi Langsung'!S23</f>
        <v>0.07706331679247136</v>
      </c>
      <c r="O10" s="215">
        <f>'NME-1 Klorinasi Langsung'!O23</f>
        <v>0.0</v>
      </c>
      <c r="P10" s="215">
        <f>'NME-3 Kondensasi-Dekantasi'!C19</f>
        <v>0.0</v>
      </c>
      <c r="Q10" s="215">
        <f>'NME-2 Oksiklorinasi'!K22</f>
        <v>0.0</v>
      </c>
      <c r="R10" s="215">
        <f>'NME-2 Oksiklorinasi'!K22</f>
        <v>0.0</v>
      </c>
      <c r="S10" s="215">
        <f>'NME-2 Oksiklorinasi'!O22</f>
        <v>0.07204235907879274</v>
      </c>
      <c r="T10" s="215" t="inlineStr">
        <is>
          <t>-</t>
        </is>
      </c>
      <c r="U10" s="215" t="inlineStr">
        <is>
          <t>-</t>
        </is>
      </c>
      <c r="V10" s="215" t="inlineStr">
        <is>
          <t>-</t>
        </is>
      </c>
      <c r="W10" s="215" t="inlineStr">
        <is>
          <t>-</t>
        </is>
      </c>
      <c r="X10" s="215" t="inlineStr">
        <is>
          <t>-</t>
        </is>
      </c>
      <c r="Y10" s="215" t="inlineStr">
        <is>
          <t>-</t>
        </is>
      </c>
      <c r="Z10" s="215">
        <f>'NME-3 Kondensasi-Dekantasi'!K19</f>
        <v>0.07204235907879274</v>
      </c>
      <c r="AA10" s="215" t="inlineStr">
        <is>
          <t>-</t>
        </is>
      </c>
      <c r="AB10" s="215" t="inlineStr">
        <is>
          <t>-</t>
        </is>
      </c>
      <c r="AC10" s="215">
        <f>'NME-3 Kondensasi-Dekantasi'!O19</f>
        <v>0.0</v>
      </c>
      <c r="AD10" s="215">
        <f>'NME-3 Kondensasi-Dekantasi'!S19</f>
        <v>0.0</v>
      </c>
      <c r="AE10" s="215">
        <f>'NME-3 Kondensasi-Dekantasi'!S19</f>
        <v>0.0</v>
      </c>
      <c r="AF10" s="215">
        <f>'NME-4 Kolom Ringan'!C19</f>
        <v>0.0</v>
      </c>
      <c r="AG10" s="215">
        <f>'NME-4 Kolom Ringan'!K19</f>
        <v>0.0</v>
      </c>
      <c r="AH10" s="215">
        <f>'NME-4 Kolom Ringan'!O19</f>
        <v>0.0</v>
      </c>
      <c r="AI10" s="215">
        <f>'NME-5 Kolom Berat'!C19</f>
        <v>0.0</v>
      </c>
      <c r="AJ10" s="215">
        <f>'NME-5 Kolom Berat'!K19</f>
        <v>0.0</v>
      </c>
      <c r="AK10" s="215">
        <f>'NME-5 Kolom Berat'!G19</f>
        <v>0.0</v>
      </c>
      <c r="AL10" s="215">
        <f>'NME-5 Kolom Berat'!G19</f>
        <v>0.0</v>
      </c>
      <c r="AM10" s="215">
        <f>'NME-6 Pirolisis'!C17</f>
        <v>0.0</v>
      </c>
      <c r="AN10" s="215">
        <f>'NME-6 Pirolisis'!G17</f>
        <v>0.0</v>
      </c>
      <c r="AO10" s="215">
        <f>'NME-7 Kolom HCl'!C17</f>
        <v>0.0</v>
      </c>
      <c r="AP10" s="215">
        <f>'NME-7 Kolom HCl'!C17</f>
        <v>0.0</v>
      </c>
      <c r="AQ10" s="215">
        <f>'NME-7 Kolom HCl'!G17</f>
        <v>0.0</v>
      </c>
      <c r="AR10" s="215">
        <f>'NME-7 Kolom HCl'!G17</f>
        <v>0.0</v>
      </c>
      <c r="AS10" s="215">
        <f>'NME-2 Oksiklorinasi'!G22</f>
        <v>0.0</v>
      </c>
      <c r="AT10" s="215">
        <f>'NME-7 Kolom HCl'!K17</f>
        <v>0.0</v>
      </c>
      <c r="AU10" s="215">
        <f>'NME-8 Kolom VCM'!C18</f>
        <v>0.0</v>
      </c>
      <c r="AV10" s="215">
        <f>'NME-8 Kolom VCM'!G18</f>
        <v>0.0</v>
      </c>
      <c r="AW10" s="215">
        <f>'NME-8 Kolom VCM'!G18</f>
        <v>0.0</v>
      </c>
      <c r="AX10" s="215">
        <f>'NME-8 Kolom VCM'!K18</f>
        <v>0.0</v>
      </c>
      <c r="AY10" s="215">
        <f>'NME-8 Kolom VCM'!K18</f>
        <v>0.0</v>
      </c>
      <c r="AZ10" s="215">
        <f>'NME-4 Kolom Ringan'!G19</f>
        <v>0.0</v>
      </c>
    </row>
    <row r="11">
      <c r="A11" s="163" t="inlineStr">
        <is>
          <t>Acetylene</t>
        </is>
      </c>
      <c r="B11" s="215">
        <f>'NME-1 Klorinasi Langsung'!C24</f>
        <v>0.0</v>
      </c>
      <c r="C11" s="215">
        <f>'NME-1 Klorinasi Langsung'!C24</f>
        <v>0.0</v>
      </c>
      <c r="D11" s="215">
        <f>'NME-1 Klorinasi Langsung'!C24</f>
        <v>0.0</v>
      </c>
      <c r="E11" s="215">
        <f>'NME-1 Klorinasi Langsung'!G24+'NME-2 Oksiklorinasi'!C23</f>
        <v>0.05710839784427929</v>
      </c>
      <c r="F11" s="215">
        <f>'NME-1 Klorinasi Langsung'!G24+'NME-2 Oksiklorinasi'!C23</f>
        <v>0.05710839784427929</v>
      </c>
      <c r="G11" s="215">
        <f>'NME-1 Klorinasi Langsung'!G24+'NME-2 Oksiklorinasi'!C23</f>
        <v>0.05710839784427929</v>
      </c>
      <c r="H11" s="215">
        <f>'NME-1 Klorinasi Langsung'!G24</f>
        <v>0.02951572788137131</v>
      </c>
      <c r="I11" s="215">
        <f>'NME-1 Klorinasi Langsung'!G24</f>
        <v>0.02951572788137131</v>
      </c>
      <c r="J11" s="215">
        <f>'NME-2 Oksiklorinasi'!C23</f>
        <v>0.027592669962907983</v>
      </c>
      <c r="K11" s="215">
        <f>'NME-1 Klorinasi Langsung'!K24</f>
        <v>0.0</v>
      </c>
      <c r="L11" s="215" t="inlineStr">
        <is>
          <t>-</t>
        </is>
      </c>
      <c r="M11" s="215" t="inlineStr">
        <is>
          <t>-</t>
        </is>
      </c>
      <c r="N11" s="215">
        <f>'NME-1 Klorinasi Langsung'!S24</f>
        <v>0.02951572788137131</v>
      </c>
      <c r="O11" s="215">
        <f>'NME-1 Klorinasi Langsung'!O24</f>
        <v>0.0</v>
      </c>
      <c r="P11" s="215">
        <f>'NME-3 Kondensasi-Dekantasi'!C20</f>
        <v>0.0</v>
      </c>
      <c r="Q11" s="215">
        <f>'NME-2 Oksiklorinasi'!K23</f>
        <v>0.0</v>
      </c>
      <c r="R11" s="215">
        <f>'NME-2 Oksiklorinasi'!K23</f>
        <v>0.0</v>
      </c>
      <c r="S11" s="215">
        <f>'NME-2 Oksiklorinasi'!O23</f>
        <v>0.027592669962907983</v>
      </c>
      <c r="T11" s="215" t="inlineStr">
        <is>
          <t>-</t>
        </is>
      </c>
      <c r="U11" s="215" t="inlineStr">
        <is>
          <t>-</t>
        </is>
      </c>
      <c r="V11" s="215" t="inlineStr">
        <is>
          <t>-</t>
        </is>
      </c>
      <c r="W11" s="215" t="inlineStr">
        <is>
          <t>-</t>
        </is>
      </c>
      <c r="X11" s="215" t="inlineStr">
        <is>
          <t>-</t>
        </is>
      </c>
      <c r="Y11" s="215" t="inlineStr">
        <is>
          <t>-</t>
        </is>
      </c>
      <c r="Z11" s="215">
        <f>'NME-3 Kondensasi-Dekantasi'!K20</f>
        <v>0.027592669962907983</v>
      </c>
      <c r="AA11" s="215" t="inlineStr">
        <is>
          <t>-</t>
        </is>
      </c>
      <c r="AB11" s="215" t="inlineStr">
        <is>
          <t>-</t>
        </is>
      </c>
      <c r="AC11" s="215">
        <f>'NME-3 Kondensasi-Dekantasi'!O20</f>
        <v>0.0</v>
      </c>
      <c r="AD11" s="215">
        <f>'NME-3 Kondensasi-Dekantasi'!S20</f>
        <v>0.0</v>
      </c>
      <c r="AE11" s="215">
        <f>'NME-3 Kondensasi-Dekantasi'!S20</f>
        <v>0.0</v>
      </c>
      <c r="AF11" s="215">
        <f>'NME-4 Kolom Ringan'!C20</f>
        <v>0.0</v>
      </c>
      <c r="AG11" s="215">
        <f>'NME-4 Kolom Ringan'!K20</f>
        <v>0.0</v>
      </c>
      <c r="AH11" s="215">
        <f>'NME-4 Kolom Ringan'!O20</f>
        <v>0.0</v>
      </c>
      <c r="AI11" s="215">
        <f>'NME-5 Kolom Berat'!C20</f>
        <v>0.0</v>
      </c>
      <c r="AJ11" s="215">
        <f>'NME-5 Kolom Berat'!K20</f>
        <v>0.0</v>
      </c>
      <c r="AK11" s="215">
        <f>'NME-5 Kolom Berat'!G20</f>
        <v>0.0</v>
      </c>
      <c r="AL11" s="215">
        <f>'NME-5 Kolom Berat'!G20</f>
        <v>0.0</v>
      </c>
      <c r="AM11" s="215">
        <f>'NME-6 Pirolisis'!C18</f>
        <v>0.0</v>
      </c>
      <c r="AN11" s="215">
        <f>'NME-6 Pirolisis'!G18</f>
        <v>0.0</v>
      </c>
      <c r="AO11" s="215">
        <f>'NME-7 Kolom HCl'!C18</f>
        <v>0.0</v>
      </c>
      <c r="AP11" s="215">
        <f>'NME-7 Kolom HCl'!C18</f>
        <v>0.0</v>
      </c>
      <c r="AQ11" s="215">
        <f>'NME-7 Kolom HCl'!G18</f>
        <v>0.0</v>
      </c>
      <c r="AR11" s="215">
        <f>'NME-7 Kolom HCl'!G18</f>
        <v>0.0</v>
      </c>
      <c r="AS11" s="215">
        <f>'NME-2 Oksiklorinasi'!G23</f>
        <v>0.0</v>
      </c>
      <c r="AT11" s="215">
        <f>'NME-7 Kolom HCl'!K18</f>
        <v>0.0</v>
      </c>
      <c r="AU11" s="215">
        <f>'NME-8 Kolom VCM'!C19</f>
        <v>0.0</v>
      </c>
      <c r="AV11" s="215">
        <f>'NME-8 Kolom VCM'!G19</f>
        <v>0.0</v>
      </c>
      <c r="AW11" s="215">
        <f>'NME-8 Kolom VCM'!G19</f>
        <v>0.0</v>
      </c>
      <c r="AX11" s="215">
        <f>'NME-8 Kolom VCM'!K19</f>
        <v>0.0</v>
      </c>
      <c r="AY11" s="215">
        <f>'NME-8 Kolom VCM'!K19</f>
        <v>0.0</v>
      </c>
      <c r="AZ11" s="215">
        <f>'NME-4 Kolom Ringan'!G20</f>
        <v>0.0</v>
      </c>
    </row>
    <row r="12">
      <c r="A12" s="163" t="inlineStr">
        <is>
          <t>Chlorine</t>
        </is>
      </c>
      <c r="B12" s="215">
        <f>'NME-1 Klorinasi Langsung'!C25</f>
        <v>15353.620243935302</v>
      </c>
      <c r="C12" s="215">
        <f>'NME-1 Klorinasi Langsung'!C25</f>
        <v>15353.620243935302</v>
      </c>
      <c r="D12" s="215">
        <f>'NME-1 Klorinasi Langsung'!C25</f>
        <v>15353.620243935302</v>
      </c>
      <c r="E12" s="215">
        <f>'NME-1 Klorinasi Langsung'!G25+'NME-2 Oksiklorinasi'!C24</f>
        <v>0.0</v>
      </c>
      <c r="F12" s="215">
        <f>'NME-1 Klorinasi Langsung'!G25+'NME-2 Oksiklorinasi'!C24</f>
        <v>0.0</v>
      </c>
      <c r="G12" s="215">
        <f>'NME-1 Klorinasi Langsung'!G25+'NME-2 Oksiklorinasi'!C24</f>
        <v>0.0</v>
      </c>
      <c r="H12" s="215">
        <f>'NME-1 Klorinasi Langsung'!G25</f>
        <v>0.0</v>
      </c>
      <c r="I12" s="215">
        <f>'NME-1 Klorinasi Langsung'!G25</f>
        <v>0.0</v>
      </c>
      <c r="J12" s="215">
        <f>'NME-2 Oksiklorinasi'!C24</f>
        <v>0.0</v>
      </c>
      <c r="K12" s="215">
        <f>'NME-1 Klorinasi Langsung'!K25</f>
        <v>0.0</v>
      </c>
      <c r="L12" s="215" t="inlineStr">
        <is>
          <t>-</t>
        </is>
      </c>
      <c r="M12" s="215" t="inlineStr">
        <is>
          <t>-</t>
        </is>
      </c>
      <c r="N12" s="215">
        <f>'NME-1 Klorinasi Langsung'!S25</f>
        <v>1.535362024393377</v>
      </c>
      <c r="O12" s="215">
        <f>'NME-1 Klorinasi Langsung'!O25</f>
        <v>0.0</v>
      </c>
      <c r="P12" s="215">
        <f>'NME-3 Kondensasi-Dekantasi'!C21</f>
        <v>0.0</v>
      </c>
      <c r="Q12" s="215">
        <f>'NME-2 Oksiklorinasi'!K24</f>
        <v>0.0</v>
      </c>
      <c r="R12" s="215">
        <f>'NME-2 Oksiklorinasi'!K24</f>
        <v>0.0</v>
      </c>
      <c r="S12" s="215">
        <f>'NME-2 Oksiklorinasi'!O24</f>
        <v>219.45229882203654</v>
      </c>
      <c r="T12" s="215" t="inlineStr">
        <is>
          <t>-</t>
        </is>
      </c>
      <c r="U12" s="215" t="inlineStr">
        <is>
          <t>-</t>
        </is>
      </c>
      <c r="V12" s="215" t="inlineStr">
        <is>
          <t>-</t>
        </is>
      </c>
      <c r="W12" s="215" t="inlineStr">
        <is>
          <t>-</t>
        </is>
      </c>
      <c r="X12" s="215" t="inlineStr">
        <is>
          <t>-</t>
        </is>
      </c>
      <c r="Y12" s="215" t="inlineStr">
        <is>
          <t>-</t>
        </is>
      </c>
      <c r="Z12" s="215">
        <f>'NME-3 Kondensasi-Dekantasi'!K21</f>
        <v>219.45229882203654</v>
      </c>
      <c r="AA12" s="215" t="inlineStr">
        <is>
          <t>-</t>
        </is>
      </c>
      <c r="AB12" s="215" t="inlineStr">
        <is>
          <t>-</t>
        </is>
      </c>
      <c r="AC12" s="215">
        <f>'NME-3 Kondensasi-Dekantasi'!O21</f>
        <v>0.0</v>
      </c>
      <c r="AD12" s="215">
        <f>'NME-3 Kondensasi-Dekantasi'!S21</f>
        <v>0.0</v>
      </c>
      <c r="AE12" s="215">
        <f>'NME-3 Kondensasi-Dekantasi'!S21</f>
        <v>0.0</v>
      </c>
      <c r="AF12" s="215">
        <f>'NME-4 Kolom Ringan'!C21</f>
        <v>0.0</v>
      </c>
      <c r="AG12" s="215">
        <f>'NME-4 Kolom Ringan'!K21</f>
        <v>0.0</v>
      </c>
      <c r="AH12" s="215">
        <f>'NME-4 Kolom Ringan'!O21</f>
        <v>0.0</v>
      </c>
      <c r="AI12" s="215">
        <f>'NME-5 Kolom Berat'!C21</f>
        <v>0.0</v>
      </c>
      <c r="AJ12" s="215">
        <f>'NME-5 Kolom Berat'!K21</f>
        <v>0.0</v>
      </c>
      <c r="AK12" s="215">
        <f>'NME-5 Kolom Berat'!G21</f>
        <v>0.0</v>
      </c>
      <c r="AL12" s="215">
        <f>'NME-5 Kolom Berat'!G21</f>
        <v>0.0</v>
      </c>
      <c r="AM12" s="215">
        <f>'NME-6 Pirolisis'!C19</f>
        <v>0.0</v>
      </c>
      <c r="AN12" s="215">
        <f>'NME-6 Pirolisis'!G19</f>
        <v>219.45229882203654</v>
      </c>
      <c r="AO12" s="215">
        <f>'NME-7 Kolom HCl'!C19</f>
        <v>219.45229882203654</v>
      </c>
      <c r="AP12" s="215">
        <f>'NME-7 Kolom HCl'!C19</f>
        <v>219.45229882203654</v>
      </c>
      <c r="AQ12" s="215">
        <f>'NME-7 Kolom HCl'!G19</f>
        <v>219.45229882203654</v>
      </c>
      <c r="AR12" s="215">
        <f>'NME-7 Kolom HCl'!G19</f>
        <v>219.45229882203654</v>
      </c>
      <c r="AS12" s="215">
        <f>'NME-2 Oksiklorinasi'!G24</f>
        <v>219.45229882203654</v>
      </c>
      <c r="AT12" s="215">
        <f>'NME-7 Kolom HCl'!K19</f>
        <v>0.0</v>
      </c>
      <c r="AU12" s="215">
        <f>'NME-8 Kolom VCM'!C20</f>
        <v>0.0</v>
      </c>
      <c r="AV12" s="215">
        <f>'NME-8 Kolom VCM'!G20</f>
        <v>0.0</v>
      </c>
      <c r="AW12" s="215">
        <f>'NME-8 Kolom VCM'!G20</f>
        <v>0.0</v>
      </c>
      <c r="AX12" s="215">
        <f>'NME-8 Kolom VCM'!K20</f>
        <v>0.0</v>
      </c>
      <c r="AY12" s="215">
        <f>'NME-8 Kolom VCM'!K20</f>
        <v>0.0</v>
      </c>
      <c r="AZ12" s="215">
        <f>'NME-4 Kolom Ringan'!G21</f>
        <v>0.0</v>
      </c>
    </row>
    <row r="13">
      <c r="A13" s="163" t="inlineStr">
        <is>
          <t>CₙHₘ</t>
        </is>
      </c>
      <c r="B13" s="215">
        <f>'NME-1 Klorinasi Langsung'!C26</f>
        <v>0.06150852751431059</v>
      </c>
      <c r="C13" s="215">
        <f>'NME-1 Klorinasi Langsung'!C26</f>
        <v>0.06150852751431059</v>
      </c>
      <c r="D13" s="215">
        <f>'NME-1 Klorinasi Langsung'!C26</f>
        <v>0.06150852751431059</v>
      </c>
      <c r="E13" s="215">
        <f>'NME-1 Klorinasi Langsung'!G26+'NME-2 Oksiklorinasi'!C25</f>
        <v>0.0</v>
      </c>
      <c r="F13" s="215">
        <f>'NME-1 Klorinasi Langsung'!G26+'NME-2 Oksiklorinasi'!C25</f>
        <v>0.0</v>
      </c>
      <c r="G13" s="215">
        <f>'NME-1 Klorinasi Langsung'!G26+'NME-2 Oksiklorinasi'!C25</f>
        <v>0.0</v>
      </c>
      <c r="H13" s="215">
        <f>'NME-1 Klorinasi Langsung'!G26</f>
        <v>0.0</v>
      </c>
      <c r="I13" s="215">
        <f>'NME-1 Klorinasi Langsung'!G26</f>
        <v>0.0</v>
      </c>
      <c r="J13" s="215">
        <f>'NME-2 Oksiklorinasi'!C25</f>
        <v>0.0</v>
      </c>
      <c r="K13" s="215">
        <f>'NME-1 Klorinasi Langsung'!K26</f>
        <v>0.0</v>
      </c>
      <c r="L13" s="215" t="inlineStr">
        <is>
          <t>-</t>
        </is>
      </c>
      <c r="M13" s="215" t="inlineStr">
        <is>
          <t>-</t>
        </is>
      </c>
      <c r="N13" s="215">
        <f>'NME-1 Klorinasi Langsung'!S26</f>
        <v>0.06150852751431059</v>
      </c>
      <c r="O13" s="215">
        <f>'NME-1 Klorinasi Langsung'!O26</f>
        <v>0.0</v>
      </c>
      <c r="P13" s="215">
        <f>'NME-3 Kondensasi-Dekantasi'!C22</f>
        <v>0.0</v>
      </c>
      <c r="Q13" s="215">
        <f>'NME-2 Oksiklorinasi'!K25</f>
        <v>0.0</v>
      </c>
      <c r="R13" s="215">
        <f>'NME-2 Oksiklorinasi'!K25</f>
        <v>0.0</v>
      </c>
      <c r="S13" s="215">
        <f>'NME-2 Oksiklorinasi'!O25</f>
        <v>0.0</v>
      </c>
      <c r="T13" s="215" t="inlineStr">
        <is>
          <t>-</t>
        </is>
      </c>
      <c r="U13" s="215" t="inlineStr">
        <is>
          <t>-</t>
        </is>
      </c>
      <c r="V13" s="215" t="inlineStr">
        <is>
          <t>-</t>
        </is>
      </c>
      <c r="W13" s="215" t="inlineStr">
        <is>
          <t>-</t>
        </is>
      </c>
      <c r="X13" s="215" t="inlineStr">
        <is>
          <t>-</t>
        </is>
      </c>
      <c r="Y13" s="215" t="inlineStr">
        <is>
          <t>-</t>
        </is>
      </c>
      <c r="Z13" s="215">
        <f>'NME-3 Kondensasi-Dekantasi'!K22</f>
        <v>0.0</v>
      </c>
      <c r="AA13" s="215" t="inlineStr">
        <is>
          <t>-</t>
        </is>
      </c>
      <c r="AB13" s="215" t="inlineStr">
        <is>
          <t>-</t>
        </is>
      </c>
      <c r="AC13" s="215">
        <f>'NME-3 Kondensasi-Dekantasi'!O22</f>
        <v>0.0</v>
      </c>
      <c r="AD13" s="215">
        <f>'NME-3 Kondensasi-Dekantasi'!S22</f>
        <v>0.0</v>
      </c>
      <c r="AE13" s="215">
        <f>'NME-3 Kondensasi-Dekantasi'!S22</f>
        <v>0.0</v>
      </c>
      <c r="AF13" s="215">
        <f>'NME-4 Kolom Ringan'!C22</f>
        <v>0.0</v>
      </c>
      <c r="AG13" s="215">
        <f>'NME-4 Kolom Ringan'!K22</f>
        <v>0.0</v>
      </c>
      <c r="AH13" s="215">
        <f>'NME-4 Kolom Ringan'!O22</f>
        <v>0.0</v>
      </c>
      <c r="AI13" s="215">
        <f>'NME-5 Kolom Berat'!C22</f>
        <v>0.0</v>
      </c>
      <c r="AJ13" s="215">
        <f>'NME-5 Kolom Berat'!K22</f>
        <v>0.0</v>
      </c>
      <c r="AK13" s="215">
        <f>'NME-5 Kolom Berat'!G22</f>
        <v>0.0</v>
      </c>
      <c r="AL13" s="215">
        <f>'NME-5 Kolom Berat'!G22</f>
        <v>0.0</v>
      </c>
      <c r="AM13" s="215">
        <f>'NME-6 Pirolisis'!C20</f>
        <v>0.0</v>
      </c>
      <c r="AN13" s="215">
        <f>'NME-6 Pirolisis'!G20</f>
        <v>0.0</v>
      </c>
      <c r="AO13" s="215">
        <f>'NME-7 Kolom HCl'!C20</f>
        <v>0.0</v>
      </c>
      <c r="AP13" s="215">
        <f>'NME-7 Kolom HCl'!C20</f>
        <v>0.0</v>
      </c>
      <c r="AQ13" s="215">
        <f>'NME-7 Kolom HCl'!G20</f>
        <v>0.0</v>
      </c>
      <c r="AR13" s="215">
        <f>'NME-7 Kolom HCl'!G20</f>
        <v>0.0</v>
      </c>
      <c r="AS13" s="215">
        <f>'NME-2 Oksiklorinasi'!G25</f>
        <v>0.0</v>
      </c>
      <c r="AT13" s="215">
        <f>'NME-7 Kolom HCl'!K20</f>
        <v>0.0</v>
      </c>
      <c r="AU13" s="215">
        <f>'NME-8 Kolom VCM'!C21</f>
        <v>0.0</v>
      </c>
      <c r="AV13" s="215">
        <f>'NME-8 Kolom VCM'!G21</f>
        <v>0.0</v>
      </c>
      <c r="AW13" s="215">
        <f>'NME-8 Kolom VCM'!G21</f>
        <v>0.0</v>
      </c>
      <c r="AX13" s="215">
        <f>'NME-8 Kolom VCM'!K21</f>
        <v>0.0</v>
      </c>
      <c r="AY13" s="215">
        <f>'NME-8 Kolom VCM'!K21</f>
        <v>0.0</v>
      </c>
      <c r="AZ13" s="215">
        <f>'NME-4 Kolom Ringan'!G22</f>
        <v>0.0</v>
      </c>
    </row>
    <row r="14">
      <c r="A14" s="163" t="inlineStr">
        <is>
          <t>Water</t>
        </is>
      </c>
      <c r="B14" s="215">
        <f>'NME-1 Klorinasi Langsung'!C27</f>
        <v>0.18452558254293175</v>
      </c>
      <c r="C14" s="215">
        <f>'NME-1 Klorinasi Langsung'!C27</f>
        <v>0.18452558254293175</v>
      </c>
      <c r="D14" s="215">
        <f>'NME-1 Klorinasi Langsung'!C27</f>
        <v>0.18452558254293175</v>
      </c>
      <c r="E14" s="215">
        <f>'NME-1 Klorinasi Langsung'!G27+'NME-2 Oksiklorinasi'!C26</f>
        <v>0.0</v>
      </c>
      <c r="F14" s="215">
        <f>'NME-1 Klorinasi Langsung'!G27+'NME-2 Oksiklorinasi'!C26</f>
        <v>0.0</v>
      </c>
      <c r="G14" s="215">
        <f>'NME-1 Klorinasi Langsung'!G27+'NME-2 Oksiklorinasi'!C26</f>
        <v>0.0</v>
      </c>
      <c r="H14" s="215">
        <f>'NME-1 Klorinasi Langsung'!G27</f>
        <v>0.0</v>
      </c>
      <c r="I14" s="215">
        <f>'NME-1 Klorinasi Langsung'!G27</f>
        <v>0.0</v>
      </c>
      <c r="J14" s="215">
        <f>'NME-2 Oksiklorinasi'!C26</f>
        <v>0.0</v>
      </c>
      <c r="K14" s="215">
        <f>'NME-1 Klorinasi Langsung'!K27</f>
        <v>0.0</v>
      </c>
      <c r="L14" s="215" t="inlineStr">
        <is>
          <t>-</t>
        </is>
      </c>
      <c r="M14" s="215" t="inlineStr">
        <is>
          <t>-</t>
        </is>
      </c>
      <c r="N14" s="215">
        <f>'NME-1 Klorinasi Langsung'!S27</f>
        <v>0.0</v>
      </c>
      <c r="O14" s="215">
        <f>'NME-1 Klorinasi Langsung'!O27</f>
        <v>0.18452558254293175</v>
      </c>
      <c r="P14" s="215">
        <f>'NME-3 Kondensasi-Dekantasi'!C23</f>
        <v>0.18452558254293175</v>
      </c>
      <c r="Q14" s="215">
        <f>'NME-2 Oksiklorinasi'!K26</f>
        <v>0.0</v>
      </c>
      <c r="R14" s="215">
        <f>'NME-2 Oksiklorinasi'!K26</f>
        <v>0.0</v>
      </c>
      <c r="S14" s="215">
        <f>'NME-2 Oksiklorinasi'!O26</f>
        <v>3632.0666821664117</v>
      </c>
      <c r="T14" s="215" t="inlineStr">
        <is>
          <t>-</t>
        </is>
      </c>
      <c r="U14" s="215" t="inlineStr">
        <is>
          <t>-</t>
        </is>
      </c>
      <c r="V14" s="215" t="inlineStr">
        <is>
          <t>-</t>
        </is>
      </c>
      <c r="W14" s="215" t="inlineStr">
        <is>
          <t>-</t>
        </is>
      </c>
      <c r="X14" s="215" t="inlineStr">
        <is>
          <t>-</t>
        </is>
      </c>
      <c r="Y14" s="215" t="inlineStr">
        <is>
          <t>-</t>
        </is>
      </c>
      <c r="Z14" s="215">
        <f>'NME-3 Kondensasi-Dekantasi'!K23</f>
        <v>0.0</v>
      </c>
      <c r="AA14" s="215" t="inlineStr">
        <is>
          <t>-</t>
        </is>
      </c>
      <c r="AB14" s="215" t="inlineStr">
        <is>
          <t>-</t>
        </is>
      </c>
      <c r="AC14" s="215">
        <f>'NME-3 Kondensasi-Dekantasi'!O23</f>
        <v>3549.818993766917</v>
      </c>
      <c r="AD14" s="215">
        <f>'NME-3 Kondensasi-Dekantasi'!S23</f>
        <v>82.43221398205901</v>
      </c>
      <c r="AE14" s="215">
        <f>'NME-3 Kondensasi-Dekantasi'!S23</f>
        <v>82.43221398205901</v>
      </c>
      <c r="AF14" s="215">
        <f>'NME-4 Kolom Ringan'!C23</f>
        <v>82.43221398205901</v>
      </c>
      <c r="AG14" s="215">
        <f>'NME-4 Kolom Ringan'!K23</f>
        <v>82.43221398205901</v>
      </c>
      <c r="AH14" s="215">
        <f>'NME-4 Kolom Ringan'!O23</f>
        <v>2.614266409950987</v>
      </c>
      <c r="AI14" s="215">
        <f>'NME-5 Kolom Berat'!C23</f>
        <v>2.614266409950987</v>
      </c>
      <c r="AJ14" s="215">
        <f>'NME-5 Kolom Berat'!K23</f>
        <v>0.0</v>
      </c>
      <c r="AK14" s="215">
        <f>'NME-5 Kolom Berat'!G23</f>
        <v>2.614266409950987</v>
      </c>
      <c r="AL14" s="215">
        <f>'NME-5 Kolom Berat'!G23</f>
        <v>2.614266409950987</v>
      </c>
      <c r="AM14" s="215">
        <f>'NME-6 Pirolisis'!C21</f>
        <v>2.614266409950987</v>
      </c>
      <c r="AN14" s="215">
        <f>'NME-6 Pirolisis'!G21</f>
        <v>2.614266409950987</v>
      </c>
      <c r="AO14" s="215">
        <f>'NME-7 Kolom HCl'!C21</f>
        <v>2.614266409950987</v>
      </c>
      <c r="AP14" s="215">
        <f>'NME-7 Kolom HCl'!C21</f>
        <v>2.614266409950987</v>
      </c>
      <c r="AQ14" s="215">
        <f>'NME-7 Kolom HCl'!G21</f>
        <v>0.0</v>
      </c>
      <c r="AR14" s="215">
        <f>'NME-7 Kolom HCl'!G21</f>
        <v>0.0</v>
      </c>
      <c r="AS14" s="215">
        <f>'NME-2 Oksiklorinasi'!G26</f>
        <v>0.0</v>
      </c>
      <c r="AT14" s="215">
        <f>'NME-7 Kolom HCl'!K21</f>
        <v>2.614266409950987</v>
      </c>
      <c r="AU14" s="215">
        <f>'NME-8 Kolom VCM'!C22</f>
        <v>2.614266409950987</v>
      </c>
      <c r="AV14" s="215">
        <f>'NME-8 Kolom VCM'!G22</f>
        <v>0.0</v>
      </c>
      <c r="AW14" s="215">
        <f>'NME-8 Kolom VCM'!G22</f>
        <v>0.0</v>
      </c>
      <c r="AX14" s="215">
        <f>'NME-8 Kolom VCM'!K22</f>
        <v>2.6142664099510515</v>
      </c>
      <c r="AY14" s="215">
        <f>'NME-8 Kolom VCM'!K22</f>
        <v>2.6142664099510515</v>
      </c>
      <c r="AZ14" s="215">
        <f>'NME-4 Kolom Ringan'!G23</f>
        <v>2.614266409950987</v>
      </c>
    </row>
    <row r="15">
      <c r="A15" s="163" t="inlineStr">
        <is>
          <t>CₓHᵧCl</t>
        </is>
      </c>
      <c r="B15" s="215">
        <f>'NME-1 Klorinasi Langsung'!C28</f>
        <v>0.12301705502862118</v>
      </c>
      <c r="C15" s="215">
        <f>'NME-1 Klorinasi Langsung'!C28</f>
        <v>0.12301705502862118</v>
      </c>
      <c r="D15" s="215">
        <f>'NME-1 Klorinasi Langsung'!C28</f>
        <v>0.12301705502862118</v>
      </c>
      <c r="E15" s="215">
        <f>'NME-1 Klorinasi Langsung'!G28+'NME-2 Oksiklorinasi'!C27</f>
        <v>0.0</v>
      </c>
      <c r="F15" s="215">
        <f>'NME-1 Klorinasi Langsung'!G28+'NME-2 Oksiklorinasi'!C27</f>
        <v>0.0</v>
      </c>
      <c r="G15" s="215">
        <f>'NME-1 Klorinasi Langsung'!G28+'NME-2 Oksiklorinasi'!C27</f>
        <v>0.0</v>
      </c>
      <c r="H15" s="215">
        <f>'NME-1 Klorinasi Langsung'!G28</f>
        <v>0.0</v>
      </c>
      <c r="I15" s="215">
        <f>'NME-1 Klorinasi Langsung'!G28</f>
        <v>0.0</v>
      </c>
      <c r="J15" s="215">
        <f>'NME-2 Oksiklorinasi'!C27</f>
        <v>0.0</v>
      </c>
      <c r="K15" s="215">
        <f>'NME-1 Klorinasi Langsung'!K28</f>
        <v>0.0</v>
      </c>
      <c r="L15" s="215" t="inlineStr">
        <is>
          <t>-</t>
        </is>
      </c>
      <c r="M15" s="215" t="inlineStr">
        <is>
          <t>-</t>
        </is>
      </c>
      <c r="N15" s="215">
        <f>'NME-1 Klorinasi Langsung'!S28</f>
        <v>0.12301705502862118</v>
      </c>
      <c r="O15" s="215">
        <f>'NME-1 Klorinasi Langsung'!O28</f>
        <v>0.0</v>
      </c>
      <c r="P15" s="215">
        <f>'NME-3 Kondensasi-Dekantasi'!C24</f>
        <v>0.0</v>
      </c>
      <c r="Q15" s="215">
        <f>'NME-2 Oksiklorinasi'!K27</f>
        <v>0.0</v>
      </c>
      <c r="R15" s="215">
        <f>'NME-2 Oksiklorinasi'!K27</f>
        <v>0.0</v>
      </c>
      <c r="S15" s="215">
        <f>'NME-2 Oksiklorinasi'!O27</f>
        <v>0.0</v>
      </c>
      <c r="T15" s="215" t="inlineStr">
        <is>
          <t>-</t>
        </is>
      </c>
      <c r="U15" s="215" t="inlineStr">
        <is>
          <t>-</t>
        </is>
      </c>
      <c r="V15" s="215" t="inlineStr">
        <is>
          <t>-</t>
        </is>
      </c>
      <c r="W15" s="215" t="inlineStr">
        <is>
          <t>-</t>
        </is>
      </c>
      <c r="X15" s="215" t="inlineStr">
        <is>
          <t>-</t>
        </is>
      </c>
      <c r="Y15" s="215" t="inlineStr">
        <is>
          <t>-</t>
        </is>
      </c>
      <c r="Z15" s="215">
        <f>'NME-3 Kondensasi-Dekantasi'!K24</f>
        <v>0.0</v>
      </c>
      <c r="AA15" s="215" t="inlineStr">
        <is>
          <t>-</t>
        </is>
      </c>
      <c r="AB15" s="215" t="inlineStr">
        <is>
          <t>-</t>
        </is>
      </c>
      <c r="AC15" s="215">
        <f>'NME-3 Kondensasi-Dekantasi'!O24</f>
        <v>0.0</v>
      </c>
      <c r="AD15" s="215">
        <f>'NME-3 Kondensasi-Dekantasi'!S24</f>
        <v>0.0</v>
      </c>
      <c r="AE15" s="215">
        <f>'NME-3 Kondensasi-Dekantasi'!S24</f>
        <v>0.0</v>
      </c>
      <c r="AF15" s="215">
        <f>'NME-4 Kolom Ringan'!C24</f>
        <v>0.0</v>
      </c>
      <c r="AG15" s="215">
        <f>'NME-4 Kolom Ringan'!K24</f>
        <v>0.0</v>
      </c>
      <c r="AH15" s="215">
        <f>'NME-4 Kolom Ringan'!O24</f>
        <v>0.0</v>
      </c>
      <c r="AI15" s="215">
        <f>'NME-5 Kolom Berat'!C24</f>
        <v>0.0</v>
      </c>
      <c r="AJ15" s="215">
        <f>'NME-5 Kolom Berat'!K24</f>
        <v>0.0</v>
      </c>
      <c r="AK15" s="215">
        <f>'NME-5 Kolom Berat'!G24</f>
        <v>0.0</v>
      </c>
      <c r="AL15" s="215">
        <f>'NME-5 Kolom Berat'!G24</f>
        <v>0.0</v>
      </c>
      <c r="AM15" s="215">
        <f>'NME-6 Pirolisis'!C22</f>
        <v>0.0</v>
      </c>
      <c r="AN15" s="215">
        <f>'NME-6 Pirolisis'!G22</f>
        <v>0.0</v>
      </c>
      <c r="AO15" s="215">
        <f>'NME-7 Kolom HCl'!C22</f>
        <v>0.0</v>
      </c>
      <c r="AP15" s="215">
        <f>'NME-7 Kolom HCl'!C22</f>
        <v>0.0</v>
      </c>
      <c r="AQ15" s="215">
        <f>'NME-7 Kolom HCl'!G22</f>
        <v>0.0</v>
      </c>
      <c r="AR15" s="215">
        <f>'NME-7 Kolom HCl'!G22</f>
        <v>0.0</v>
      </c>
      <c r="AS15" s="215">
        <f>'NME-2 Oksiklorinasi'!G27</f>
        <v>0.0</v>
      </c>
      <c r="AT15" s="215">
        <f>'NME-7 Kolom HCl'!K22</f>
        <v>0.0</v>
      </c>
      <c r="AU15" s="215">
        <f>'NME-8 Kolom VCM'!C23</f>
        <v>0.0</v>
      </c>
      <c r="AV15" s="215">
        <f>'NME-8 Kolom VCM'!G23</f>
        <v>0.0</v>
      </c>
      <c r="AW15" s="215">
        <f>'NME-8 Kolom VCM'!G23</f>
        <v>0.0</v>
      </c>
      <c r="AX15" s="215">
        <f>'NME-8 Kolom VCM'!K23</f>
        <v>0.0</v>
      </c>
      <c r="AY15" s="215">
        <f>'NME-8 Kolom VCM'!K23</f>
        <v>0.0</v>
      </c>
      <c r="AZ15" s="215">
        <f>'NME-4 Kolom Ringan'!G24</f>
        <v>0.0</v>
      </c>
    </row>
    <row r="16">
      <c r="A16" s="163" t="inlineStr">
        <is>
          <t>Bromine</t>
        </is>
      </c>
      <c r="B16" s="215">
        <f>'NME-1 Klorinasi Langsung'!C29</f>
        <v>1.3839418690719882</v>
      </c>
      <c r="C16" s="215">
        <f>'NME-1 Klorinasi Langsung'!C29</f>
        <v>1.3839418690719882</v>
      </c>
      <c r="D16" s="215">
        <f>'NME-1 Klorinasi Langsung'!C29</f>
        <v>1.3839418690719882</v>
      </c>
      <c r="E16" s="215">
        <f>'NME-1 Klorinasi Langsung'!G29+'NME-2 Oksiklorinasi'!C28</f>
        <v>0.0</v>
      </c>
      <c r="F16" s="215">
        <f>'NME-1 Klorinasi Langsung'!G29+'NME-2 Oksiklorinasi'!C28</f>
        <v>0.0</v>
      </c>
      <c r="G16" s="215">
        <f>'NME-1 Klorinasi Langsung'!G29+'NME-2 Oksiklorinasi'!C28</f>
        <v>0.0</v>
      </c>
      <c r="H16" s="215">
        <f>'NME-1 Klorinasi Langsung'!G29</f>
        <v>0.0</v>
      </c>
      <c r="I16" s="215">
        <f>'NME-1 Klorinasi Langsung'!G29</f>
        <v>0.0</v>
      </c>
      <c r="J16" s="215">
        <f>'NME-2 Oksiklorinasi'!C28</f>
        <v>0.0</v>
      </c>
      <c r="K16" s="215">
        <f>'NME-1 Klorinasi Langsung'!K29</f>
        <v>0.0</v>
      </c>
      <c r="L16" s="215" t="inlineStr">
        <is>
          <t>-</t>
        </is>
      </c>
      <c r="M16" s="215" t="inlineStr">
        <is>
          <t>-</t>
        </is>
      </c>
      <c r="N16" s="215">
        <f>'NME-1 Klorinasi Langsung'!S29</f>
        <v>0.0</v>
      </c>
      <c r="O16" s="215">
        <f>'NME-1 Klorinasi Langsung'!O29</f>
        <v>1.3839418690719882</v>
      </c>
      <c r="P16" s="215">
        <f>'NME-3 Kondensasi-Dekantasi'!C25</f>
        <v>1.3839418690719882</v>
      </c>
      <c r="Q16" s="215">
        <f>'NME-2 Oksiklorinasi'!K28</f>
        <v>0.0</v>
      </c>
      <c r="R16" s="215">
        <f>'NME-2 Oksiklorinasi'!K28</f>
        <v>0.0</v>
      </c>
      <c r="S16" s="215">
        <f>'NME-2 Oksiklorinasi'!O28</f>
        <v>0.0</v>
      </c>
      <c r="T16" s="215" t="inlineStr">
        <is>
          <t>-</t>
        </is>
      </c>
      <c r="U16" s="215" t="inlineStr">
        <is>
          <t>-</t>
        </is>
      </c>
      <c r="V16" s="215" t="inlineStr">
        <is>
          <t>-</t>
        </is>
      </c>
      <c r="W16" s="215" t="inlineStr">
        <is>
          <t>-</t>
        </is>
      </c>
      <c r="X16" s="215" t="inlineStr">
        <is>
          <t>-</t>
        </is>
      </c>
      <c r="Y16" s="215" t="inlineStr">
        <is>
          <t>-</t>
        </is>
      </c>
      <c r="Z16" s="215">
        <f>'NME-3 Kondensasi-Dekantasi'!K25</f>
        <v>0.0</v>
      </c>
      <c r="AA16" s="215" t="inlineStr">
        <is>
          <t>-</t>
        </is>
      </c>
      <c r="AB16" s="215" t="inlineStr">
        <is>
          <t>-</t>
        </is>
      </c>
      <c r="AC16" s="215">
        <f>'NME-3 Kondensasi-Dekantasi'!O25</f>
        <v>0.0</v>
      </c>
      <c r="AD16" s="215">
        <f>'NME-3 Kondensasi-Dekantasi'!S25</f>
        <v>1.3839418690720067</v>
      </c>
      <c r="AE16" s="215">
        <f>'NME-3 Kondensasi-Dekantasi'!S25</f>
        <v>1.3839418690720067</v>
      </c>
      <c r="AF16" s="215">
        <f>'NME-4 Kolom Ringan'!C25</f>
        <v>1.3839418690719882</v>
      </c>
      <c r="AG16" s="215">
        <f>'NME-4 Kolom Ringan'!K25</f>
        <v>1.3839418690719882</v>
      </c>
      <c r="AH16" s="215">
        <f>'NME-4 Kolom Ringan'!O25</f>
        <v>0.0</v>
      </c>
      <c r="AI16" s="215">
        <f>'NME-5 Kolom Berat'!C25</f>
        <v>0.0</v>
      </c>
      <c r="AJ16" s="215">
        <f>'NME-5 Kolom Berat'!K25</f>
        <v>0.0</v>
      </c>
      <c r="AK16" s="215">
        <f>'NME-5 Kolom Berat'!G25</f>
        <v>0.0</v>
      </c>
      <c r="AL16" s="215">
        <f>'NME-5 Kolom Berat'!G25</f>
        <v>0.0</v>
      </c>
      <c r="AM16" s="215">
        <f>'NME-6 Pirolisis'!C23</f>
        <v>0.0</v>
      </c>
      <c r="AN16" s="215">
        <f>'NME-6 Pirolisis'!G23</f>
        <v>0.0</v>
      </c>
      <c r="AO16" s="215">
        <f>'NME-7 Kolom HCl'!C23</f>
        <v>0.0</v>
      </c>
      <c r="AP16" s="215">
        <f>'NME-7 Kolom HCl'!C23</f>
        <v>0.0</v>
      </c>
      <c r="AQ16" s="215">
        <f>'NME-7 Kolom HCl'!G23</f>
        <v>0.0</v>
      </c>
      <c r="AR16" s="215">
        <f>'NME-7 Kolom HCl'!G23</f>
        <v>0.0</v>
      </c>
      <c r="AS16" s="215">
        <f>'NME-2 Oksiklorinasi'!G28</f>
        <v>0.0</v>
      </c>
      <c r="AT16" s="215">
        <f>'NME-7 Kolom HCl'!K23</f>
        <v>0.0</v>
      </c>
      <c r="AU16" s="215">
        <f>'NME-8 Kolom VCM'!C24</f>
        <v>0.0</v>
      </c>
      <c r="AV16" s="215">
        <f>'NME-8 Kolom VCM'!G24</f>
        <v>0.0</v>
      </c>
      <c r="AW16" s="215">
        <f>'NME-8 Kolom VCM'!G24</f>
        <v>0.0</v>
      </c>
      <c r="AX16" s="215">
        <f>'NME-8 Kolom VCM'!K24</f>
        <v>0.0</v>
      </c>
      <c r="AY16" s="215">
        <f>'NME-8 Kolom VCM'!K24</f>
        <v>0.0</v>
      </c>
      <c r="AZ16" s="215">
        <f>'NME-4 Kolom Ringan'!G25</f>
        <v>0.0</v>
      </c>
    </row>
    <row r="17">
      <c r="A17" s="163" t="inlineStr">
        <is>
          <t>Nitrogen trichloride</t>
        </is>
      </c>
      <c r="B17" s="215">
        <f>'NME-1 Klorinasi Langsung'!C30</f>
        <v>0.07688565939288824</v>
      </c>
      <c r="C17" s="215">
        <f>'NME-1 Klorinasi Langsung'!C30</f>
        <v>0.07688565939288824</v>
      </c>
      <c r="D17" s="215">
        <f>'NME-1 Klorinasi Langsung'!C30</f>
        <v>0.07688565939288824</v>
      </c>
      <c r="E17" s="215">
        <f>'NME-1 Klorinasi Langsung'!G30+'NME-2 Oksiklorinasi'!C29</f>
        <v>0.0</v>
      </c>
      <c r="F17" s="215">
        <f>'NME-1 Klorinasi Langsung'!G30+'NME-2 Oksiklorinasi'!C29</f>
        <v>0.0</v>
      </c>
      <c r="G17" s="215">
        <f>'NME-1 Klorinasi Langsung'!G30+'NME-2 Oksiklorinasi'!C29</f>
        <v>0.0</v>
      </c>
      <c r="H17" s="215">
        <f>'NME-1 Klorinasi Langsung'!G30</f>
        <v>0.0</v>
      </c>
      <c r="I17" s="215">
        <f>'NME-1 Klorinasi Langsung'!G30</f>
        <v>0.0</v>
      </c>
      <c r="J17" s="215">
        <f>'NME-2 Oksiklorinasi'!C29</f>
        <v>0.0</v>
      </c>
      <c r="K17" s="215">
        <f>'NME-1 Klorinasi Langsung'!K30</f>
        <v>0.0</v>
      </c>
      <c r="L17" s="215" t="inlineStr">
        <is>
          <t>-</t>
        </is>
      </c>
      <c r="M17" s="215" t="inlineStr">
        <is>
          <t>-</t>
        </is>
      </c>
      <c r="N17" s="215">
        <f>'NME-1 Klorinasi Langsung'!S30</f>
        <v>0.0</v>
      </c>
      <c r="O17" s="215">
        <f>'NME-1 Klorinasi Langsung'!O30</f>
        <v>0.07688565939288824</v>
      </c>
      <c r="P17" s="215">
        <f>'NME-3 Kondensasi-Dekantasi'!C26</f>
        <v>0.07688565939288824</v>
      </c>
      <c r="Q17" s="215">
        <f>'NME-2 Oksiklorinasi'!K29</f>
        <v>0.0</v>
      </c>
      <c r="R17" s="215">
        <f>'NME-2 Oksiklorinasi'!K29</f>
        <v>0.0</v>
      </c>
      <c r="S17" s="215">
        <f>'NME-2 Oksiklorinasi'!O29</f>
        <v>0.0</v>
      </c>
      <c r="T17" s="215" t="inlineStr">
        <is>
          <t>-</t>
        </is>
      </c>
      <c r="U17" s="215" t="inlineStr">
        <is>
          <t>-</t>
        </is>
      </c>
      <c r="V17" s="215" t="inlineStr">
        <is>
          <t>-</t>
        </is>
      </c>
      <c r="W17" s="215" t="inlineStr">
        <is>
          <t>-</t>
        </is>
      </c>
      <c r="X17" s="215" t="inlineStr">
        <is>
          <t>-</t>
        </is>
      </c>
      <c r="Y17" s="215" t="inlineStr">
        <is>
          <t>-</t>
        </is>
      </c>
      <c r="Z17" s="215">
        <f>'NME-3 Kondensasi-Dekantasi'!K26</f>
        <v>0.0</v>
      </c>
      <c r="AA17" s="215" t="inlineStr">
        <is>
          <t>-</t>
        </is>
      </c>
      <c r="AB17" s="215" t="inlineStr">
        <is>
          <t>-</t>
        </is>
      </c>
      <c r="AC17" s="215">
        <f>'NME-3 Kondensasi-Dekantasi'!O26</f>
        <v>0.0</v>
      </c>
      <c r="AD17" s="215">
        <f>'NME-3 Kondensasi-Dekantasi'!S26</f>
        <v>0.07688565939288929</v>
      </c>
      <c r="AE17" s="215">
        <f>'NME-3 Kondensasi-Dekantasi'!S26</f>
        <v>0.07688565939288929</v>
      </c>
      <c r="AF17" s="215">
        <f>'NME-4 Kolom Ringan'!C26</f>
        <v>0.07688565939288824</v>
      </c>
      <c r="AG17" s="215">
        <f>'NME-4 Kolom Ringan'!K26</f>
        <v>0.07688565939288824</v>
      </c>
      <c r="AH17" s="215">
        <f>'NME-4 Kolom Ringan'!O26</f>
        <v>0.0</v>
      </c>
      <c r="AI17" s="215">
        <f>'NME-5 Kolom Berat'!C26</f>
        <v>0.0</v>
      </c>
      <c r="AJ17" s="215">
        <f>'NME-5 Kolom Berat'!K26</f>
        <v>0.0</v>
      </c>
      <c r="AK17" s="215">
        <f>'NME-5 Kolom Berat'!G26</f>
        <v>0.0</v>
      </c>
      <c r="AL17" s="215">
        <f>'NME-5 Kolom Berat'!G26</f>
        <v>0.0</v>
      </c>
      <c r="AM17" s="215">
        <f>'NME-6 Pirolisis'!C24</f>
        <v>0.0</v>
      </c>
      <c r="AN17" s="215">
        <f>'NME-6 Pirolisis'!G24</f>
        <v>0.0</v>
      </c>
      <c r="AO17" s="215">
        <f>'NME-7 Kolom HCl'!C24</f>
        <v>0.0</v>
      </c>
      <c r="AP17" s="215">
        <f>'NME-7 Kolom HCl'!C24</f>
        <v>0.0</v>
      </c>
      <c r="AQ17" s="215">
        <f>'NME-7 Kolom HCl'!G24</f>
        <v>0.0</v>
      </c>
      <c r="AR17" s="215">
        <f>'NME-7 Kolom HCl'!G24</f>
        <v>0.0</v>
      </c>
      <c r="AS17" s="215">
        <f>'NME-2 Oksiklorinasi'!G29</f>
        <v>0.0</v>
      </c>
      <c r="AT17" s="215">
        <f>'NME-7 Kolom HCl'!K24</f>
        <v>0.0</v>
      </c>
      <c r="AU17" s="215">
        <f>'NME-8 Kolom VCM'!C25</f>
        <v>0.0</v>
      </c>
      <c r="AV17" s="215">
        <f>'NME-8 Kolom VCM'!G25</f>
        <v>0.0</v>
      </c>
      <c r="AW17" s="215">
        <f>'NME-8 Kolom VCM'!G25</f>
        <v>0.0</v>
      </c>
      <c r="AX17" s="215">
        <f>'NME-8 Kolom VCM'!K25</f>
        <v>0.0</v>
      </c>
      <c r="AY17" s="215">
        <f>'NME-8 Kolom VCM'!K25</f>
        <v>0.0</v>
      </c>
      <c r="AZ17" s="215">
        <f>'NME-4 Kolom Ringan'!G26</f>
        <v>0.0</v>
      </c>
    </row>
    <row r="18">
      <c r="A18" s="163" t="inlineStr">
        <is>
          <t>Hydrogen</t>
        </is>
      </c>
      <c r="B18" s="215">
        <f>'NME-1 Klorinasi Langsung'!C31</f>
        <v>0.4613139563573294</v>
      </c>
      <c r="C18" s="215">
        <f>'NME-1 Klorinasi Langsung'!C31</f>
        <v>0.4613139563573294</v>
      </c>
      <c r="D18" s="215">
        <f>'NME-1 Klorinasi Langsung'!C31</f>
        <v>0.4613139563573294</v>
      </c>
      <c r="E18" s="215">
        <f>'NME-1 Klorinasi Langsung'!G31+'NME-2 Oksiklorinasi'!C30</f>
        <v>0.0</v>
      </c>
      <c r="F18" s="215">
        <f>'NME-1 Klorinasi Langsung'!G31+'NME-2 Oksiklorinasi'!C30</f>
        <v>0.0</v>
      </c>
      <c r="G18" s="215">
        <f>'NME-1 Klorinasi Langsung'!G31+'NME-2 Oksiklorinasi'!C30</f>
        <v>0.0</v>
      </c>
      <c r="H18" s="215">
        <f>'NME-1 Klorinasi Langsung'!G31</f>
        <v>0.0</v>
      </c>
      <c r="I18" s="215">
        <f>'NME-1 Klorinasi Langsung'!G31</f>
        <v>0.0</v>
      </c>
      <c r="J18" s="215">
        <f>'NME-2 Oksiklorinasi'!C30</f>
        <v>0.0</v>
      </c>
      <c r="K18" s="215">
        <f>'NME-1 Klorinasi Langsung'!K31</f>
        <v>0.0</v>
      </c>
      <c r="L18" s="215" t="inlineStr">
        <is>
          <t>-</t>
        </is>
      </c>
      <c r="M18" s="215" t="inlineStr">
        <is>
          <t>-</t>
        </is>
      </c>
      <c r="N18" s="215">
        <f>'NME-1 Klorinasi Langsung'!S31</f>
        <v>0.4613139563573294</v>
      </c>
      <c r="O18" s="215">
        <f>'NME-1 Klorinasi Langsung'!O31</f>
        <v>0.0</v>
      </c>
      <c r="P18" s="215">
        <f>'NME-3 Kondensasi-Dekantasi'!C27</f>
        <v>0.0</v>
      </c>
      <c r="Q18" s="215">
        <f>'NME-2 Oksiklorinasi'!K30</f>
        <v>0.0</v>
      </c>
      <c r="R18" s="215">
        <f>'NME-2 Oksiklorinasi'!K30</f>
        <v>0.0</v>
      </c>
      <c r="S18" s="215">
        <f>'NME-2 Oksiklorinasi'!O30</f>
        <v>0.0</v>
      </c>
      <c r="T18" s="215" t="inlineStr">
        <is>
          <t>-</t>
        </is>
      </c>
      <c r="U18" s="215" t="inlineStr">
        <is>
          <t>-</t>
        </is>
      </c>
      <c r="V18" s="215" t="inlineStr">
        <is>
          <t>-</t>
        </is>
      </c>
      <c r="W18" s="215" t="inlineStr">
        <is>
          <t>-</t>
        </is>
      </c>
      <c r="X18" s="215" t="inlineStr">
        <is>
          <t>-</t>
        </is>
      </c>
      <c r="Y18" s="215" t="inlineStr">
        <is>
          <t>-</t>
        </is>
      </c>
      <c r="Z18" s="215">
        <f>'NME-3 Kondensasi-Dekantasi'!K27</f>
        <v>0.0</v>
      </c>
      <c r="AA18" s="215" t="inlineStr">
        <is>
          <t>-</t>
        </is>
      </c>
      <c r="AB18" s="215" t="inlineStr">
        <is>
          <t>-</t>
        </is>
      </c>
      <c r="AC18" s="215">
        <f>'NME-3 Kondensasi-Dekantasi'!O27</f>
        <v>0.0</v>
      </c>
      <c r="AD18" s="215">
        <f>'NME-3 Kondensasi-Dekantasi'!S27</f>
        <v>0.0</v>
      </c>
      <c r="AE18" s="215">
        <f>'NME-3 Kondensasi-Dekantasi'!S27</f>
        <v>0.0</v>
      </c>
      <c r="AF18" s="215">
        <f>'NME-4 Kolom Ringan'!C27</f>
        <v>0.0</v>
      </c>
      <c r="AG18" s="215">
        <f>'NME-4 Kolom Ringan'!K27</f>
        <v>0.0</v>
      </c>
      <c r="AH18" s="215">
        <f>'NME-4 Kolom Ringan'!O27</f>
        <v>0.0</v>
      </c>
      <c r="AI18" s="215">
        <f>'NME-5 Kolom Berat'!C27</f>
        <v>0.0</v>
      </c>
      <c r="AJ18" s="215">
        <f>'NME-5 Kolom Berat'!K27</f>
        <v>0.0</v>
      </c>
      <c r="AK18" s="215">
        <f>'NME-5 Kolom Berat'!G27</f>
        <v>0.0</v>
      </c>
      <c r="AL18" s="215">
        <f>'NME-5 Kolom Berat'!G27</f>
        <v>0.0</v>
      </c>
      <c r="AM18" s="215">
        <f>'NME-6 Pirolisis'!C25</f>
        <v>0.0</v>
      </c>
      <c r="AN18" s="215">
        <f>'NME-6 Pirolisis'!G25</f>
        <v>0.0</v>
      </c>
      <c r="AO18" s="215">
        <f>'NME-7 Kolom HCl'!C25</f>
        <v>0.0</v>
      </c>
      <c r="AP18" s="215">
        <f>'NME-7 Kolom HCl'!C25</f>
        <v>0.0</v>
      </c>
      <c r="AQ18" s="215">
        <f>'NME-7 Kolom HCl'!G25</f>
        <v>0.0</v>
      </c>
      <c r="AR18" s="215">
        <f>'NME-7 Kolom HCl'!G25</f>
        <v>0.0</v>
      </c>
      <c r="AS18" s="215">
        <f>'NME-2 Oksiklorinasi'!G30</f>
        <v>0.0</v>
      </c>
      <c r="AT18" s="215">
        <f>'NME-7 Kolom HCl'!K25</f>
        <v>0.0</v>
      </c>
      <c r="AU18" s="215">
        <f>'NME-8 Kolom VCM'!C26</f>
        <v>0.0</v>
      </c>
      <c r="AV18" s="215">
        <f>'NME-8 Kolom VCM'!G26</f>
        <v>0.0</v>
      </c>
      <c r="AW18" s="215">
        <f>'NME-8 Kolom VCM'!G26</f>
        <v>0.0</v>
      </c>
      <c r="AX18" s="215">
        <f>'NME-8 Kolom VCM'!K26</f>
        <v>0.0</v>
      </c>
      <c r="AY18" s="215">
        <f>'NME-8 Kolom VCM'!K26</f>
        <v>0.0</v>
      </c>
      <c r="AZ18" s="215">
        <f>'NME-4 Kolom Ringan'!G27</f>
        <v>0.0</v>
      </c>
    </row>
    <row r="19">
      <c r="A19" s="163" t="inlineStr">
        <is>
          <t>Oxygen</t>
        </is>
      </c>
      <c r="B19" s="215">
        <f>'NME-1 Klorinasi Langsung'!C32</f>
        <v>2.7678837381439765</v>
      </c>
      <c r="C19" s="215">
        <f>'NME-1 Klorinasi Langsung'!C32</f>
        <v>2.7678837381439765</v>
      </c>
      <c r="D19" s="215">
        <f>'NME-1 Klorinasi Langsung'!C32</f>
        <v>2.7678837381439765</v>
      </c>
      <c r="E19" s="215">
        <f>'NME-1 Klorinasi Langsung'!G32+'NME-2 Oksiklorinasi'!C31</f>
        <v>0.0</v>
      </c>
      <c r="F19" s="215">
        <f>'NME-1 Klorinasi Langsung'!G32+'NME-2 Oksiklorinasi'!C31</f>
        <v>0.0</v>
      </c>
      <c r="G19" s="215">
        <f>'NME-1 Klorinasi Langsung'!G32+'NME-2 Oksiklorinasi'!C31</f>
        <v>0.0</v>
      </c>
      <c r="H19" s="215">
        <f>'NME-1 Klorinasi Langsung'!G32</f>
        <v>0.0</v>
      </c>
      <c r="I19" s="215">
        <f>'NME-1 Klorinasi Langsung'!G32</f>
        <v>0.0</v>
      </c>
      <c r="J19" s="215">
        <f>'NME-2 Oksiklorinasi'!C31</f>
        <v>0.0</v>
      </c>
      <c r="K19" s="215">
        <f>'NME-1 Klorinasi Langsung'!K32</f>
        <v>0.0</v>
      </c>
      <c r="L19" s="215" t="inlineStr">
        <is>
          <t>-</t>
        </is>
      </c>
      <c r="M19" s="215" t="inlineStr">
        <is>
          <t>-</t>
        </is>
      </c>
      <c r="N19" s="215">
        <f>'NME-1 Klorinasi Langsung'!S32</f>
        <v>2.7678837381439765</v>
      </c>
      <c r="O19" s="215">
        <f>'NME-1 Klorinasi Langsung'!O32</f>
        <v>0.0</v>
      </c>
      <c r="P19" s="215">
        <f>'NME-3 Kondensasi-Dekantasi'!C28</f>
        <v>0.0</v>
      </c>
      <c r="Q19" s="215">
        <f>'NME-2 Oksiklorinasi'!K31</f>
        <v>5202.765695371912</v>
      </c>
      <c r="R19" s="215">
        <f>'NME-2 Oksiklorinasi'!K31</f>
        <v>5202.765695371912</v>
      </c>
      <c r="S19" s="215">
        <f>'NME-2 Oksiklorinasi'!O31</f>
        <v>1912.016393048713</v>
      </c>
      <c r="T19" s="215" t="inlineStr">
        <is>
          <t>-</t>
        </is>
      </c>
      <c r="U19" s="215" t="inlineStr">
        <is>
          <t>-</t>
        </is>
      </c>
      <c r="V19" s="215" t="inlineStr">
        <is>
          <t>-</t>
        </is>
      </c>
      <c r="W19" s="215" t="inlineStr">
        <is>
          <t>-</t>
        </is>
      </c>
      <c r="X19" s="215" t="inlineStr">
        <is>
          <t>-</t>
        </is>
      </c>
      <c r="Y19" s="215" t="inlineStr">
        <is>
          <t>-</t>
        </is>
      </c>
      <c r="Z19" s="215">
        <f>'NME-3 Kondensasi-Dekantasi'!K28</f>
        <v>1912.016393048713</v>
      </c>
      <c r="AA19" s="215" t="inlineStr">
        <is>
          <t>-</t>
        </is>
      </c>
      <c r="AB19" s="215" t="inlineStr">
        <is>
          <t>-</t>
        </is>
      </c>
      <c r="AC19" s="215">
        <f>'NME-3 Kondensasi-Dekantasi'!O28</f>
        <v>0.0</v>
      </c>
      <c r="AD19" s="215">
        <f>'NME-3 Kondensasi-Dekantasi'!S28</f>
        <v>0.0</v>
      </c>
      <c r="AE19" s="215">
        <f>'NME-3 Kondensasi-Dekantasi'!S28</f>
        <v>0.0</v>
      </c>
      <c r="AF19" s="215">
        <f>'NME-4 Kolom Ringan'!C28</f>
        <v>0.0</v>
      </c>
      <c r="AG19" s="215">
        <f>'NME-4 Kolom Ringan'!K28</f>
        <v>0.0</v>
      </c>
      <c r="AH19" s="215">
        <f>'NME-4 Kolom Ringan'!O28</f>
        <v>0.0</v>
      </c>
      <c r="AI19" s="215">
        <f>'NME-5 Kolom Berat'!C28</f>
        <v>0.0</v>
      </c>
      <c r="AJ19" s="215">
        <f>'NME-5 Kolom Berat'!K28</f>
        <v>0.0</v>
      </c>
      <c r="AK19" s="215">
        <f>'NME-5 Kolom Berat'!G28</f>
        <v>0.0</v>
      </c>
      <c r="AL19" s="215">
        <f>'NME-5 Kolom Berat'!G28</f>
        <v>0.0</v>
      </c>
      <c r="AM19" s="215">
        <f>'NME-6 Pirolisis'!C26</f>
        <v>0.0</v>
      </c>
      <c r="AN19" s="215">
        <f>'NME-6 Pirolisis'!G26</f>
        <v>0.0</v>
      </c>
      <c r="AO19" s="215">
        <f>'NME-7 Kolom HCl'!C26</f>
        <v>0.0</v>
      </c>
      <c r="AP19" s="215">
        <f>'NME-7 Kolom HCl'!C26</f>
        <v>0.0</v>
      </c>
      <c r="AQ19" s="215">
        <f>'NME-7 Kolom HCl'!G26</f>
        <v>0.0</v>
      </c>
      <c r="AR19" s="215">
        <f>'NME-7 Kolom HCl'!G26</f>
        <v>0.0</v>
      </c>
      <c r="AS19" s="215">
        <f>'NME-2 Oksiklorinasi'!G31</f>
        <v>0.0</v>
      </c>
      <c r="AT19" s="215">
        <f>'NME-7 Kolom HCl'!K26</f>
        <v>0.0</v>
      </c>
      <c r="AU19" s="215">
        <f>'NME-8 Kolom VCM'!C27</f>
        <v>0.0</v>
      </c>
      <c r="AV19" s="215">
        <f>'NME-8 Kolom VCM'!G27</f>
        <v>0.0</v>
      </c>
      <c r="AW19" s="215">
        <f>'NME-8 Kolom VCM'!G27</f>
        <v>0.0</v>
      </c>
      <c r="AX19" s="215">
        <f>'NME-8 Kolom VCM'!K27</f>
        <v>0.0</v>
      </c>
      <c r="AY19" s="215">
        <f>'NME-8 Kolom VCM'!K27</f>
        <v>0.0</v>
      </c>
      <c r="AZ19" s="215">
        <f>'NME-4 Kolom Ringan'!G28</f>
        <v>0.0</v>
      </c>
    </row>
    <row r="20">
      <c r="A20" s="163" t="inlineStr">
        <is>
          <t>Nitrogen</t>
        </is>
      </c>
      <c r="B20" s="215">
        <f>'NME-1 Klorinasi Langsung'!C33</f>
        <v>9.226279127146588</v>
      </c>
      <c r="C20" s="215">
        <f>'NME-1 Klorinasi Langsung'!C33</f>
        <v>9.226279127146588</v>
      </c>
      <c r="D20" s="215">
        <f>'NME-1 Klorinasi Langsung'!C33</f>
        <v>9.226279127146588</v>
      </c>
      <c r="E20" s="215">
        <f>'NME-1 Klorinasi Langsung'!G33+'NME-2 Oksiklorinasi'!C32</f>
        <v>0.0</v>
      </c>
      <c r="F20" s="215">
        <f>'NME-1 Klorinasi Langsung'!G33+'NME-2 Oksiklorinasi'!C32</f>
        <v>0.0</v>
      </c>
      <c r="G20" s="215">
        <f>'NME-1 Klorinasi Langsung'!G33+'NME-2 Oksiklorinasi'!C32</f>
        <v>0.0</v>
      </c>
      <c r="H20" s="215">
        <f>'NME-1 Klorinasi Langsung'!G33</f>
        <v>0.0</v>
      </c>
      <c r="I20" s="215">
        <f>'NME-1 Klorinasi Langsung'!G33</f>
        <v>0.0</v>
      </c>
      <c r="J20" s="215">
        <f>'NME-2 Oksiklorinasi'!C32</f>
        <v>0.0</v>
      </c>
      <c r="K20" s="215">
        <f>'NME-1 Klorinasi Langsung'!K33</f>
        <v>0.0</v>
      </c>
      <c r="L20" s="215" t="inlineStr">
        <is>
          <t>-</t>
        </is>
      </c>
      <c r="M20" s="215" t="inlineStr">
        <is>
          <t>-</t>
        </is>
      </c>
      <c r="N20" s="215">
        <f>'NME-1 Klorinasi Langsung'!S33</f>
        <v>9.226279127146588</v>
      </c>
      <c r="O20" s="215">
        <f>'NME-1 Klorinasi Langsung'!O33</f>
        <v>0.0</v>
      </c>
      <c r="P20" s="215">
        <f>'NME-3 Kondensasi-Dekantasi'!C29</f>
        <v>0.0</v>
      </c>
      <c r="Q20" s="215">
        <f>'NME-2 Oksiklorinasi'!K32</f>
        <v>17134.868763788385</v>
      </c>
      <c r="R20" s="215">
        <f>'NME-2 Oksiklorinasi'!K32</f>
        <v>17134.868763788385</v>
      </c>
      <c r="S20" s="215">
        <f>'NME-2 Oksiklorinasi'!O32</f>
        <v>17134.868763788385</v>
      </c>
      <c r="T20" s="215" t="inlineStr">
        <is>
          <t>-</t>
        </is>
      </c>
      <c r="U20" s="215" t="inlineStr">
        <is>
          <t>-</t>
        </is>
      </c>
      <c r="V20" s="215" t="inlineStr">
        <is>
          <t>-</t>
        </is>
      </c>
      <c r="W20" s="215" t="inlineStr">
        <is>
          <t>-</t>
        </is>
      </c>
      <c r="X20" s="215" t="inlineStr">
        <is>
          <t>-</t>
        </is>
      </c>
      <c r="Y20" s="215" t="inlineStr">
        <is>
          <t>-</t>
        </is>
      </c>
      <c r="Z20" s="215">
        <f>'NME-3 Kondensasi-Dekantasi'!K29</f>
        <v>17134.868763788385</v>
      </c>
      <c r="AA20" s="215" t="inlineStr">
        <is>
          <t>-</t>
        </is>
      </c>
      <c r="AB20" s="215" t="inlineStr">
        <is>
          <t>-</t>
        </is>
      </c>
      <c r="AC20" s="215">
        <f>'NME-3 Kondensasi-Dekantasi'!O29</f>
        <v>0.0</v>
      </c>
      <c r="AD20" s="215">
        <f>'NME-3 Kondensasi-Dekantasi'!S29</f>
        <v>0.0</v>
      </c>
      <c r="AE20" s="215">
        <f>'NME-3 Kondensasi-Dekantasi'!S29</f>
        <v>0.0</v>
      </c>
      <c r="AF20" s="215">
        <f>'NME-4 Kolom Ringan'!C29</f>
        <v>0.0</v>
      </c>
      <c r="AG20" s="215">
        <f>'NME-4 Kolom Ringan'!K29</f>
        <v>0.0</v>
      </c>
      <c r="AH20" s="215">
        <f>'NME-4 Kolom Ringan'!O29</f>
        <v>0.0</v>
      </c>
      <c r="AI20" s="215">
        <f>'NME-5 Kolom Berat'!C29</f>
        <v>0.0</v>
      </c>
      <c r="AJ20" s="215">
        <f>'NME-5 Kolom Berat'!K29</f>
        <v>0.0</v>
      </c>
      <c r="AK20" s="215">
        <f>'NME-5 Kolom Berat'!G29</f>
        <v>0.0</v>
      </c>
      <c r="AL20" s="215">
        <f>'NME-5 Kolom Berat'!G29</f>
        <v>0.0</v>
      </c>
      <c r="AM20" s="215">
        <f>'NME-6 Pirolisis'!C27</f>
        <v>0.0</v>
      </c>
      <c r="AN20" s="215">
        <f>'NME-6 Pirolisis'!G27</f>
        <v>0.0</v>
      </c>
      <c r="AO20" s="215">
        <f>'NME-7 Kolom HCl'!C27</f>
        <v>0.0</v>
      </c>
      <c r="AP20" s="215">
        <f>'NME-7 Kolom HCl'!C27</f>
        <v>0.0</v>
      </c>
      <c r="AQ20" s="215">
        <f>'NME-7 Kolom HCl'!G27</f>
        <v>0.0</v>
      </c>
      <c r="AR20" s="215">
        <f>'NME-7 Kolom HCl'!G27</f>
        <v>0.0</v>
      </c>
      <c r="AS20" s="215">
        <f>'NME-2 Oksiklorinasi'!G32</f>
        <v>0.0</v>
      </c>
      <c r="AT20" s="215">
        <f>'NME-7 Kolom HCl'!K27</f>
        <v>0.0</v>
      </c>
      <c r="AU20" s="215">
        <f>'NME-8 Kolom VCM'!C28</f>
        <v>0.0</v>
      </c>
      <c r="AV20" s="215">
        <f>'NME-8 Kolom VCM'!G28</f>
        <v>0.0</v>
      </c>
      <c r="AW20" s="215">
        <f>'NME-8 Kolom VCM'!G28</f>
        <v>0.0</v>
      </c>
      <c r="AX20" s="215">
        <f>'NME-8 Kolom VCM'!K28</f>
        <v>0.0</v>
      </c>
      <c r="AY20" s="215">
        <f>'NME-8 Kolom VCM'!K28</f>
        <v>0.0</v>
      </c>
      <c r="AZ20" s="215">
        <f>'NME-4 Kolom Ringan'!G29</f>
        <v>0.0</v>
      </c>
    </row>
    <row r="21">
      <c r="A21" s="163" t="inlineStr">
        <is>
          <t>Carbon dioxide</t>
        </is>
      </c>
      <c r="B21" s="215">
        <f>'NME-1 Klorinasi Langsung'!C34</f>
        <v>9.226279127146588</v>
      </c>
      <c r="C21" s="215">
        <f>'NME-1 Klorinasi Langsung'!C34</f>
        <v>9.226279127146588</v>
      </c>
      <c r="D21" s="215">
        <f>'NME-1 Klorinasi Langsung'!C34</f>
        <v>9.226279127146588</v>
      </c>
      <c r="E21" s="215">
        <f>'NME-1 Klorinasi Langsung'!G34+'NME-2 Oksiklorinasi'!C33</f>
        <v>0.0</v>
      </c>
      <c r="F21" s="215">
        <f>'NME-1 Klorinasi Langsung'!G34+'NME-2 Oksiklorinasi'!C33</f>
        <v>0.0</v>
      </c>
      <c r="G21" s="215">
        <f>'NME-1 Klorinasi Langsung'!G34+'NME-2 Oksiklorinasi'!C33</f>
        <v>0.0</v>
      </c>
      <c r="H21" s="215">
        <f>'NME-1 Klorinasi Langsung'!G34</f>
        <v>0.0</v>
      </c>
      <c r="I21" s="215">
        <f>'NME-1 Klorinasi Langsung'!G34</f>
        <v>0.0</v>
      </c>
      <c r="J21" s="215">
        <f>'NME-2 Oksiklorinasi'!C33</f>
        <v>0.0</v>
      </c>
      <c r="K21" s="215">
        <f>'NME-1 Klorinasi Langsung'!K34</f>
        <v>0.0</v>
      </c>
      <c r="L21" s="215" t="inlineStr">
        <is>
          <t>-</t>
        </is>
      </c>
      <c r="M21" s="215" t="inlineStr">
        <is>
          <t>-</t>
        </is>
      </c>
      <c r="N21" s="215">
        <f>'NME-1 Klorinasi Langsung'!S34</f>
        <v>9.226279127146588</v>
      </c>
      <c r="O21" s="215">
        <f>'NME-1 Klorinasi Langsung'!O34</f>
        <v>0.0</v>
      </c>
      <c r="P21" s="215">
        <f>'NME-3 Kondensasi-Dekantasi'!C30</f>
        <v>0.0</v>
      </c>
      <c r="Q21" s="215">
        <f>'NME-2 Oksiklorinasi'!K33</f>
        <v>0.0</v>
      </c>
      <c r="R21" s="215">
        <f>'NME-2 Oksiklorinasi'!K33</f>
        <v>0.0</v>
      </c>
      <c r="S21" s="215">
        <f>'NME-2 Oksiklorinasi'!O33</f>
        <v>89.44565386981179</v>
      </c>
      <c r="T21" s="215" t="inlineStr">
        <is>
          <t>-</t>
        </is>
      </c>
      <c r="U21" s="215" t="inlineStr">
        <is>
          <t>-</t>
        </is>
      </c>
      <c r="V21" s="215" t="inlineStr">
        <is>
          <t>-</t>
        </is>
      </c>
      <c r="W21" s="215" t="inlineStr">
        <is>
          <t>-</t>
        </is>
      </c>
      <c r="X21" s="215" t="inlineStr">
        <is>
          <t>-</t>
        </is>
      </c>
      <c r="Y21" s="215" t="inlineStr">
        <is>
          <t>-</t>
        </is>
      </c>
      <c r="Z21" s="215">
        <f>'NME-3 Kondensasi-Dekantasi'!K30</f>
        <v>89.44565386981179</v>
      </c>
      <c r="AA21" s="215" t="inlineStr">
        <is>
          <t>-</t>
        </is>
      </c>
      <c r="AB21" s="215" t="inlineStr">
        <is>
          <t>-</t>
        </is>
      </c>
      <c r="AC21" s="215">
        <f>'NME-3 Kondensasi-Dekantasi'!O30</f>
        <v>0.0</v>
      </c>
      <c r="AD21" s="215">
        <f>'NME-3 Kondensasi-Dekantasi'!S30</f>
        <v>0.0</v>
      </c>
      <c r="AE21" s="215">
        <f>'NME-3 Kondensasi-Dekantasi'!S30</f>
        <v>0.0</v>
      </c>
      <c r="AF21" s="215">
        <f>'NME-4 Kolom Ringan'!C30</f>
        <v>0.0</v>
      </c>
      <c r="AG21" s="215">
        <f>'NME-4 Kolom Ringan'!K30</f>
        <v>0.0</v>
      </c>
      <c r="AH21" s="215">
        <f>'NME-4 Kolom Ringan'!O30</f>
        <v>0.0</v>
      </c>
      <c r="AI21" s="215">
        <f>'NME-5 Kolom Berat'!C30</f>
        <v>0.0</v>
      </c>
      <c r="AJ21" s="215">
        <f>'NME-5 Kolom Berat'!K30</f>
        <v>0.0</v>
      </c>
      <c r="AK21" s="215">
        <f>'NME-5 Kolom Berat'!G30</f>
        <v>0.0</v>
      </c>
      <c r="AL21" s="215">
        <f>'NME-5 Kolom Berat'!G30</f>
        <v>0.0</v>
      </c>
      <c r="AM21" s="215">
        <f>'NME-6 Pirolisis'!C28</f>
        <v>0.0</v>
      </c>
      <c r="AN21" s="215">
        <f>'NME-6 Pirolisis'!G28</f>
        <v>0.0</v>
      </c>
      <c r="AO21" s="215">
        <f>'NME-7 Kolom HCl'!C28</f>
        <v>0.0</v>
      </c>
      <c r="AP21" s="215">
        <f>'NME-7 Kolom HCl'!C28</f>
        <v>0.0</v>
      </c>
      <c r="AQ21" s="215">
        <f>'NME-7 Kolom HCl'!G28</f>
        <v>0.0</v>
      </c>
      <c r="AR21" s="215">
        <f>'NME-7 Kolom HCl'!G28</f>
        <v>0.0</v>
      </c>
      <c r="AS21" s="215">
        <f>'NME-2 Oksiklorinasi'!G33</f>
        <v>0.0</v>
      </c>
      <c r="AT21" s="215">
        <f>'NME-7 Kolom HCl'!K28</f>
        <v>0.0</v>
      </c>
      <c r="AU21" s="215">
        <f>'NME-8 Kolom VCM'!C29</f>
        <v>0.0</v>
      </c>
      <c r="AV21" s="215">
        <f>'NME-8 Kolom VCM'!G29</f>
        <v>0.0</v>
      </c>
      <c r="AW21" s="215">
        <f>'NME-8 Kolom VCM'!G29</f>
        <v>0.0</v>
      </c>
      <c r="AX21" s="215">
        <f>'NME-8 Kolom VCM'!K29</f>
        <v>0.0</v>
      </c>
      <c r="AY21" s="215">
        <f>'NME-8 Kolom VCM'!K29</f>
        <v>0.0</v>
      </c>
      <c r="AZ21" s="215">
        <f>'NME-4 Kolom Ringan'!G30</f>
        <v>0.0</v>
      </c>
    </row>
    <row r="22">
      <c r="A22" s="163" t="inlineStr">
        <is>
          <t>EDC</t>
        </is>
      </c>
      <c r="B22" s="215">
        <f>'NME-1 Klorinasi Langsung'!C35</f>
        <v>0.0</v>
      </c>
      <c r="C22" s="215">
        <f>'NME-1 Klorinasi Langsung'!C35</f>
        <v>0.0</v>
      </c>
      <c r="D22" s="215">
        <f>'NME-1 Klorinasi Langsung'!C35</f>
        <v>0.0</v>
      </c>
      <c r="E22" s="215">
        <f>'NME-1 Klorinasi Langsung'!G35+'NME-2 Oksiklorinasi'!C34</f>
        <v>0.0</v>
      </c>
      <c r="F22" s="215">
        <f>'NME-1 Klorinasi Langsung'!G35+'NME-2 Oksiklorinasi'!C34</f>
        <v>0.0</v>
      </c>
      <c r="G22" s="215">
        <f>'NME-1 Klorinasi Langsung'!G35+'NME-2 Oksiklorinasi'!C34</f>
        <v>0.0</v>
      </c>
      <c r="H22" s="215">
        <f>'NME-1 Klorinasi Langsung'!G35</f>
        <v>0.0</v>
      </c>
      <c r="I22" s="215">
        <f>'NME-1 Klorinasi Langsung'!G35</f>
        <v>0.0</v>
      </c>
      <c r="J22" s="215">
        <f>'NME-2 Oksiklorinasi'!C34</f>
        <v>0.0</v>
      </c>
      <c r="K22" s="215">
        <f>'NME-1 Klorinasi Langsung'!K35</f>
        <v>0.0</v>
      </c>
      <c r="L22" s="215" t="inlineStr">
        <is>
          <t>-</t>
        </is>
      </c>
      <c r="M22" s="215" t="inlineStr">
        <is>
          <t>-</t>
        </is>
      </c>
      <c r="N22" s="215">
        <f>'NME-1 Klorinasi Langsung'!S35</f>
        <v>44.46040383285724</v>
      </c>
      <c r="O22" s="215">
        <f>'NME-1 Klorinasi Langsung'!O35</f>
        <v>21372.236358110484</v>
      </c>
      <c r="P22" s="215">
        <f>'NME-3 Kondensasi-Dekantasi'!C31</f>
        <v>21372.236358110484</v>
      </c>
      <c r="Q22" s="215">
        <f>'NME-2 Oksiklorinasi'!K34</f>
        <v>0.0</v>
      </c>
      <c r="R22" s="215">
        <f>'NME-2 Oksiklorinasi'!K34</f>
        <v>0.0</v>
      </c>
      <c r="S22" s="215">
        <f>'NME-2 Oksiklorinasi'!O34</f>
        <v>19750.34382403511</v>
      </c>
      <c r="T22" s="215" t="inlineStr">
        <is>
          <t>-</t>
        </is>
      </c>
      <c r="U22" s="215" t="inlineStr">
        <is>
          <t>-</t>
        </is>
      </c>
      <c r="V22" s="215" t="inlineStr">
        <is>
          <t>-</t>
        </is>
      </c>
      <c r="W22" s="215" t="inlineStr">
        <is>
          <t>-</t>
        </is>
      </c>
      <c r="X22" s="215" t="inlineStr">
        <is>
          <t>-</t>
        </is>
      </c>
      <c r="Y22" s="215" t="inlineStr">
        <is>
          <t>-</t>
        </is>
      </c>
      <c r="Z22" s="215">
        <f>'NME-3 Kondensasi-Dekantasi'!K31</f>
        <v>98.80089740634826</v>
      </c>
      <c r="AA22" s="215" t="inlineStr">
        <is>
          <t>-</t>
        </is>
      </c>
      <c r="AB22" s="215" t="inlineStr">
        <is>
          <t>-</t>
        </is>
      </c>
      <c r="AC22" s="215">
        <f>'NME-3 Kondensasi-Dekantasi'!O31</f>
        <v>3.011585363497441</v>
      </c>
      <c r="AD22" s="215">
        <f>'NME-3 Kondensasi-Dekantasi'!S31</f>
        <v>41020.76769937599</v>
      </c>
      <c r="AE22" s="215">
        <f>'NME-3 Kondensasi-Dekantasi'!S31</f>
        <v>41020.76769937599</v>
      </c>
      <c r="AF22" s="215">
        <f>'NME-4 Kolom Ringan'!C31</f>
        <v>41020.76769937575</v>
      </c>
      <c r="AG22" s="215">
        <f>'NME-4 Kolom Ringan'!K31</f>
        <v>123.50112175793534</v>
      </c>
      <c r="AH22" s="215">
        <f>'NME-4 Kolom Ringan'!O31</f>
        <v>74289.63852619742</v>
      </c>
      <c r="AI22" s="215">
        <f>'NME-5 Kolom Berat'!C31</f>
        <v>74289.63852619648</v>
      </c>
      <c r="AJ22" s="215">
        <f>'NME-5 Kolom Berat'!K31</f>
        <v>39.95304731758825</v>
      </c>
      <c r="AK22" s="215">
        <f>'NME-5 Kolom Berat'!G31</f>
        <v>74249.68547887889</v>
      </c>
      <c r="AL22" s="215">
        <f>'NME-5 Kolom Berat'!G31</f>
        <v>74249.68547887889</v>
      </c>
      <c r="AM22" s="215">
        <f>'NME-6 Pirolisis'!C29</f>
        <v>74249.68547887889</v>
      </c>
      <c r="AN22" s="215">
        <f>'NME-6 Pirolisis'!G29</f>
        <v>33412.3584654955</v>
      </c>
      <c r="AO22" s="215">
        <f>'NME-7 Kolom HCl'!C29</f>
        <v>33412.3584654955</v>
      </c>
      <c r="AP22" s="215">
        <f>'NME-7 Kolom HCl'!C29</f>
        <v>33412.3584654955</v>
      </c>
      <c r="AQ22" s="215">
        <f>'NME-7 Kolom HCl'!G29</f>
        <v>0.0</v>
      </c>
      <c r="AR22" s="215">
        <f>'NME-7 Kolom HCl'!G29</f>
        <v>0.0</v>
      </c>
      <c r="AS22" s="215">
        <f>'NME-2 Oksiklorinasi'!G34</f>
        <v>0.0</v>
      </c>
      <c r="AT22" s="215">
        <f>'NME-7 Kolom HCl'!K29</f>
        <v>33412.3584654955</v>
      </c>
      <c r="AU22" s="215">
        <f>'NME-8 Kolom VCM'!C30</f>
        <v>33412.3584654955</v>
      </c>
      <c r="AV22" s="215">
        <f>'NME-8 Kolom VCM'!G30</f>
        <v>19.986516917250967</v>
      </c>
      <c r="AW22" s="215">
        <f>'NME-8 Kolom VCM'!G30</f>
        <v>19.986516917250967</v>
      </c>
      <c r="AX22" s="215">
        <f>'NME-8 Kolom VCM'!K30</f>
        <v>33392.37194857867</v>
      </c>
      <c r="AY22" s="215">
        <f>'NME-8 Kolom VCM'!K30</f>
        <v>33392.37194857867</v>
      </c>
      <c r="AZ22" s="215">
        <f>'NME-4 Kolom Ringan'!G31</f>
        <v>33392.37194857867</v>
      </c>
    </row>
    <row r="23">
      <c r="A23" s="163" t="inlineStr">
        <is>
          <t>TCE</t>
        </is>
      </c>
      <c r="B23" s="215">
        <f>'NME-1 Klorinasi Langsung'!C36</f>
        <v>0.0</v>
      </c>
      <c r="C23" s="215">
        <f>'NME-1 Klorinasi Langsung'!C36</f>
        <v>0.0</v>
      </c>
      <c r="D23" s="215">
        <f>'NME-1 Klorinasi Langsung'!C36</f>
        <v>0.0</v>
      </c>
      <c r="E23" s="215">
        <f>'NME-1 Klorinasi Langsung'!G36+'NME-2 Oksiklorinasi'!C35</f>
        <v>0.0</v>
      </c>
      <c r="F23" s="215">
        <f>'NME-1 Klorinasi Langsung'!G36+'NME-2 Oksiklorinasi'!C35</f>
        <v>0.0</v>
      </c>
      <c r="G23" s="215">
        <f>'NME-1 Klorinasi Langsung'!G36+'NME-2 Oksiklorinasi'!C35</f>
        <v>0.0</v>
      </c>
      <c r="H23" s="215">
        <f>'NME-1 Klorinasi Langsung'!G36</f>
        <v>0.0</v>
      </c>
      <c r="I23" s="215">
        <f>'NME-1 Klorinasi Langsung'!G36</f>
        <v>0.0</v>
      </c>
      <c r="J23" s="215">
        <f>'NME-2 Oksiklorinasi'!C35</f>
        <v>0.0</v>
      </c>
      <c r="K23" s="215">
        <f>'NME-1 Klorinasi Langsung'!K36</f>
        <v>0.0</v>
      </c>
      <c r="L23" s="215" t="inlineStr">
        <is>
          <t>-</t>
        </is>
      </c>
      <c r="M23" s="215" t="inlineStr">
        <is>
          <t>-</t>
        </is>
      </c>
      <c r="N23" s="215">
        <f>'NME-1 Klorinasi Langsung'!S36</f>
        <v>0.0</v>
      </c>
      <c r="O23" s="215">
        <f>'NME-1 Klorinasi Langsung'!O36</f>
        <v>6.426937109715917</v>
      </c>
      <c r="P23" s="215">
        <f>'NME-3 Kondensasi-Dekantasi'!C32</f>
        <v>6.426937109715917</v>
      </c>
      <c r="Q23" s="215">
        <f>'NME-2 Oksiklorinasi'!K35</f>
        <v>0.0</v>
      </c>
      <c r="R23" s="215">
        <f>'NME-2 Oksiklorinasi'!K35</f>
        <v>0.0</v>
      </c>
      <c r="S23" s="215">
        <f>'NME-2 Oksiklorinasi'!O35</f>
        <v>0.0</v>
      </c>
      <c r="T23" s="215" t="inlineStr">
        <is>
          <t>-</t>
        </is>
      </c>
      <c r="U23" s="215" t="inlineStr">
        <is>
          <t>-</t>
        </is>
      </c>
      <c r="V23" s="215" t="inlineStr">
        <is>
          <t>-</t>
        </is>
      </c>
      <c r="W23" s="215" t="inlineStr">
        <is>
          <t>-</t>
        </is>
      </c>
      <c r="X23" s="215" t="inlineStr">
        <is>
          <t>-</t>
        </is>
      </c>
      <c r="Y23" s="215" t="inlineStr">
        <is>
          <t>-</t>
        </is>
      </c>
      <c r="Z23" s="215">
        <f>'NME-3 Kondensasi-Dekantasi'!K32</f>
        <v>0.0</v>
      </c>
      <c r="AA23" s="215" t="inlineStr">
        <is>
          <t>-</t>
        </is>
      </c>
      <c r="AB23" s="215" t="inlineStr">
        <is>
          <t>-</t>
        </is>
      </c>
      <c r="AC23" s="215">
        <f>'NME-3 Kondensasi-Dekantasi'!O32</f>
        <v>0.0</v>
      </c>
      <c r="AD23" s="215">
        <f>'NME-3 Kondensasi-Dekantasi'!S32</f>
        <v>6.426937109715849</v>
      </c>
      <c r="AE23" s="215">
        <f>'NME-3 Kondensasi-Dekantasi'!S32</f>
        <v>6.426937109715849</v>
      </c>
      <c r="AF23" s="215">
        <f>'NME-4 Kolom Ringan'!C32</f>
        <v>6.426937109715917</v>
      </c>
      <c r="AG23" s="215">
        <f>'NME-4 Kolom Ringan'!K32</f>
        <v>0.0</v>
      </c>
      <c r="AH23" s="215">
        <f>'NME-4 Kolom Ringan'!O32</f>
        <v>7.095265327677765</v>
      </c>
      <c r="AI23" s="215">
        <f>'NME-5 Kolom Berat'!C32</f>
        <v>7.095265327677823</v>
      </c>
      <c r="AJ23" s="215">
        <f>'NME-5 Kolom Berat'!K32</f>
        <v>6.426937109715912</v>
      </c>
      <c r="AK23" s="215">
        <f>'NME-5 Kolom Berat'!G32</f>
        <v>0.6683282179619111</v>
      </c>
      <c r="AL23" s="215">
        <f>'NME-5 Kolom Berat'!G32</f>
        <v>0.6683282179619111</v>
      </c>
      <c r="AM23" s="215">
        <f>'NME-6 Pirolisis'!C30</f>
        <v>0.6683282179619111</v>
      </c>
      <c r="AN23" s="215">
        <f>'NME-6 Pirolisis'!G30</f>
        <v>0.6683282179619111</v>
      </c>
      <c r="AO23" s="215">
        <f>'NME-7 Kolom HCl'!C30</f>
        <v>0.6683282179619111</v>
      </c>
      <c r="AP23" s="215">
        <f>'NME-7 Kolom HCl'!C30</f>
        <v>0.6683282179619111</v>
      </c>
      <c r="AQ23" s="215">
        <f>'NME-7 Kolom HCl'!G30</f>
        <v>0.0</v>
      </c>
      <c r="AR23" s="215">
        <f>'NME-7 Kolom HCl'!G30</f>
        <v>0.0</v>
      </c>
      <c r="AS23" s="215">
        <f>'NME-2 Oksiklorinasi'!G35</f>
        <v>0.0</v>
      </c>
      <c r="AT23" s="215">
        <f>'NME-7 Kolom HCl'!K30</f>
        <v>0.6683282179619111</v>
      </c>
      <c r="AU23" s="215">
        <f>'NME-8 Kolom VCM'!C31</f>
        <v>0.6683282179619111</v>
      </c>
      <c r="AV23" s="215">
        <f>'NME-8 Kolom VCM'!G31</f>
        <v>0.0</v>
      </c>
      <c r="AW23" s="215">
        <f>'NME-8 Kolom VCM'!G31</f>
        <v>0.0</v>
      </c>
      <c r="AX23" s="215">
        <f>'NME-8 Kolom VCM'!K31</f>
        <v>0.6683282179619057</v>
      </c>
      <c r="AY23" s="215">
        <f>'NME-8 Kolom VCM'!K31</f>
        <v>0.6683282179619057</v>
      </c>
      <c r="AZ23" s="215">
        <f>'NME-4 Kolom Ringan'!G32</f>
        <v>0.6683282179619057</v>
      </c>
    </row>
    <row r="24">
      <c r="A24" s="163" t="inlineStr">
        <is>
          <t>HCl</t>
        </is>
      </c>
      <c r="B24" s="215">
        <f>'NME-1 Klorinasi Langsung'!C37</f>
        <v>0.0</v>
      </c>
      <c r="C24" s="215">
        <f>'NME-1 Klorinasi Langsung'!C37</f>
        <v>0.0</v>
      </c>
      <c r="D24" s="215">
        <f>'NME-1 Klorinasi Langsung'!C37</f>
        <v>0.0</v>
      </c>
      <c r="E24" s="215">
        <f>'NME-1 Klorinasi Langsung'!G37+'NME-2 Oksiklorinasi'!C36</f>
        <v>0.0</v>
      </c>
      <c r="F24" s="215">
        <f>'NME-1 Klorinasi Langsung'!G37+'NME-2 Oksiklorinasi'!C36</f>
        <v>0.0</v>
      </c>
      <c r="G24" s="215">
        <f>'NME-1 Klorinasi Langsung'!G37+'NME-2 Oksiklorinasi'!C36</f>
        <v>0.0</v>
      </c>
      <c r="H24" s="215">
        <f>'NME-1 Klorinasi Langsung'!G37</f>
        <v>0.0</v>
      </c>
      <c r="I24" s="215">
        <f>'NME-1 Klorinasi Langsung'!G37</f>
        <v>0.0</v>
      </c>
      <c r="J24" s="215">
        <f>'NME-2 Oksiklorinasi'!C36</f>
        <v>0.0</v>
      </c>
      <c r="K24" s="215">
        <f>'NME-1 Klorinasi Langsung'!K37</f>
        <v>0.0</v>
      </c>
      <c r="L24" s="215" t="inlineStr">
        <is>
          <t>-</t>
        </is>
      </c>
      <c r="M24" s="215" t="inlineStr">
        <is>
          <t>-</t>
        </is>
      </c>
      <c r="N24" s="215">
        <f>'NME-1 Klorinasi Langsung'!S37</f>
        <v>1.7565763435406405</v>
      </c>
      <c r="O24" s="215">
        <f>'NME-1 Klorinasi Langsung'!O37</f>
        <v>0.0</v>
      </c>
      <c r="P24" s="215">
        <f>'NME-3 Kondensasi-Dekantasi'!C33</f>
        <v>0.0</v>
      </c>
      <c r="Q24" s="215">
        <f>'NME-2 Oksiklorinasi'!K36</f>
        <v>0.0</v>
      </c>
      <c r="R24" s="215">
        <f>'NME-2 Oksiklorinasi'!K36</f>
        <v>0.0</v>
      </c>
      <c r="S24" s="215">
        <f>'NME-2 Oksiklorinasi'!O36</f>
        <v>207.48871529308113</v>
      </c>
      <c r="T24" s="215" t="inlineStr">
        <is>
          <t>-</t>
        </is>
      </c>
      <c r="U24" s="215" t="inlineStr">
        <is>
          <t>-</t>
        </is>
      </c>
      <c r="V24" s="215" t="inlineStr">
        <is>
          <t>-</t>
        </is>
      </c>
      <c r="W24" s="215" t="inlineStr">
        <is>
          <t>-</t>
        </is>
      </c>
      <c r="X24" s="215" t="inlineStr">
        <is>
          <t>-</t>
        </is>
      </c>
      <c r="Y24" s="215" t="inlineStr">
        <is>
          <t>-</t>
        </is>
      </c>
      <c r="Z24" s="215">
        <f>'NME-3 Kondensasi-Dekantasi'!K33</f>
        <v>0.0</v>
      </c>
      <c r="AA24" s="215" t="inlineStr">
        <is>
          <t>-</t>
        </is>
      </c>
      <c r="AB24" s="215" t="inlineStr">
        <is>
          <t>-</t>
        </is>
      </c>
      <c r="AC24" s="215">
        <f>'NME-3 Kondensasi-Dekantasi'!O33</f>
        <v>207.48871529308545</v>
      </c>
      <c r="AD24" s="215">
        <f>'NME-3 Kondensasi-Dekantasi'!S33</f>
        <v>0.0</v>
      </c>
      <c r="AE24" s="215">
        <f>'NME-3 Kondensasi-Dekantasi'!S33</f>
        <v>0.0</v>
      </c>
      <c r="AF24" s="215">
        <f>'NME-4 Kolom Ringan'!C33</f>
        <v>0.0</v>
      </c>
      <c r="AG24" s="215">
        <f>'NME-4 Kolom Ringan'!K33</f>
        <v>0.0</v>
      </c>
      <c r="AH24" s="215">
        <f>'NME-4 Kolom Ringan'!O33</f>
        <v>0.0</v>
      </c>
      <c r="AI24" s="215">
        <f>'NME-5 Kolom Berat'!C33</f>
        <v>0.0</v>
      </c>
      <c r="AJ24" s="215">
        <f>'NME-5 Kolom Berat'!K33</f>
        <v>0.0</v>
      </c>
      <c r="AK24" s="215">
        <f>'NME-5 Kolom Berat'!G33</f>
        <v>0.0</v>
      </c>
      <c r="AL24" s="215">
        <f>'NME-5 Kolom Berat'!G33</f>
        <v>0.0</v>
      </c>
      <c r="AM24" s="215">
        <f>'NME-6 Pirolisis'!C31</f>
        <v>0.0</v>
      </c>
      <c r="AN24" s="215">
        <f>'NME-6 Pirolisis'!G31</f>
        <v>14820.63514719679</v>
      </c>
      <c r="AO24" s="215">
        <f>'NME-7 Kolom HCl'!C31</f>
        <v>14820.63514719679</v>
      </c>
      <c r="AP24" s="215">
        <f>'NME-7 Kolom HCl'!C31</f>
        <v>14820.63514719679</v>
      </c>
      <c r="AQ24" s="215">
        <f>'NME-7 Kolom HCl'!G31</f>
        <v>14820.622520934165</v>
      </c>
      <c r="AR24" s="215">
        <f>'NME-7 Kolom HCl'!G31</f>
        <v>14820.622520934165</v>
      </c>
      <c r="AS24" s="215">
        <f>'NME-2 Oksiklorinasi'!G36</f>
        <v>14820.622520934352</v>
      </c>
      <c r="AT24" s="215">
        <f>'NME-7 Kolom HCl'!K31</f>
        <v>0.01262626262626249</v>
      </c>
      <c r="AU24" s="215">
        <f>'NME-8 Kolom VCM'!C32</f>
        <v>0.01262626262626249</v>
      </c>
      <c r="AV24" s="215">
        <f>'NME-8 Kolom VCM'!G32</f>
        <v>0.012626262626262798</v>
      </c>
      <c r="AW24" s="215">
        <f>'NME-8 Kolom VCM'!G32</f>
        <v>0.012626262626262798</v>
      </c>
      <c r="AX24" s="215">
        <f>'NME-8 Kolom VCM'!K32</f>
        <v>0.0</v>
      </c>
      <c r="AY24" s="215">
        <f>'NME-8 Kolom VCM'!K32</f>
        <v>0.0</v>
      </c>
      <c r="AZ24" s="215">
        <f>'NME-4 Kolom Ringan'!G33</f>
        <v>0.0</v>
      </c>
    </row>
    <row r="25">
      <c r="A25" s="163" t="inlineStr">
        <is>
          <t>FeCl₃</t>
        </is>
      </c>
      <c r="B25" s="215">
        <f>'NME-1 Klorinasi Langsung'!C38</f>
        <v>0.0</v>
      </c>
      <c r="C25" s="215">
        <f>'NME-1 Klorinasi Langsung'!C38</f>
        <v>0.0</v>
      </c>
      <c r="D25" s="215">
        <f>'NME-1 Klorinasi Langsung'!C38</f>
        <v>0.0</v>
      </c>
      <c r="E25" s="215">
        <f>'NME-1 Klorinasi Langsung'!G38+'NME-2 Oksiklorinasi'!C37</f>
        <v>0.0</v>
      </c>
      <c r="F25" s="215">
        <f>'NME-1 Klorinasi Langsung'!G38+'NME-2 Oksiklorinasi'!C37</f>
        <v>0.0</v>
      </c>
      <c r="G25" s="215">
        <f>'NME-1 Klorinasi Langsung'!G38+'NME-2 Oksiklorinasi'!C37</f>
        <v>0.0</v>
      </c>
      <c r="H25" s="215">
        <f>'NME-1 Klorinasi Langsung'!G38</f>
        <v>0.0</v>
      </c>
      <c r="I25" s="215">
        <f>'NME-1 Klorinasi Langsung'!G38</f>
        <v>0.0</v>
      </c>
      <c r="J25" s="215">
        <f>'NME-2 Oksiklorinasi'!C37</f>
        <v>0.0</v>
      </c>
      <c r="K25" s="215">
        <f>'NME-1 Klorinasi Langsung'!K38</f>
        <v>4.2858109726273375</v>
      </c>
      <c r="L25" s="215" t="inlineStr">
        <is>
          <t>-</t>
        </is>
      </c>
      <c r="M25" s="215" t="inlineStr">
        <is>
          <t>-</t>
        </is>
      </c>
      <c r="N25" s="215">
        <f>'NME-1 Klorinasi Langsung'!S38</f>
        <v>0.0</v>
      </c>
      <c r="O25" s="215">
        <f>'NME-1 Klorinasi Langsung'!O38</f>
        <v>4.2858109726273375</v>
      </c>
      <c r="P25" s="215">
        <f>'NME-3 Kondensasi-Dekantasi'!C34</f>
        <v>4.2858109726273375</v>
      </c>
      <c r="Q25" s="215">
        <f>'NME-2 Oksiklorinasi'!K37</f>
        <v>0.0</v>
      </c>
      <c r="R25" s="215">
        <f>'NME-2 Oksiklorinasi'!K37</f>
        <v>0.0</v>
      </c>
      <c r="S25" s="215">
        <f>'NME-2 Oksiklorinasi'!O37</f>
        <v>0.0</v>
      </c>
      <c r="T25" s="215" t="inlineStr">
        <is>
          <t>-</t>
        </is>
      </c>
      <c r="U25" s="215" t="inlineStr">
        <is>
          <t>-</t>
        </is>
      </c>
      <c r="V25" s="215" t="inlineStr">
        <is>
          <t>-</t>
        </is>
      </c>
      <c r="W25" s="215" t="inlineStr">
        <is>
          <t>-</t>
        </is>
      </c>
      <c r="X25" s="215" t="inlineStr">
        <is>
          <t>-</t>
        </is>
      </c>
      <c r="Y25" s="215" t="inlineStr">
        <is>
          <t>-</t>
        </is>
      </c>
      <c r="Z25" s="215">
        <f>'NME-3 Kondensasi-Dekantasi'!K34</f>
        <v>0.0</v>
      </c>
      <c r="AA25" s="215" t="inlineStr">
        <is>
          <t>-</t>
        </is>
      </c>
      <c r="AB25" s="215" t="inlineStr">
        <is>
          <t>-</t>
        </is>
      </c>
      <c r="AC25" s="215">
        <f>'NME-3 Kondensasi-Dekantasi'!O34</f>
        <v>4.162409948296146</v>
      </c>
      <c r="AD25" s="215">
        <f>'NME-3 Kondensasi-Dekantasi'!S34</f>
        <v>0.12340102433114294</v>
      </c>
      <c r="AE25" s="215">
        <f>'NME-3 Kondensasi-Dekantasi'!S34</f>
        <v>0.12340102433114294</v>
      </c>
      <c r="AF25" s="215">
        <f>'NME-4 Kolom Ringan'!C34</f>
        <v>0.12340102433114014</v>
      </c>
      <c r="AG25" s="215">
        <f>'NME-4 Kolom Ringan'!K34</f>
        <v>0.0</v>
      </c>
      <c r="AH25" s="215">
        <f>'NME-4 Kolom Ringan'!O34</f>
        <v>0.12340102433114294</v>
      </c>
      <c r="AI25" s="215">
        <f>'NME-5 Kolom Berat'!C34</f>
        <v>0.12340102433114014</v>
      </c>
      <c r="AJ25" s="215">
        <f>'NME-5 Kolom Berat'!K34</f>
        <v>0.12340102433114014</v>
      </c>
      <c r="AK25" s="215">
        <f>'NME-5 Kolom Berat'!G34</f>
        <v>0.0</v>
      </c>
      <c r="AL25" s="215">
        <f>'NME-5 Kolom Berat'!G34</f>
        <v>0.0</v>
      </c>
      <c r="AM25" s="215">
        <f>'NME-6 Pirolisis'!C32</f>
        <v>0.0</v>
      </c>
      <c r="AN25" s="215">
        <f>'NME-6 Pirolisis'!G32</f>
        <v>0.0</v>
      </c>
      <c r="AO25" s="215">
        <f>'NME-7 Kolom HCl'!C32</f>
        <v>0.0</v>
      </c>
      <c r="AP25" s="215">
        <f>'NME-7 Kolom HCl'!C32</f>
        <v>0.0</v>
      </c>
      <c r="AQ25" s="215">
        <f>'NME-7 Kolom HCl'!G32</f>
        <v>0.0</v>
      </c>
      <c r="AR25" s="215">
        <f>'NME-7 Kolom HCl'!G32</f>
        <v>0.0</v>
      </c>
      <c r="AS25" s="215">
        <f>'NME-2 Oksiklorinasi'!G37</f>
        <v>0.0</v>
      </c>
      <c r="AT25" s="215">
        <f>'NME-7 Kolom HCl'!K32</f>
        <v>0.0</v>
      </c>
      <c r="AU25" s="215">
        <f>'NME-8 Kolom VCM'!C33</f>
        <v>0.0</v>
      </c>
      <c r="AV25" s="215">
        <f>'NME-8 Kolom VCM'!G33</f>
        <v>0.0</v>
      </c>
      <c r="AW25" s="215">
        <f>'NME-8 Kolom VCM'!G33</f>
        <v>0.0</v>
      </c>
      <c r="AX25" s="215">
        <f>'NME-8 Kolom VCM'!K33</f>
        <v>0.0</v>
      </c>
      <c r="AY25" s="215">
        <f>'NME-8 Kolom VCM'!K33</f>
        <v>0.0</v>
      </c>
      <c r="AZ25" s="215">
        <f>'NME-4 Kolom Ringan'!G34</f>
        <v>0.0</v>
      </c>
    </row>
    <row r="26">
      <c r="A26" s="163" t="inlineStr">
        <is>
          <t>Ethyl chloride</t>
        </is>
      </c>
      <c r="B26" s="215">
        <f>'NME-1 Klorinasi Langsung'!C39</f>
        <v>0.0</v>
      </c>
      <c r="C26" s="215">
        <f>'NME-1 Klorinasi Langsung'!C39</f>
        <v>0.0</v>
      </c>
      <c r="D26" s="215">
        <f>'NME-1 Klorinasi Langsung'!C39</f>
        <v>0.0</v>
      </c>
      <c r="E26" s="215">
        <f>'NME-1 Klorinasi Langsung'!G39+'NME-2 Oksiklorinasi'!C38</f>
        <v>0.0</v>
      </c>
      <c r="F26" s="215">
        <f>'NME-1 Klorinasi Langsung'!G39+'NME-2 Oksiklorinasi'!C38</f>
        <v>0.0</v>
      </c>
      <c r="G26" s="215">
        <f>'NME-1 Klorinasi Langsung'!G39+'NME-2 Oksiklorinasi'!C38</f>
        <v>0.0</v>
      </c>
      <c r="H26" s="215">
        <f>'NME-1 Klorinasi Langsung'!G39</f>
        <v>0.0</v>
      </c>
      <c r="I26" s="215">
        <f>'NME-1 Klorinasi Langsung'!G39</f>
        <v>0.0</v>
      </c>
      <c r="J26" s="215">
        <f>'NME-2 Oksiklorinasi'!C38</f>
        <v>0.0</v>
      </c>
      <c r="K26" s="215">
        <f>'NME-1 Klorinasi Langsung'!K39</f>
        <v>0.0</v>
      </c>
      <c r="L26" s="215" t="inlineStr">
        <is>
          <t>-</t>
        </is>
      </c>
      <c r="M26" s="215" t="inlineStr">
        <is>
          <t>-</t>
        </is>
      </c>
      <c r="N26" s="215">
        <f>'NME-1 Klorinasi Langsung'!S39</f>
        <v>0.0</v>
      </c>
      <c r="O26" s="215">
        <f>'NME-1 Klorinasi Langsung'!O39</f>
        <v>0.0</v>
      </c>
      <c r="P26" s="215">
        <f>'NME-3 Kondensasi-Dekantasi'!C35</f>
        <v>0.0</v>
      </c>
      <c r="Q26" s="215">
        <f>'NME-2 Oksiklorinasi'!K38</f>
        <v>0.0</v>
      </c>
      <c r="R26" s="215">
        <f>'NME-2 Oksiklorinasi'!K38</f>
        <v>0.0</v>
      </c>
      <c r="S26" s="215">
        <f>'NME-2 Oksiklorinasi'!O38</f>
        <v>104.89591200824856</v>
      </c>
      <c r="T26" s="215" t="inlineStr">
        <is>
          <t>-</t>
        </is>
      </c>
      <c r="U26" s="215" t="inlineStr">
        <is>
          <t>-</t>
        </is>
      </c>
      <c r="V26" s="215" t="inlineStr">
        <is>
          <t>-</t>
        </is>
      </c>
      <c r="W26" s="215" t="inlineStr">
        <is>
          <t>-</t>
        </is>
      </c>
      <c r="X26" s="215" t="inlineStr">
        <is>
          <t>-</t>
        </is>
      </c>
      <c r="Y26" s="215" t="inlineStr">
        <is>
          <t>-</t>
        </is>
      </c>
      <c r="Z26" s="215">
        <f>'NME-3 Kondensasi-Dekantasi'!K35</f>
        <v>0.0</v>
      </c>
      <c r="AA26" s="215" t="inlineStr">
        <is>
          <t>-</t>
        </is>
      </c>
      <c r="AB26" s="215" t="inlineStr">
        <is>
          <t>-</t>
        </is>
      </c>
      <c r="AC26" s="215">
        <f>'NME-3 Kondensasi-Dekantasi'!O35</f>
        <v>0.0</v>
      </c>
      <c r="AD26" s="215">
        <f>'NME-3 Kondensasi-Dekantasi'!S35</f>
        <v>104.89591200816055</v>
      </c>
      <c r="AE26" s="215">
        <f>'NME-3 Kondensasi-Dekantasi'!S35</f>
        <v>104.89591200816055</v>
      </c>
      <c r="AF26" s="215">
        <f>'NME-4 Kolom Ringan'!C35</f>
        <v>104.89591200824856</v>
      </c>
      <c r="AG26" s="215">
        <f>'NME-4 Kolom Ringan'!K35</f>
        <v>104.89591200824856</v>
      </c>
      <c r="AH26" s="215">
        <f>'NME-4 Kolom Ringan'!O35</f>
        <v>0.0</v>
      </c>
      <c r="AI26" s="215">
        <f>'NME-5 Kolom Berat'!C35</f>
        <v>0.0</v>
      </c>
      <c r="AJ26" s="215">
        <f>'NME-5 Kolom Berat'!K35</f>
        <v>0.0</v>
      </c>
      <c r="AK26" s="215">
        <f>'NME-5 Kolom Berat'!G35</f>
        <v>0.0</v>
      </c>
      <c r="AL26" s="215">
        <f>'NME-5 Kolom Berat'!G35</f>
        <v>0.0</v>
      </c>
      <c r="AM26" s="215">
        <f>'NME-6 Pirolisis'!C33</f>
        <v>0.0</v>
      </c>
      <c r="AN26" s="215">
        <f>'NME-6 Pirolisis'!G33</f>
        <v>0.0</v>
      </c>
      <c r="AO26" s="215">
        <f>'NME-7 Kolom HCl'!C33</f>
        <v>0.0</v>
      </c>
      <c r="AP26" s="215">
        <f>'NME-7 Kolom HCl'!C33</f>
        <v>0.0</v>
      </c>
      <c r="AQ26" s="215">
        <f>'NME-7 Kolom HCl'!G33</f>
        <v>0.0</v>
      </c>
      <c r="AR26" s="215">
        <f>'NME-7 Kolom HCl'!G33</f>
        <v>0.0</v>
      </c>
      <c r="AS26" s="215">
        <f>'NME-2 Oksiklorinasi'!G38</f>
        <v>0.0</v>
      </c>
      <c r="AT26" s="215">
        <f>'NME-7 Kolom HCl'!K33</f>
        <v>0.0</v>
      </c>
      <c r="AU26" s="215">
        <f>'NME-8 Kolom VCM'!C34</f>
        <v>0.0</v>
      </c>
      <c r="AV26" s="215">
        <f>'NME-8 Kolom VCM'!G34</f>
        <v>0.0</v>
      </c>
      <c r="AW26" s="215">
        <f>'NME-8 Kolom VCM'!G34</f>
        <v>0.0</v>
      </c>
      <c r="AX26" s="215">
        <f>'NME-8 Kolom VCM'!K34</f>
        <v>0.0</v>
      </c>
      <c r="AY26" s="215">
        <f>'NME-8 Kolom VCM'!K34</f>
        <v>0.0</v>
      </c>
      <c r="AZ26" s="215">
        <f>'NME-4 Kolom Ringan'!G35</f>
        <v>0.0</v>
      </c>
    </row>
    <row r="27">
      <c r="A27" s="163" t="inlineStr">
        <is>
          <t>VCM</t>
        </is>
      </c>
      <c r="B27" s="215">
        <f>'NME-1 Klorinasi Langsung'!C40</f>
        <v>0.0</v>
      </c>
      <c r="C27" s="215">
        <f>'NME-1 Klorinasi Langsung'!C40</f>
        <v>0.0</v>
      </c>
      <c r="D27" s="215">
        <f>'NME-1 Klorinasi Langsung'!C40</f>
        <v>0.0</v>
      </c>
      <c r="E27" s="215">
        <f>'NME-1 Klorinasi Langsung'!G40+'NME-2 Oksiklorinasi'!C39</f>
        <v>0.0</v>
      </c>
      <c r="F27" s="215">
        <f>'NME-1 Klorinasi Langsung'!G40+'NME-2 Oksiklorinasi'!C39</f>
        <v>0.0</v>
      </c>
      <c r="G27" s="215">
        <f>'NME-1 Klorinasi Langsung'!G40+'NME-2 Oksiklorinasi'!C39</f>
        <v>0.0</v>
      </c>
      <c r="H27" s="215">
        <f>'NME-1 Klorinasi Langsung'!G40</f>
        <v>0.0</v>
      </c>
      <c r="I27" s="215">
        <f>'NME-1 Klorinasi Langsung'!G40</f>
        <v>0.0</v>
      </c>
      <c r="J27" s="215">
        <f>'NME-2 Oksiklorinasi'!C39</f>
        <v>0.0</v>
      </c>
      <c r="K27" s="215">
        <f>'NME-1 Klorinasi Langsung'!K40</f>
        <v>0.0</v>
      </c>
      <c r="L27" s="215" t="inlineStr">
        <is>
          <t>-</t>
        </is>
      </c>
      <c r="M27" s="215" t="inlineStr">
        <is>
          <t>-</t>
        </is>
      </c>
      <c r="N27" s="215">
        <f>'NME-1 Klorinasi Langsung'!S40</f>
        <v>0.0</v>
      </c>
      <c r="O27" s="215">
        <f>'NME-1 Klorinasi Langsung'!O40</f>
        <v>0.0</v>
      </c>
      <c r="P27" s="215">
        <f>'NME-3 Kondensasi-Dekantasi'!C36</f>
        <v>0.0</v>
      </c>
      <c r="Q27" s="215">
        <f>'NME-2 Oksiklorinasi'!K39</f>
        <v>0.0</v>
      </c>
      <c r="R27" s="215">
        <f>'NME-2 Oksiklorinasi'!K39</f>
        <v>0.0</v>
      </c>
      <c r="S27" s="215">
        <f>'NME-2 Oksiklorinasi'!O39</f>
        <v>2.56001028053807</v>
      </c>
      <c r="T27" s="215" t="inlineStr">
        <is>
          <t>-</t>
        </is>
      </c>
      <c r="U27" s="215" t="inlineStr">
        <is>
          <t>-</t>
        </is>
      </c>
      <c r="V27" s="215" t="inlineStr">
        <is>
          <t>-</t>
        </is>
      </c>
      <c r="W27" s="215" t="inlineStr">
        <is>
          <t>-</t>
        </is>
      </c>
      <c r="X27" s="215" t="inlineStr">
        <is>
          <t>-</t>
        </is>
      </c>
      <c r="Y27" s="215" t="inlineStr">
        <is>
          <t>-</t>
        </is>
      </c>
      <c r="Z27" s="215">
        <f>'NME-3 Kondensasi-Dekantasi'!K36</f>
        <v>2.56001028053807</v>
      </c>
      <c r="AA27" s="215" t="inlineStr">
        <is>
          <t>-</t>
        </is>
      </c>
      <c r="AB27" s="215" t="inlineStr">
        <is>
          <t>-</t>
        </is>
      </c>
      <c r="AC27" s="215">
        <f>'NME-3 Kondensasi-Dekantasi'!O36</f>
        <v>0.0</v>
      </c>
      <c r="AD27" s="215">
        <f>'NME-3 Kondensasi-Dekantasi'!S36</f>
        <v>0.0</v>
      </c>
      <c r="AE27" s="215">
        <f>'NME-3 Kondensasi-Dekantasi'!S36</f>
        <v>0.0</v>
      </c>
      <c r="AF27" s="215">
        <f>'NME-4 Kolom Ringan'!C36</f>
        <v>0.0</v>
      </c>
      <c r="AG27" s="215">
        <f>'NME-4 Kolom Ringan'!K36</f>
        <v>169.04584136104577</v>
      </c>
      <c r="AH27" s="215">
        <f>'NME-4 Kolom Ringan'!O36</f>
        <v>0.746933259985981</v>
      </c>
      <c r="AI27" s="215">
        <f>'NME-5 Kolom Berat'!C36</f>
        <v>0.746933259985981</v>
      </c>
      <c r="AJ27" s="215">
        <f>'NME-5 Kolom Berat'!K36</f>
        <v>0.0</v>
      </c>
      <c r="AK27" s="215">
        <f>'NME-5 Kolom Berat'!G36</f>
        <v>0.746933259985981</v>
      </c>
      <c r="AL27" s="215">
        <f>'NME-5 Kolom Berat'!G36</f>
        <v>0.746933259985981</v>
      </c>
      <c r="AM27" s="215">
        <f>'NME-6 Pirolisis'!C34</f>
        <v>0.746933259985981</v>
      </c>
      <c r="AN27" s="215">
        <f>'NME-6 Pirolisis'!G34</f>
        <v>25404.878894245834</v>
      </c>
      <c r="AO27" s="215">
        <f>'NME-7 Kolom HCl'!C34</f>
        <v>25404.878894245834</v>
      </c>
      <c r="AP27" s="215">
        <f>'NME-7 Kolom HCl'!C34</f>
        <v>25404.878894245834</v>
      </c>
      <c r="AQ27" s="215">
        <f>'NME-7 Kolom HCl'!G34</f>
        <v>2.56001028053807</v>
      </c>
      <c r="AR27" s="215">
        <f>'NME-7 Kolom HCl'!G34</f>
        <v>2.56001028053807</v>
      </c>
      <c r="AS27" s="215">
        <f>'NME-2 Oksiklorinasi'!G39</f>
        <v>2.56001028053807</v>
      </c>
      <c r="AT27" s="215">
        <f>'NME-7 Kolom HCl'!K34</f>
        <v>25402.318883965298</v>
      </c>
      <c r="AU27" s="215">
        <f>'NME-8 Kolom VCM'!C35</f>
        <v>25402.318883965298</v>
      </c>
      <c r="AV27" s="215">
        <f>'NME-8 Kolom VCM'!G35</f>
        <v>25232.52610934458</v>
      </c>
      <c r="AW27" s="215">
        <f>'NME-8 Kolom VCM'!G35</f>
        <v>25232.52610934458</v>
      </c>
      <c r="AX27" s="215">
        <f>'NME-8 Kolom VCM'!K35</f>
        <v>169.79277462103175</v>
      </c>
      <c r="AY27" s="215">
        <f>'NME-8 Kolom VCM'!K35</f>
        <v>169.79277462103175</v>
      </c>
      <c r="AZ27" s="215">
        <f>'NME-4 Kolom Ringan'!G36</f>
        <v>169.79277462103175</v>
      </c>
    </row>
    <row r="28">
      <c r="A28" s="163" t="inlineStr">
        <is>
          <t>Fraksi berat (C₄H₈Cl₂)</t>
        </is>
      </c>
      <c r="B28" s="215">
        <f>'NME-1 Klorinasi Langsung'!C41</f>
        <v>0.0</v>
      </c>
      <c r="C28" s="215">
        <f>'NME-1 Klorinasi Langsung'!C41</f>
        <v>0.0</v>
      </c>
      <c r="D28" s="215">
        <f>'NME-1 Klorinasi Langsung'!C41</f>
        <v>0.0</v>
      </c>
      <c r="E28" s="215">
        <f>'NME-1 Klorinasi Langsung'!G41+'NME-2 Oksiklorinasi'!C40</f>
        <v>0.0</v>
      </c>
      <c r="F28" s="215">
        <f>'NME-1 Klorinasi Langsung'!G41+'NME-2 Oksiklorinasi'!C40</f>
        <v>0.0</v>
      </c>
      <c r="G28" s="215">
        <f>'NME-1 Klorinasi Langsung'!G41+'NME-2 Oksiklorinasi'!C40</f>
        <v>0.0</v>
      </c>
      <c r="H28" s="215">
        <f>'NME-1 Klorinasi Langsung'!G41</f>
        <v>0.0</v>
      </c>
      <c r="I28" s="215">
        <f>'NME-1 Klorinasi Langsung'!G41</f>
        <v>0.0</v>
      </c>
      <c r="J28" s="215">
        <f>'NME-2 Oksiklorinasi'!C40</f>
        <v>0.0</v>
      </c>
      <c r="K28" s="215">
        <f>'NME-1 Klorinasi Langsung'!K41</f>
        <v>0.0</v>
      </c>
      <c r="L28" s="215" t="inlineStr">
        <is>
          <t>-</t>
        </is>
      </c>
      <c r="M28" s="215" t="inlineStr">
        <is>
          <t>-</t>
        </is>
      </c>
      <c r="N28" s="215">
        <f>'NME-1 Klorinasi Langsung'!S41</f>
        <v>0.0</v>
      </c>
      <c r="O28" s="215">
        <f>'NME-1 Klorinasi Langsung'!O41</f>
        <v>0.0</v>
      </c>
      <c r="P28" s="215">
        <f>'NME-3 Kondensasi-Dekantasi'!C37</f>
        <v>0.0</v>
      </c>
      <c r="Q28" s="215">
        <f>'NME-2 Oksiklorinasi'!K40</f>
        <v>0.0</v>
      </c>
      <c r="R28" s="215">
        <f>'NME-2 Oksiklorinasi'!K40</f>
        <v>0.0</v>
      </c>
      <c r="S28" s="215">
        <f>'NME-2 Oksiklorinasi'!O40</f>
        <v>0.0</v>
      </c>
      <c r="T28" s="215" t="inlineStr">
        <is>
          <t>-</t>
        </is>
      </c>
      <c r="U28" s="215" t="inlineStr">
        <is>
          <t>-</t>
        </is>
      </c>
      <c r="V28" s="215" t="inlineStr">
        <is>
          <t>-</t>
        </is>
      </c>
      <c r="W28" s="215" t="inlineStr">
        <is>
          <t>-</t>
        </is>
      </c>
      <c r="X28" s="215" t="inlineStr">
        <is>
          <t>-</t>
        </is>
      </c>
      <c r="Y28" s="215" t="inlineStr">
        <is>
          <t>-</t>
        </is>
      </c>
      <c r="Z28" s="215">
        <f>'NME-3 Kondensasi-Dekantasi'!K37</f>
        <v>0.0</v>
      </c>
      <c r="AA28" s="215" t="inlineStr">
        <is>
          <t>-</t>
        </is>
      </c>
      <c r="AB28" s="215" t="inlineStr">
        <is>
          <t>-</t>
        </is>
      </c>
      <c r="AC28" s="215">
        <f>'NME-3 Kondensasi-Dekantasi'!O37</f>
        <v>0.0</v>
      </c>
      <c r="AD28" s="215">
        <f>'NME-3 Kondensasi-Dekantasi'!S37</f>
        <v>0.0</v>
      </c>
      <c r="AE28" s="215">
        <f>'NME-3 Kondensasi-Dekantasi'!S37</f>
        <v>0.0</v>
      </c>
      <c r="AF28" s="215">
        <f>'NME-4 Kolom Ringan'!C37</f>
        <v>0.0</v>
      </c>
      <c r="AG28" s="215">
        <f>'NME-4 Kolom Ringan'!K37</f>
        <v>0.0</v>
      </c>
      <c r="AH28" s="215">
        <f>'NME-4 Kolom Ringan'!O37</f>
        <v>393.10760637873085</v>
      </c>
      <c r="AI28" s="215">
        <f>'NME-5 Kolom Berat'!C37</f>
        <v>393.10760637872266</v>
      </c>
      <c r="AJ28" s="215">
        <f>'NME-5 Kolom Berat'!K37</f>
        <v>393.10760637872266</v>
      </c>
      <c r="AK28" s="215">
        <f>'NME-5 Kolom Berat'!G37</f>
        <v>0.0</v>
      </c>
      <c r="AL28" s="215">
        <f>'NME-5 Kolom Berat'!G37</f>
        <v>0.0</v>
      </c>
      <c r="AM28" s="215">
        <f>'NME-6 Pirolisis'!C35</f>
        <v>0.0</v>
      </c>
      <c r="AN28" s="215">
        <f>'NME-6 Pirolisis'!G35</f>
        <v>393.1076063787176</v>
      </c>
      <c r="AO28" s="215">
        <f>'NME-7 Kolom HCl'!C35</f>
        <v>393.1076063787176</v>
      </c>
      <c r="AP28" s="215">
        <f>'NME-7 Kolom HCl'!C35</f>
        <v>393.1076063787176</v>
      </c>
      <c r="AQ28" s="215">
        <f>'NME-7 Kolom HCl'!G35</f>
        <v>0.0</v>
      </c>
      <c r="AR28" s="215">
        <f>'NME-7 Kolom HCl'!G35</f>
        <v>0.0</v>
      </c>
      <c r="AS28" s="215">
        <f>'NME-2 Oksiklorinasi'!G40</f>
        <v>0.0</v>
      </c>
      <c r="AT28" s="215">
        <f>'NME-7 Kolom HCl'!K35</f>
        <v>393.1076063787176</v>
      </c>
      <c r="AU28" s="215">
        <f>'NME-8 Kolom VCM'!C36</f>
        <v>393.1076063787176</v>
      </c>
      <c r="AV28" s="215">
        <f>'NME-8 Kolom VCM'!G36</f>
        <v>0.0</v>
      </c>
      <c r="AW28" s="215">
        <f>'NME-8 Kolom VCM'!G36</f>
        <v>0.0</v>
      </c>
      <c r="AX28" s="215">
        <f>'NME-8 Kolom VCM'!K36</f>
        <v>393.10760637872266</v>
      </c>
      <c r="AY28" s="215">
        <f>'NME-8 Kolom VCM'!K36</f>
        <v>393.10760637872266</v>
      </c>
      <c r="AZ28" s="215">
        <f>'NME-4 Kolom Ringan'!G37</f>
        <v>393.10760637872266</v>
      </c>
    </row>
    <row r="29">
      <c r="A29" s="200" t="inlineStr">
        <is>
          <t>Total (kg/h)</t>
        </is>
      </c>
      <c r="B29" s="227">
        <f>SUM(B8:B28)</f>
        <v>15377.131878577646</v>
      </c>
      <c r="C29" s="227">
        <f>SUM(C8:C28)</f>
        <v>15377.131878577646</v>
      </c>
      <c r="D29" s="227">
        <f>SUM(D8:D28)</f>
        <v>15377.131878577646</v>
      </c>
      <c r="E29" s="227">
        <f>SUM(E8:E28)</f>
        <v>11803.669714949243</v>
      </c>
      <c r="F29" s="227">
        <f>SUM(F8:F28)</f>
        <v>11803.669714949243</v>
      </c>
      <c r="G29" s="227">
        <f>SUM(G8:G28)</f>
        <v>11803.669714949243</v>
      </c>
      <c r="H29" s="227">
        <f>SUM(H8:H28)</f>
        <v>6100.572183061604</v>
      </c>
      <c r="I29" s="227">
        <f>SUM(I8:I28)</f>
        <v>6100.572183061604</v>
      </c>
      <c r="J29" s="227">
        <f>SUM(J8:J28)</f>
        <v>5703.097531887638</v>
      </c>
      <c r="K29" s="227">
        <f>SUM(K8:K28)</f>
        <v>4.2858109726273375</v>
      </c>
      <c r="L29" s="172" t="inlineStr">
        <is>
          <t>-</t>
        </is>
      </c>
      <c r="M29" s="172" t="inlineStr">
        <is>
          <t>-</t>
        </is>
      </c>
      <c r="N29" s="227">
        <f>SUM(N8:N28)</f>
        <v>97.39541330820659</v>
      </c>
      <c r="O29" s="227">
        <f>SUM(O8:O28)</f>
        <v>21384.594459303833</v>
      </c>
      <c r="P29" s="227">
        <f>SUM(P8:P28)</f>
        <v>21384.594459303833</v>
      </c>
      <c r="Q29" s="227">
        <f>SUM(Q8:Q28)</f>
        <v>22337.634459160297</v>
      </c>
      <c r="R29" s="227">
        <f>SUM(R8:R28)</f>
        <v>22337.634459160297</v>
      </c>
      <c r="S29" s="227">
        <f>SUM(S8:S28)</f>
        <v>43083.06643327203</v>
      </c>
      <c r="T29" s="172" t="inlineStr">
        <is>
          <t>-</t>
        </is>
      </c>
      <c r="U29" s="172" t="inlineStr">
        <is>
          <t>-</t>
        </is>
      </c>
      <c r="V29" s="172" t="inlineStr">
        <is>
          <t>-</t>
        </is>
      </c>
      <c r="W29" s="172" t="inlineStr">
        <is>
          <t>-</t>
        </is>
      </c>
      <c r="X29" s="172" t="inlineStr">
        <is>
          <t>-</t>
        </is>
      </c>
      <c r="Y29" s="172" t="inlineStr">
        <is>
          <t>-</t>
        </is>
      </c>
      <c r="Z29" s="227">
        <f>SUM(Z8:Z28)</f>
        <v>19487.072197175527</v>
      </c>
      <c r="AA29" s="172" t="inlineStr">
        <is>
          <t>-</t>
        </is>
      </c>
      <c r="AB29" s="172" t="inlineStr">
        <is>
          <t>-</t>
        </is>
      </c>
      <c r="AC29" s="227">
        <f>SUM(AC8:AC28)</f>
        <v>3764.4817043717962</v>
      </c>
      <c r="AD29" s="227">
        <f>SUM(AD8:AD28)</f>
        <v>41216.10699102872</v>
      </c>
      <c r="AE29" s="227">
        <f>SUM(AE8:AE28)</f>
        <v>41216.10699102872</v>
      </c>
      <c r="AF29" s="227">
        <f>SUM(AF8:AF28)</f>
        <v>41216.106991028566</v>
      </c>
      <c r="AG29" s="227">
        <f>SUM(AG8:AG28)</f>
        <v>481.3359166377536</v>
      </c>
      <c r="AH29" s="227">
        <f>SUM(AH8:AH28)</f>
        <v>74693.3259985981</v>
      </c>
      <c r="AI29" s="227">
        <f>SUM(AI8:AI28)</f>
        <v>74693.32599859714</v>
      </c>
      <c r="AJ29" s="227">
        <f>SUM(AJ8:AJ28)</f>
        <v>439.610991830358</v>
      </c>
      <c r="AK29" s="227">
        <f>SUM(AK8:AK28)</f>
        <v>74253.71500676678</v>
      </c>
      <c r="AL29" s="227">
        <f>SUM(AL8:AL28)</f>
        <v>74253.71500676678</v>
      </c>
      <c r="AM29" s="227">
        <f>SUM(AM8:AM28)</f>
        <v>74253.71500676678</v>
      </c>
      <c r="AN29" s="227">
        <f>SUM(AN8:AN28)</f>
        <v>74253.71500676678</v>
      </c>
      <c r="AO29" s="227">
        <f>SUM(AO8:AO28)</f>
        <v>74253.71500676678</v>
      </c>
      <c r="AP29" s="227">
        <f>SUM(AP8:AP28)</f>
        <v>74253.71500676678</v>
      </c>
      <c r="AQ29" s="227">
        <f>SUM(AQ8:AQ28)</f>
        <v>15042.634830036739</v>
      </c>
      <c r="AR29" s="227">
        <f>SUM(AR8:AR28)</f>
        <v>15042.634830036739</v>
      </c>
      <c r="AS29" s="227">
        <f>SUM(AS8:AS28)</f>
        <v>15042.634830036926</v>
      </c>
      <c r="AT29" s="227">
        <f>SUM(AT8:AT28)</f>
        <v>59211.08017673006</v>
      </c>
      <c r="AU29" s="227">
        <f>SUM(AU8:AU28)</f>
        <v>59211.08017673006</v>
      </c>
      <c r="AV29" s="227">
        <f>SUM(AV8:AV28)</f>
        <v>25252.525252524458</v>
      </c>
      <c r="AW29" s="227">
        <f>SUM(AW8:AW28)</f>
        <v>25252.525252524458</v>
      </c>
      <c r="AX29" s="227">
        <f>SUM(AX8:AX28)</f>
        <v>33958.55492420634</v>
      </c>
      <c r="AY29" s="227">
        <f>SUM(AY8:AY28)</f>
        <v>33958.55492420634</v>
      </c>
      <c r="AZ29" s="227">
        <f>SUM(AZ8:AZ28)</f>
        <v>33958.55492420634</v>
      </c>
    </row>
    <row r="30">
      <c r="A30" s="200" t="inlineStr">
        <is>
          <t>Total (kmol/h)</t>
        </is>
      </c>
      <c r="B30" s="216">
        <f>'NME-1 Klorinasi Langsung'!E42</f>
        <v>217.41802974233588</v>
      </c>
      <c r="C30" s="216">
        <f>'NME-1 Klorinasi Langsung'!E42</f>
        <v>217.41802974233588</v>
      </c>
      <c r="D30" s="216">
        <f>'NME-1 Klorinasi Langsung'!E42</f>
        <v>217.41802974233588</v>
      </c>
      <c r="E30" s="216">
        <f>'NME-1 Klorinasi Langsung'!I42+'NME-2 Oksiklorinasi'!E41</f>
        <v>420.8209082824245</v>
      </c>
      <c r="F30" s="216">
        <f>'NME-1 Klorinasi Langsung'!I42+'NME-2 Oksiklorinasi'!E41</f>
        <v>420.8209082824245</v>
      </c>
      <c r="G30" s="216">
        <f>'NME-1 Klorinasi Langsung'!I42+'NME-2 Oksiklorinasi'!E41</f>
        <v>420.8209082824245</v>
      </c>
      <c r="H30" s="216">
        <f>'NME-1 Klorinasi Langsung'!I42</f>
        <v>217.4957779331186</v>
      </c>
      <c r="I30" s="216">
        <f>'NME-1 Klorinasi Langsung'!I42</f>
        <v>217.4957779331186</v>
      </c>
      <c r="J30" s="216">
        <f>'NME-2 Oksiklorinasi'!E41</f>
        <v>203.32513034930594</v>
      </c>
      <c r="K30" s="216">
        <f>'NME-1 Klorinasi Langsung'!M42</f>
        <v>0.02642235069805515</v>
      </c>
      <c r="L30" s="172" t="inlineStr">
        <is>
          <t>-</t>
        </is>
      </c>
      <c r="M30" s="172" t="inlineStr">
        <is>
          <t>-</t>
        </is>
      </c>
      <c r="N30" s="216">
        <f>'NME-1 Klorinasi Langsung'!U42</f>
        <v>2.407395801428002</v>
      </c>
      <c r="O30" s="216">
        <f>'NME-1 Klorinasi Langsung'!Q42</f>
        <v>216.06475860322578</v>
      </c>
      <c r="P30" s="216">
        <f>'NME-3 Kondensasi-Dekantasi'!E38</f>
        <v>216.06475860322578</v>
      </c>
      <c r="Q30" s="216">
        <f>'NME-2 Oksiklorinasi'!M41</f>
        <v>774.245280785845</v>
      </c>
      <c r="R30" s="216">
        <f>'NME-2 Oksiklorinasi'!M41</f>
        <v>774.245280785845</v>
      </c>
      <c r="S30" s="216">
        <f>'NME-2 Oksiklorinasi'!Q41</f>
        <v>1086.1876327218315</v>
      </c>
      <c r="T30" s="172" t="inlineStr">
        <is>
          <t>-</t>
        </is>
      </c>
      <c r="U30" s="172" t="inlineStr">
        <is>
          <t>-</t>
        </is>
      </c>
      <c r="V30" s="172" t="inlineStr">
        <is>
          <t>-</t>
        </is>
      </c>
      <c r="W30" s="172" t="inlineStr">
        <is>
          <t>-</t>
        </is>
      </c>
      <c r="X30" s="172" t="inlineStr">
        <is>
          <t>-</t>
        </is>
      </c>
      <c r="Y30" s="172" t="inlineStr">
        <is>
          <t>-</t>
        </is>
      </c>
      <c r="Z30" s="216">
        <f>'NME-3 Kondensasi-Dekantasi'!M38</f>
        <v>678.6748687896428</v>
      </c>
      <c r="AA30" s="172" t="inlineStr">
        <is>
          <t>-</t>
        </is>
      </c>
      <c r="AB30" s="172" t="inlineStr">
        <is>
          <t>-</t>
        </is>
      </c>
      <c r="AC30" s="216">
        <f>'NME-3 Kondensasi-Dekantasi'!Q38</f>
        <v>202.7947567326817</v>
      </c>
      <c r="AD30" s="216">
        <f>'NME-3 Kondensasi-Dekantasi'!U38</f>
        <v>420.7827658027324</v>
      </c>
      <c r="AE30" s="216">
        <f>'NME-3 Kondensasi-Dekantasi'!U38</f>
        <v>420.7827658027324</v>
      </c>
      <c r="AF30" s="216">
        <f>'NME-4 Kolom Ringan'!E38</f>
        <v>420.7827658027324</v>
      </c>
      <c r="AG30" s="216">
        <f>'NME-4 Kolom Ringan'!M38</f>
        <v>10.16379114818792</v>
      </c>
      <c r="AH30" s="216">
        <f>'NME-4 Kolom Ringan'!Q38</f>
        <v>754.0173233429365</v>
      </c>
      <c r="AI30" s="216">
        <f>'NME-5 Kolom Berat'!E38</f>
        <v>754.0173233429365</v>
      </c>
      <c r="AJ30" s="216">
        <f>'NME-5 Kolom Berat'!M38</f>
        <v>3.547689640197211</v>
      </c>
      <c r="AK30" s="216">
        <f>'NME-5 Kolom Berat'!I38</f>
        <v>750.4696337027393</v>
      </c>
      <c r="AL30" s="216">
        <f>'NME-5 Kolom Berat'!I38</f>
        <v>750.4696337027393</v>
      </c>
      <c r="AM30" s="216">
        <f>'NME-6 Pirolisis'!E36</f>
        <v>750.4696337027393</v>
      </c>
      <c r="AN30" s="216">
        <f>'NME-6 Pirolisis'!I36</f>
        <v>1156.9487524103115</v>
      </c>
      <c r="AO30" s="216">
        <f>'NME-7 Kolom HCl'!E36</f>
        <v>1156.9487524103115</v>
      </c>
      <c r="AP30" s="216">
        <f>'NME-7 Kolom HCl'!E36</f>
        <v>1156.9487524103115</v>
      </c>
      <c r="AQ30" s="216">
        <f>'NME-7 Kolom HCl'!I36</f>
        <v>409.614752558173</v>
      </c>
      <c r="AR30" s="216">
        <f>'NME-7 Kolom HCl'!I36</f>
        <v>409.614752558173</v>
      </c>
      <c r="AS30" s="216">
        <f>'NME-2 Oksiklorinasi'!I41</f>
        <v>409.61475255817817</v>
      </c>
      <c r="AT30" s="216">
        <f>'NME-7 Kolom HCl'!M36</f>
        <v>747.3339998521386</v>
      </c>
      <c r="AU30" s="216">
        <f>'NME-8 Kolom VCM'!E37</f>
        <v>747.3339998521386</v>
      </c>
      <c r="AV30" s="216">
        <f>'NME-8 Kolom VCM'!I37</f>
        <v>403.9356511637508</v>
      </c>
      <c r="AW30" s="216">
        <f>'NME-8 Kolom VCM'!I37</f>
        <v>403.9356511637508</v>
      </c>
      <c r="AX30" s="216">
        <f>'NME-8 Kolom VCM'!M37</f>
        <v>343.3983486883878</v>
      </c>
      <c r="AY30" s="216">
        <f>'NME-8 Kolom VCM'!M37</f>
        <v>343.3983486883878</v>
      </c>
      <c r="AZ30" s="216">
        <f>'NME-4 Kolom Ringan'!I38</f>
        <v>343.39834868839216</v>
      </c>
    </row>
    <row r="31">
      <c r="A31" s="200" t="inlineStr">
        <is>
          <t>T (°C)</t>
        </is>
      </c>
      <c r="B31" s="185">
        <f>'NME-1 Klorinasi Langsung'!$B$53</f>
        <v>30.0</v>
      </c>
      <c r="C31" s="185">
        <f>'NME-1 Klorinasi Langsung'!$D$53</f>
        <v>30.0</v>
      </c>
      <c r="D31" s="185">
        <f>'NME-1 Klorinasi Langsung'!$D$84</f>
        <v>-23.029999999999973</v>
      </c>
      <c r="E31" s="185">
        <f>'NME-1 Klorinasi Langsung'!$B$119</f>
        <v>30.0</v>
      </c>
      <c r="F31" s="185">
        <f>'NME-1 Klorinasi Langsung'!$D$119</f>
        <v>30.0</v>
      </c>
      <c r="G31" s="185">
        <f>'NME-1 Klorinasi Langsung'!$D$145</f>
        <v>-0.2292124726375846</v>
      </c>
      <c r="H31" s="185">
        <f>'NME-1 Klorinasi Langsung'!$D$171</f>
        <v>30.0</v>
      </c>
      <c r="I31" s="185">
        <f>'NME-1 Klorinasi Langsung'!$D$197</f>
        <v>25.696181643161253</v>
      </c>
      <c r="J31" s="185">
        <f>'NME-1 Klorinasi Langsung'!$F$171</f>
        <v>30.0</v>
      </c>
      <c r="K31" s="185">
        <f>'NME-1 Klorinasi Langsung'!$F$223</f>
        <v>30.0</v>
      </c>
      <c r="L31" s="172" t="inlineStr">
        <is>
          <t>-</t>
        </is>
      </c>
      <c r="M31" s="172" t="inlineStr">
        <is>
          <t>-</t>
        </is>
      </c>
      <c r="N31" s="185">
        <f>'NME-1 Klorinasi Langsung'!$H$223</f>
        <v>5.0</v>
      </c>
      <c r="O31" s="185">
        <f>'NME-1 Klorinasi Langsung'!$J$223</f>
        <v>65.0</v>
      </c>
      <c r="P31" s="185">
        <f>'NME-3 Kondensasi-Dekantasi'!$D$49</f>
        <v>65.35947027780253</v>
      </c>
      <c r="Q31" s="185">
        <f>'NME-2 Oksiklorinasi'!$B$52</f>
        <v>30.0</v>
      </c>
      <c r="R31" s="185">
        <f>'NME-2 Oksiklorinasi'!$D$52</f>
        <v>271.9714721407605</v>
      </c>
      <c r="S31" s="185">
        <f>'NME-2 Oksiklorinasi'!$H$127</f>
        <v>225.0</v>
      </c>
      <c r="T31" s="172" t="inlineStr">
        <is>
          <t>-</t>
        </is>
      </c>
      <c r="U31" s="172" t="inlineStr">
        <is>
          <t>-</t>
        </is>
      </c>
      <c r="V31" s="172" t="inlineStr">
        <is>
          <t>-</t>
        </is>
      </c>
      <c r="W31" s="172" t="inlineStr">
        <is>
          <t>-</t>
        </is>
      </c>
      <c r="X31" s="172" t="inlineStr">
        <is>
          <t>-</t>
        </is>
      </c>
      <c r="Y31" s="172" t="inlineStr">
        <is>
          <t>-</t>
        </is>
      </c>
      <c r="Z31" s="185">
        <f>'NME-3 Kondensasi-Dekantasi'!$F$76</f>
        <v>-25.0</v>
      </c>
      <c r="AA31" s="172" t="inlineStr">
        <is>
          <t>-</t>
        </is>
      </c>
      <c r="AB31" s="172" t="inlineStr">
        <is>
          <t>-</t>
        </is>
      </c>
      <c r="AC31" s="185">
        <f>'NME-3 Kondensasi-Dekantasi'!$H$76</f>
        <v>35.0</v>
      </c>
      <c r="AD31" s="185">
        <f>'NME-3 Kondensasi-Dekantasi'!$J$76</f>
        <v>35.0</v>
      </c>
      <c r="AE31" s="185">
        <f>'NME-4 Kolom Ringan'!$D$49</f>
        <v>35.0</v>
      </c>
      <c r="AF31" s="185">
        <f>'NME-4 Kolom Ringan'!$D$77</f>
        <v>83.44</v>
      </c>
      <c r="AG31" s="185">
        <f>'NME-4 Kolom Ringan'!$F$157</f>
        <v>75.0</v>
      </c>
      <c r="AH31" s="185">
        <f>'NME-4 Kolom Ringan'!$H$157</f>
        <v>83.44</v>
      </c>
      <c r="AI31" s="185">
        <f>'NME-5 Kolom Berat'!$D$49</f>
        <v>83.58338508961378</v>
      </c>
      <c r="AJ31" s="185">
        <f>'NME-5 Kolom Berat'!$D$76</f>
        <v>127.0</v>
      </c>
      <c r="AK31" s="185">
        <f>'NME-5 Kolom Berat'!$F$76</f>
        <v>118.0</v>
      </c>
      <c r="AL31" s="185">
        <f>'NME-6 Pirolisis'!$D$47</f>
        <v>119.19749578981163</v>
      </c>
      <c r="AM31" s="185">
        <f>'NME-6 Pirolisis'!$D$72</f>
        <v>190.0</v>
      </c>
      <c r="AN31" s="185">
        <f>'NME-6 Pirolisis'!$D$98</f>
        <v>516.0</v>
      </c>
      <c r="AO31" s="185">
        <f>'NME-6 Pirolisis'!$D$129</f>
        <v>80.0</v>
      </c>
      <c r="AP31" s="185">
        <f>'NME-7 Kolom HCl'!$D$47</f>
        <v>30.0</v>
      </c>
      <c r="AQ31" s="185">
        <f>'NME-7 Kolom HCl'!$D$82</f>
        <v>-28.9</v>
      </c>
      <c r="AR31" s="185">
        <f>'NME-2 Oksiklorinasi'!$D$76</f>
        <v>-28.900000000000006</v>
      </c>
      <c r="AS31" s="185">
        <f>'NME-2 Oksiklorinasi'!$D$100</f>
        <v>-40.893264561928305</v>
      </c>
      <c r="AT31" s="185">
        <f>'NME-7 Kolom HCl'!$F$82</f>
        <v>81.0</v>
      </c>
      <c r="AU31" s="185">
        <f>'NME-8 Kolom VCM'!$D$48</f>
        <v>81.0</v>
      </c>
      <c r="AV31" s="185">
        <f>'NME-8 Kolom VCM'!$D$75</f>
        <v>37.0</v>
      </c>
      <c r="AW31" s="185">
        <f>'NME-8 Kolom VCM'!$D$105</f>
        <v>30.0</v>
      </c>
      <c r="AX31" s="185">
        <f>'NME-8 Kolom VCM'!$F$75</f>
        <v>152.0</v>
      </c>
      <c r="AY31" s="185">
        <f>'NME-4 Kolom Ringan'!$D$105</f>
        <v>83.44</v>
      </c>
      <c r="AZ31" s="185">
        <f>'NME-4 Kolom Ringan'!$D$131</f>
        <v>83.44</v>
      </c>
    </row>
    <row r="32">
      <c r="A32" s="200" t="inlineStr">
        <is>
          <t>P (bar abs)</t>
        </is>
      </c>
      <c r="B32" s="190">
        <f>'NME-1 Klorinasi Langsung'!$B$54</f>
        <v>8.9</v>
      </c>
      <c r="C32" s="190">
        <f>'NME-1 Klorinasi Langsung'!$D$54</f>
        <v>1.01325</v>
      </c>
      <c r="D32" s="190">
        <f>'NME-1 Klorinasi Langsung'!$D$85</f>
        <v>1.01325</v>
      </c>
      <c r="E32" s="190">
        <f>'NME-1 Klorinasi Langsung'!$B$120</f>
        <v>36.3</v>
      </c>
      <c r="F32" s="190">
        <f>'NME-1 Klorinasi Langsung'!$D$120</f>
        <v>36.3</v>
      </c>
      <c r="G32" s="190">
        <f>'NME-1 Klorinasi Langsung'!$D$146</f>
        <v>5.370225</v>
      </c>
      <c r="H32" s="190">
        <f>'NME-1 Klorinasi Langsung'!$D$172</f>
        <v>5.370225</v>
      </c>
      <c r="I32" s="190">
        <f>'NME-1 Klorinasi Langsung'!$D$198</f>
        <v>1.01325</v>
      </c>
      <c r="J32" s="190">
        <f>'NME-1 Klorinasi Langsung'!$F$172</f>
        <v>5.370225</v>
      </c>
      <c r="K32" s="190">
        <f>'NME-1 Klorinasi Langsung'!$F$224</f>
        <v>1.01325</v>
      </c>
      <c r="L32" s="172" t="inlineStr">
        <is>
          <t>-</t>
        </is>
      </c>
      <c r="M32" s="172" t="inlineStr">
        <is>
          <t>-</t>
        </is>
      </c>
      <c r="N32" s="190">
        <f>'NME-1 Klorinasi Langsung'!$H$224</f>
        <v>1.01325</v>
      </c>
      <c r="O32" s="190">
        <f>'NME-1 Klorinasi Langsung'!$J$224</f>
        <v>1.01325</v>
      </c>
      <c r="P32" s="190">
        <f>'NME-3 Kondensasi-Dekantasi'!$D$50</f>
        <v>5.370225</v>
      </c>
      <c r="Q32" s="190">
        <f>'NME-2 Oksiklorinasi'!$B$53</f>
        <v>1.01325</v>
      </c>
      <c r="R32" s="190">
        <f>'NME-2 Oksiklorinasi'!$D$53</f>
        <v>5.370225</v>
      </c>
      <c r="S32" s="190">
        <f>'NME-2 Oksiklorinasi'!$H$128</f>
        <v>5.370225</v>
      </c>
      <c r="T32" s="172" t="inlineStr">
        <is>
          <t>-</t>
        </is>
      </c>
      <c r="U32" s="172" t="inlineStr">
        <is>
          <t>-</t>
        </is>
      </c>
      <c r="V32" s="172" t="inlineStr">
        <is>
          <t>-</t>
        </is>
      </c>
      <c r="W32" s="172" t="inlineStr">
        <is>
          <t>-</t>
        </is>
      </c>
      <c r="X32" s="172" t="inlineStr">
        <is>
          <t>-</t>
        </is>
      </c>
      <c r="Y32" s="172" t="inlineStr">
        <is>
          <t>-</t>
        </is>
      </c>
      <c r="Z32" s="190">
        <f>'NME-3 Kondensasi-Dekantasi'!$F$77</f>
        <v>5.370225</v>
      </c>
      <c r="AA32" s="172" t="inlineStr">
        <is>
          <t>-</t>
        </is>
      </c>
      <c r="AB32" s="172" t="inlineStr">
        <is>
          <t>-</t>
        </is>
      </c>
      <c r="AC32" s="190">
        <f>'NME-3 Kondensasi-Dekantasi'!$H$77</f>
        <v>5.370225</v>
      </c>
      <c r="AD32" s="190">
        <f>'NME-3 Kondensasi-Dekantasi'!$J$77</f>
        <v>5.370225</v>
      </c>
      <c r="AE32" s="190">
        <f>'NME-4 Kolom Ringan'!$D$50</f>
        <v>5.370225</v>
      </c>
      <c r="AF32" s="190">
        <f>'NME-4 Kolom Ringan'!$D$78</f>
        <v>1.01325</v>
      </c>
      <c r="AG32" s="190">
        <f>'NME-4 Kolom Ringan'!$F$158</f>
        <v>1.01325</v>
      </c>
      <c r="AH32" s="190">
        <f>'NME-4 Kolom Ringan'!$H$158</f>
        <v>1.01325</v>
      </c>
      <c r="AI32" s="190">
        <f>'NME-5 Kolom Berat'!$D$50</f>
        <v>2.75</v>
      </c>
      <c r="AJ32" s="190">
        <f>'NME-5 Kolom Berat'!$D$77</f>
        <v>3.0</v>
      </c>
      <c r="AK32" s="190">
        <f>'NME-5 Kolom Berat'!$F$77</f>
        <v>2.5</v>
      </c>
      <c r="AL32" s="190">
        <f>'NME-6 Pirolisis'!$D$48</f>
        <v>17.0</v>
      </c>
      <c r="AM32" s="190">
        <f>'NME-6 Pirolisis'!$D$73</f>
        <v>17.0</v>
      </c>
      <c r="AN32" s="190">
        <f>'NME-6 Pirolisis'!$D$99</f>
        <v>13.0</v>
      </c>
      <c r="AO32" s="190">
        <f>'NME-6 Pirolisis'!$D$130</f>
        <v>11.0</v>
      </c>
      <c r="AP32" s="190">
        <f>'NME-7 Kolom HCl'!$D$48</f>
        <v>11.0</v>
      </c>
      <c r="AQ32" s="190">
        <f>'NME-7 Kolom HCl'!$D$83</f>
        <v>11.0</v>
      </c>
      <c r="AR32" s="190">
        <f>'NME-2 Oksiklorinasi'!$D$77</f>
        <v>5.370225</v>
      </c>
      <c r="AS32" s="190">
        <f>'NME-2 Oksiklorinasi'!$D$101</f>
        <v>5.370225</v>
      </c>
      <c r="AT32" s="190">
        <f>'NME-7 Kolom HCl'!$F$83</f>
        <v>9.8</v>
      </c>
      <c r="AU32" s="190">
        <f>'NME-8 Kolom VCM'!$D$49</f>
        <v>6.5</v>
      </c>
      <c r="AV32" s="190">
        <f>'NME-8 Kolom VCM'!$D$76</f>
        <v>6.5</v>
      </c>
      <c r="AW32" s="190">
        <f>'NME-8 Kolom VCM'!$D$106</f>
        <v>6.5</v>
      </c>
      <c r="AX32" s="190">
        <f>'NME-8 Kolom VCM'!$F$76</f>
        <v>6.5</v>
      </c>
      <c r="AY32" s="190">
        <f>'NME-4 Kolom Ringan'!$D$106</f>
        <v>6.5</v>
      </c>
      <c r="AZ32" s="190">
        <f>'NME-4 Kolom Ringan'!$D$132</f>
        <v>1.01325</v>
      </c>
    </row>
    <row r="33">
      <c r="A33" s="200" t="inlineStr">
        <is>
          <t>Ḣ aliran (kW)</t>
        </is>
      </c>
      <c r="B33" s="217">
        <f>'NME-1 Klorinasi Langsung'!$B$68/3600</f>
        <v>22.510658454380657</v>
      </c>
      <c r="C33" s="217">
        <f>'NME-1 Klorinasi Langsung'!$D$68/3600</f>
        <v>22.510658454380657</v>
      </c>
      <c r="D33" s="217">
        <f>'NME-1 Klorinasi Langsung'!$D$103/3600</f>
        <v>942.2991886470804</v>
      </c>
      <c r="E33" s="217">
        <f>'NME-1 Klorinasi Langsung'!$B$129/3600</f>
        <v>-160.4359495115961</v>
      </c>
      <c r="F33" s="217">
        <f>'NME-1 Klorinasi Langsung'!$D$129/3600</f>
        <v>-160.4359495115961</v>
      </c>
      <c r="G33" s="217">
        <f>'NME-1 Klorinasi Langsung'!$D$155/3600</f>
        <v>-160.435949511593</v>
      </c>
      <c r="H33" s="217">
        <f>'NME-1 Klorinasi Langsung'!$D$181/3600</f>
        <v>-0.9127239060201343</v>
      </c>
      <c r="I33" s="217">
        <f>'NME-1 Klorinasi Langsung'!$D$207/3600</f>
        <v>-0.9127239060201047</v>
      </c>
      <c r="J33" s="217">
        <f>'NME-1 Klorinasi Langsung'!$F$181/3600</f>
        <v>-0.8532565961879907</v>
      </c>
      <c r="K33" s="217">
        <f>'NME-1 Klorinasi Langsung'!$F$251/3600</f>
        <v>0.0035847569587653945</v>
      </c>
      <c r="L33" s="172" t="inlineStr">
        <is>
          <t>-</t>
        </is>
      </c>
      <c r="M33" s="172" t="inlineStr">
        <is>
          <t>-</t>
        </is>
      </c>
      <c r="N33" s="217">
        <f>'NME-1 Klorinasi Langsung'!$H$251/3600</f>
        <v>3.8795585723497563</v>
      </c>
      <c r="O33" s="217">
        <f>'NME-1 Klorinasi Langsung'!$J$251/3600</f>
        <v>316.25494280671256</v>
      </c>
      <c r="P33" s="217">
        <f>'NME-3 Kondensasi-Dekantasi'!$D$60/3600</f>
        <v>319.16498225771517</v>
      </c>
      <c r="Q33" s="217">
        <f>'NME-2 Oksiklorinasi'!$B$60/3600</f>
        <v>31.35539744032504</v>
      </c>
      <c r="R33" s="217">
        <f>'NME-2 Oksiklorinasi'!$D$60/3600</f>
        <v>1570.8065856862904</v>
      </c>
      <c r="S33" s="217">
        <f>'NME-2 Oksiklorinasi'!$H$146/3600</f>
        <v>6875.6807654004815</v>
      </c>
      <c r="T33" s="172" t="inlineStr">
        <is>
          <t>-</t>
        </is>
      </c>
      <c r="U33" s="172" t="inlineStr">
        <is>
          <t>-</t>
        </is>
      </c>
      <c r="V33" s="172" t="inlineStr">
        <is>
          <t>-</t>
        </is>
      </c>
      <c r="W33" s="172" t="inlineStr">
        <is>
          <t>-</t>
        </is>
      </c>
      <c r="X33" s="172" t="inlineStr">
        <is>
          <t>-</t>
        </is>
      </c>
      <c r="Y33" s="172" t="inlineStr">
        <is>
          <t>-</t>
        </is>
      </c>
      <c r="Z33" s="217">
        <f>'NME-3 Kondensasi-Dekantasi'!$F$102/3600</f>
        <v>-250.69618628261057</v>
      </c>
      <c r="AA33" s="172" t="inlineStr">
        <is>
          <t>-</t>
        </is>
      </c>
      <c r="AB33" s="172" t="inlineStr">
        <is>
          <t>-</t>
        </is>
      </c>
      <c r="AC33" s="217">
        <f>'NME-3 Kondensasi-Dekantasi'!$H$102/3600</f>
        <v>41.773468439324304</v>
      </c>
      <c r="AD33" s="217">
        <f>'NME-3 Kondensasi-Dekantasi'!$J$102/3600</f>
        <v>139.68252621192013</v>
      </c>
      <c r="AE33" s="217">
        <f>'NME-4 Kolom Ringan'!$D$61/3600</f>
        <v>139.68252621192013</v>
      </c>
      <c r="AF33" s="217">
        <f>'NME-4 Kolom Ringan'!$D$89/3600</f>
        <v>894.2286934089558</v>
      </c>
      <c r="AG33" s="217">
        <f>'NME-4 Kolom Ringan'!$F$177/3600</f>
        <v>73.74750988647722</v>
      </c>
      <c r="AH33" s="217">
        <f>'NME-4 Kolom Ringan'!$H$177/3600</f>
        <v>1633.269681694427</v>
      </c>
      <c r="AI33" s="217">
        <f>'NME-5 Kolom Berat'!$D$60/3600</f>
        <v>1637.422923014047</v>
      </c>
      <c r="AJ33" s="217">
        <f>'NME-5 Kolom Berat'!$D$87/3600</f>
        <v>18.787412459824946</v>
      </c>
      <c r="AK33" s="217">
        <f>'NME-5 Kolom Berat'!$F$87/3600</f>
        <v>2641.92617458144</v>
      </c>
      <c r="AL33" s="217">
        <f>'NME-6 Pirolisis'!$D$56/3600</f>
        <v>2678.1978841982636</v>
      </c>
      <c r="AM33" s="217">
        <f>'NME-6 Pirolisis'!$D$82/3600</f>
        <v>4971.254129106494</v>
      </c>
      <c r="AN33" s="217">
        <f>'NME-6 Pirolisis'!$D$113/3600</f>
        <v>14232.125425355905</v>
      </c>
      <c r="AO33" s="217">
        <f>'NME-6 Pirolisis'!$D$141/3600</f>
        <v>4316.924175630589</v>
      </c>
      <c r="AP33" s="217">
        <f>'NME-7 Kolom HCl'!$D$66/3600</f>
        <v>-2796.49185321449</v>
      </c>
      <c r="AQ33" s="217">
        <f>'NME-7 Kolom HCl'!$D$95/3600</f>
        <v>-1210.0940767292946</v>
      </c>
      <c r="AR33" s="217">
        <f>'NME-2 Oksiklorinasi'!$D$84/3600</f>
        <v>-1210.0940767292946</v>
      </c>
      <c r="AS33" s="217">
        <f>'NME-2 Oksiklorinasi'!$D$111/3600</f>
        <v>-203.35456592575858</v>
      </c>
      <c r="AT33" s="217">
        <f>'NME-7 Kolom HCl'!$F$95/3600</f>
        <v>-992.5322868437072</v>
      </c>
      <c r="AU33" s="217">
        <f>'NME-8 Kolom VCM'!$D$59/3600</f>
        <v>-992.5322868437072</v>
      </c>
      <c r="AV33" s="217">
        <f>'NME-8 Kolom VCM'!$D$87/3600</f>
        <v>-2148.8294070701963</v>
      </c>
      <c r="AW33" s="217">
        <f>'NME-8 Kolom VCM'!$D$113/3600</f>
        <v>-2217.6343090769733</v>
      </c>
      <c r="AX33" s="217">
        <f>'NME-8 Kolom VCM'!$F$87/3600</f>
        <v>1680.8127136267624</v>
      </c>
      <c r="AY33" s="217">
        <f>'NME-4 Kolom Ringan'!$D$115/3600</f>
        <v>728.265846279863</v>
      </c>
      <c r="AZ33" s="217">
        <f>'NME-4 Kolom Ringan'!$D$141/3600</f>
        <v>728.2658462798724</v>
      </c>
    </row>
    <row r="35">
      <c r="A35" s="187" t="inlineStr">
        <is>
          <t>Aliran bertanda '-' berada di dalam satu blok neraca massa (kondensat vent R-01, aliran di dalam Q-201, E-104, M-101, D-101, E-105, P-105, dan air quench sirkulasi), sehingga tidak dihitung terpisah.</t>
        </is>
      </c>
    </row>
    <row r="36">
      <c r="A36" s="187" t="inlineStr">
        <is>
          <t>Aliran yang hanya melewati valve atau penukar panas memiliki laju dan komposisi yang sama dengan aliran sebelumnya.</t>
        </is>
      </c>
    </row>
  </sheetData>
  <mergeCells count="1">
    <mergeCell ref="A1:AZ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2026-10-06T04:37:05Z</dcterms:created>
  <dcterms:modified xmlns:dcterms="http://purl.org/dc/terms/" xmlns:xsi="http://www.w3.org/2001/XMLSchema-instance" xsi:type="dcterms:W3CDTF">2026-10-14T15:52:51Z</dcterms:modified>
  <cp:revision>0</cp:revision>
</cp:coreProperties>
</file>