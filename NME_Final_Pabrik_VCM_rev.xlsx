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8" activeTab="0" autoFilterDateGrouping="1"/>
  </bookViews>
  <sheets>
    <sheet xmlns:r="http://schemas.openxmlformats.org/officeDocument/2006/relationships" name="Unjuk Kerja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T-101" sheetId="3" state="visible" r:id="rId3"/>
    <sheet xmlns:r="http://schemas.openxmlformats.org/officeDocument/2006/relationships" name="T-102" sheetId="4" state="visible" r:id="rId4"/>
    <sheet xmlns:r="http://schemas.openxmlformats.org/officeDocument/2006/relationships" name="Data Komponen" sheetId="5" state="visible" r:id="rId5"/>
    <sheet xmlns:r="http://schemas.openxmlformats.org/officeDocument/2006/relationships" name="Data Termo" sheetId="6" state="visible" r:id="rId6"/>
    <sheet xmlns:r="http://schemas.openxmlformats.org/officeDocument/2006/relationships" name="NME-1 Klorinasi Langsung" sheetId="7" state="visible" r:id="rId7"/>
    <sheet xmlns:r="http://schemas.openxmlformats.org/officeDocument/2006/relationships" name="NME-2 Oksiklorinasi" sheetId="8" state="visible" r:id="rId8"/>
    <sheet xmlns:r="http://schemas.openxmlformats.org/officeDocument/2006/relationships" name="NME-3 Kondensasi-Dekantasi" sheetId="9" state="visible" r:id="rId9"/>
    <sheet xmlns:r="http://schemas.openxmlformats.org/officeDocument/2006/relationships" name="NME-4 Kolom Ringan" sheetId="10" state="visible" r:id="rId10"/>
    <sheet xmlns:r="http://schemas.openxmlformats.org/officeDocument/2006/relationships" name="NME-5 Kolom Berat" sheetId="11" state="visible" r:id="rId11"/>
    <sheet xmlns:r="http://schemas.openxmlformats.org/officeDocument/2006/relationships" name="NME-6 Pirolisis" sheetId="12" state="visible" r:id="rId12"/>
    <sheet xmlns:r="http://schemas.openxmlformats.org/officeDocument/2006/relationships" name="NME-7 Kolom HCl" sheetId="13" state="visible" r:id="rId13"/>
    <sheet xmlns:r="http://schemas.openxmlformats.org/officeDocument/2006/relationships" name="NME-8 Kolom VCM" sheetId="14" state="visible" r:id="rId14"/>
    <sheet xmlns:r="http://schemas.openxmlformats.org/officeDocument/2006/relationships" name="NME Overall" sheetId="15" state="visible" r:id="rId15"/>
    <sheet xmlns:r="http://schemas.openxmlformats.org/officeDocument/2006/relationships" name="Tabel Aliran" sheetId="16" state="visible" r:id="rId16"/>
  </sheets>
  <definedNames/>
  <calcPr calcId="124519" fullCalcOnLoad="1" iterate="1" iterateCount="5000" iterateDelta="1e-07"/>
</workbook>
</file>

<file path=xl/styles.xml><?xml version="1.0" encoding="utf-8"?>
<styleSheet xmlns="http://schemas.openxmlformats.org/spreadsheetml/2006/main">
  <numFmts count="15">
    <numFmt numFmtId="164" formatCode="0.0000%"/>
    <numFmt numFmtId="165" formatCode="0.000"/>
    <numFmt numFmtId="166" formatCode="0.0000E+00"/>
    <numFmt numFmtId="167" formatCode="0.0"/>
    <numFmt numFmtId="168" formatCode="#,##0.000"/>
    <numFmt numFmtId="169" formatCode="#,##0.0000"/>
    <numFmt numFmtId="170" formatCode="0.0000"/>
    <numFmt numFmtId="171" formatCode="0.000E+00"/>
    <numFmt numFmtId="172" formatCode="0.000000"/>
    <numFmt numFmtId="173" formatCode="0.00000"/>
    <numFmt numFmtId="174" formatCode="0.000000E+00"/>
    <numFmt numFmtId="175" formatCode="0.0%"/>
    <numFmt numFmtId="176" formatCode="0.00000%"/>
    <numFmt numFmtId="177" formatCode="0.000%"/>
    <numFmt numFmtId="178" formatCode="0.0000000"/>
  </numFmts>
  <fonts count="19">
    <font>
      <name val="Calibri"/>
      <charset val="1"/>
      <family val="2"/>
      <color theme="1"/>
      <sz val="11"/>
    </font>
    <font>
      <name val="Times New Roman"/>
      <charset val="1"/>
      <color theme="1"/>
      <sz val="12"/>
    </font>
    <font>
      <name val="Times New Roman"/>
      <charset val="1"/>
      <b val="1"/>
      <color theme="1"/>
      <sz val="12"/>
    </font>
    <font>
      <name val="Times New Roman"/>
      <charset val="1"/>
      <sz val="12"/>
    </font>
    <font>
      <name val="Times New Roman"/>
      <charset val="1"/>
      <b val="1"/>
      <color rgb="FF000000"/>
      <sz val="12"/>
    </font>
    <font>
      <name val="Times New Roman"/>
      <charset val="1"/>
      <color rgb="FF242424"/>
      <sz val="12"/>
    </font>
    <font>
      <name val="Aptos Narrow"/>
      <charset val="1"/>
      <b val="1"/>
      <color rgb="FF242424"/>
      <sz val="11"/>
    </font>
    <font>
      <name val="Times New Roman"/>
      <charset val="1"/>
      <b val="1"/>
      <sz val="12"/>
    </font>
    <font>
      <name val="Times New Roman"/>
      <charset val="1"/>
      <b val="1"/>
      <color rgb="FF000000"/>
      <sz val="13"/>
    </font>
    <font>
      <name val="Times New Roman"/>
      <charset val="1"/>
      <i val="1"/>
      <color rgb="FF000000"/>
      <sz val="11"/>
    </font>
    <font>
      <name val="Times New Roman"/>
      <charset val="1"/>
      <color rgb="FF000000"/>
      <sz val="12"/>
    </font>
    <font>
      <name val="Calibri"/>
      <charset val="1"/>
      <family val="2"/>
      <color rgb="FF000000"/>
      <sz val="11"/>
    </font>
    <font>
      <name val="Times New Roman"/>
      <color rgb="FF000000"/>
      <sz val="12"/>
    </font>
    <font>
      <name val="Times New Roman"/>
      <b val="1"/>
      <color rgb="FF000000"/>
      <sz val="12"/>
    </font>
    <font>
      <name val="Times New Roman"/>
      <i val="1"/>
      <color rgb="FF000000"/>
      <sz val="12"/>
    </font>
    <font>
      <name val="Times New Roman"/>
      <b val="1"/>
      <sz val="12"/>
    </font>
    <font>
      <name val="Times New Roman"/>
      <sz val="12"/>
    </font>
    <font>
      <name val="Times New Roman"/>
      <color rgb="FF242424"/>
      <sz val="12"/>
    </font>
    <font>
      <name val="Times New Roman"/>
      <i val="1"/>
      <sz val="12"/>
    </font>
  </fonts>
  <fills count="3">
    <fill>
      <patternFill/>
    </fill>
    <fill>
      <patternFill patternType="gray125"/>
    </fill>
    <fill>
      <patternFill patternType="solid">
        <fgColor rgb="FFDDEBF7"/>
        <bgColor rgb="FFCCFFFF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49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1" fontId="3" fillId="0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71" fontId="3" fillId="0" borderId="1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/>
    </xf>
    <xf numFmtId="172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1" fillId="0" borderId="9" applyAlignment="1" pivotButton="0" quotePrefix="0" xfId="0">
      <alignment horizontal="center" vertical="center"/>
    </xf>
    <xf numFmtId="173" fontId="3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169" fontId="10" fillId="0" borderId="1" applyAlignment="1" pivotButton="0" quotePrefix="0" xfId="0">
      <alignment horizontal="center" vertical="center" wrapText="1"/>
    </xf>
    <xf numFmtId="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0" fontId="10" fillId="0" borderId="0" applyAlignment="1" pivotButton="0" quotePrefix="0" xfId="0">
      <alignment horizontal="center" vertical="center" wrapText="1"/>
    </xf>
    <xf numFmtId="174" fontId="10" fillId="0" borderId="1" applyAlignment="1" pivotButton="0" quotePrefix="0" xfId="0">
      <alignment horizontal="center" vertical="center" wrapText="1"/>
    </xf>
    <xf numFmtId="165" fontId="10" fillId="0" borderId="0" applyAlignment="1" pivotButton="0" quotePrefix="0" xfId="0">
      <alignment horizontal="center" vertical="center" wrapText="1"/>
    </xf>
    <xf numFmtId="172" fontId="1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75" fontId="10" fillId="0" borderId="0" applyAlignment="1" pivotButton="0" quotePrefix="0" xfId="0">
      <alignment horizontal="center" vertical="center" wrapText="1"/>
    </xf>
    <xf numFmtId="175" fontId="10" fillId="0" borderId="1" applyAlignment="1" pivotButton="0" quotePrefix="0" xfId="0">
      <alignment horizontal="center" vertical="center" wrapText="1"/>
    </xf>
    <xf numFmtId="2" fontId="10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1" fontId="10" fillId="0" borderId="1" applyAlignment="1" pivotButton="0" quotePrefix="0" xfId="0">
      <alignment horizontal="center" vertical="center" wrapText="1"/>
    </xf>
    <xf numFmtId="176" fontId="10" fillId="0" borderId="0" applyAlignment="1" pivotButton="0" quotePrefix="0" xfId="0">
      <alignment horizontal="center" vertical="center" wrapText="1"/>
    </xf>
    <xf numFmtId="174" fontId="10" fillId="0" borderId="0" applyAlignment="1" pivotButton="0" quotePrefix="0" xfId="0">
      <alignment horizontal="center" vertical="center" wrapText="1"/>
    </xf>
    <xf numFmtId="177" fontId="10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left" vertical="center"/>
    </xf>
    <xf numFmtId="10" fontId="12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174" fontId="12" fillId="0" borderId="1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70" fontId="12" fillId="0" borderId="1" applyAlignment="1" pivotButton="0" quotePrefix="0" xfId="0">
      <alignment horizontal="center" vertical="center" wrapText="1"/>
    </xf>
    <xf numFmtId="172" fontId="12" fillId="0" borderId="1" applyAlignment="1" pivotButton="0" quotePrefix="0" xfId="0">
      <alignment horizontal="center" vertical="center" wrapText="1"/>
    </xf>
    <xf numFmtId="177" fontId="12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169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 wrapText="1"/>
    </xf>
    <xf numFmtId="4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4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4" fontId="13" fillId="0" borderId="1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center" vertical="center" wrapText="1"/>
    </xf>
    <xf numFmtId="165" fontId="3" fillId="0" borderId="9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center" vertical="center" wrapText="1"/>
    </xf>
    <xf numFmtId="2" fontId="3" fillId="0" borderId="10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4" fontId="10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49" fontId="10" fillId="0" borderId="1" applyAlignment="1" pivotButton="0" quotePrefix="0" xfId="0">
      <alignment horizontal="center" vertical="center" wrapText="1"/>
    </xf>
    <xf numFmtId="2" fontId="10" fillId="0" borderId="1" applyAlignment="1" pivotButton="0" quotePrefix="0" xfId="0">
      <alignment horizontal="center" vertical="center" wrapText="1"/>
    </xf>
    <xf numFmtId="170" fontId="10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171" fontId="3" fillId="0" borderId="1" applyAlignment="1" pivotButton="0" quotePrefix="0" xfId="0">
      <alignment horizontal="center" vertical="center" wrapText="1"/>
    </xf>
    <xf numFmtId="2" fontId="3" fillId="0" borderId="11" applyAlignment="1" pivotButton="0" quotePrefix="0" xfId="0">
      <alignment horizontal="center" vertical="center" wrapText="1"/>
    </xf>
    <xf numFmtId="165" fontId="3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4" fontId="13" fillId="0" borderId="5" applyAlignment="1" pivotButton="0" quotePrefix="0" xfId="0">
      <alignment horizontal="center" vertical="center" wrapText="1"/>
    </xf>
    <xf numFmtId="4" fontId="13" fillId="0" borderId="2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4" fontId="13" fillId="0" borderId="15" applyAlignment="1" pivotButton="0" quotePrefix="0" xfId="0">
      <alignment horizontal="center" vertical="center" wrapText="1"/>
    </xf>
    <xf numFmtId="4" fontId="12" fillId="0" borderId="5" applyAlignment="1" pivotButton="0" quotePrefix="0" xfId="0">
      <alignment horizontal="center" vertical="center" wrapText="1"/>
    </xf>
    <xf numFmtId="4" fontId="12" fillId="0" borderId="2" applyAlignment="1" pivotButton="0" quotePrefix="0" xfId="0">
      <alignment horizontal="center" vertical="center" wrapText="1"/>
    </xf>
    <xf numFmtId="4" fontId="12" fillId="0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172" fontId="3" fillId="0" borderId="9" applyAlignment="1" pivotButton="0" quotePrefix="0" xfId="0">
      <alignment horizontal="center" vertical="center" wrapText="1"/>
    </xf>
    <xf numFmtId="0" fontId="0" fillId="0" borderId="20" pivotButton="0" quotePrefix="0" xfId="0"/>
    <xf numFmtId="173" fontId="3" fillId="0" borderId="9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10" fontId="16" fillId="0" borderId="0" applyAlignment="1" pivotButton="0" quotePrefix="0" xfId="0">
      <alignment horizontal="center" vertical="center" wrapText="1"/>
    </xf>
    <xf numFmtId="172" fontId="16" fillId="0" borderId="0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center" wrapText="1"/>
    </xf>
    <xf numFmtId="173" fontId="16" fillId="0" borderId="0" applyAlignment="1" pivotButton="0" quotePrefix="0" xfId="0">
      <alignment horizontal="center" vertical="center" wrapText="1"/>
    </xf>
    <xf numFmtId="1" fontId="16" fillId="0" borderId="0" applyAlignment="1" pivotButton="0" quotePrefix="0" xfId="0">
      <alignment horizontal="center" vertical="center" wrapText="1"/>
    </xf>
    <xf numFmtId="3" fontId="16" fillId="0" borderId="0" applyAlignment="1" pivotButton="0" quotePrefix="0" xfId="0">
      <alignment horizontal="center" vertical="center" wrapText="1"/>
    </xf>
    <xf numFmtId="4" fontId="16" fillId="0" borderId="0" applyAlignment="1" pivotButton="0" quotePrefix="0" xfId="0">
      <alignment horizontal="center" vertical="center" wrapText="1"/>
    </xf>
    <xf numFmtId="0" fontId="15" fillId="0" borderId="24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26" pivotButton="0" quotePrefix="0" xfId="0"/>
    <xf numFmtId="0" fontId="0" fillId="0" borderId="27" pivotButton="0" quotePrefix="0" xfId="0"/>
    <xf numFmtId="0" fontId="17" fillId="0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left" vertical="center"/>
    </xf>
    <xf numFmtId="172" fontId="16" fillId="0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4" fontId="16" fillId="0" borderId="24" applyAlignment="1" pivotButton="0" quotePrefix="0" xfId="0">
      <alignment horizontal="center" vertical="center" wrapText="1"/>
    </xf>
    <xf numFmtId="0" fontId="15" fillId="0" borderId="24" applyAlignment="1" pivotButton="0" quotePrefix="0" xfId="0">
      <alignment horizontal="left" vertical="center"/>
    </xf>
    <xf numFmtId="4" fontId="15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 wrapText="1"/>
    </xf>
    <xf numFmtId="167" fontId="16" fillId="0" borderId="0" applyAlignment="1" pivotButton="0" quotePrefix="0" xfId="0">
      <alignment horizontal="center" vertical="center" wrapText="1"/>
    </xf>
    <xf numFmtId="175" fontId="16" fillId="0" borderId="0" applyAlignment="1" pivotButton="0" quotePrefix="0" xfId="0">
      <alignment horizontal="center" vertical="center" wrapText="1"/>
    </xf>
    <xf numFmtId="2" fontId="16" fillId="0" borderId="0" applyAlignment="1" pivotButton="0" quotePrefix="0" xfId="0">
      <alignment horizontal="center" vertical="center" wrapText="1"/>
    </xf>
    <xf numFmtId="17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178" fontId="16" fillId="0" borderId="0" applyAlignment="1" pivotButton="0" quotePrefix="0" xfId="0">
      <alignment horizontal="center" vertical="center" wrapText="1"/>
    </xf>
    <xf numFmtId="168" fontId="15" fillId="0" borderId="24" applyAlignment="1" pivotButton="0" quotePrefix="0" xfId="0">
      <alignment horizontal="center" vertical="center" wrapText="1"/>
    </xf>
    <xf numFmtId="11" fontId="16" fillId="0" borderId="24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2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242424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tabSelected="1" topLeftCell="B1" zoomScaleNormal="100" workbookViewId="0">
      <selection activeCell="C8" sqref="C8"/>
    </sheetView>
  </sheetViews>
  <sheetFormatPr baseColWidth="8" defaultColWidth="8.7109375" defaultRowHeight="15"/>
  <cols>
    <col width="3.42578125" customWidth="1" style="11" min="1" max="1"/>
    <col width="41.7109375" customWidth="1" style="11" min="2" max="2"/>
    <col width="43.7109375" customWidth="1" style="11" min="3" max="3"/>
    <col width="16" customWidth="1" style="11" min="4" max="4"/>
    <col width="66.5703125" customWidth="1" style="11" min="5" max="5"/>
    <col width="32.42578125" customWidth="1" style="11" min="6" max="6"/>
    <col width="10.28515625" customWidth="1" style="11" min="7" max="7"/>
    <col width="8.7109375" customWidth="1" style="11" min="8" max="16384"/>
  </cols>
  <sheetData>
    <row r="1" ht="15" customHeight="1">
      <c r="A1" s="115" t="inlineStr">
        <is>
          <t>Unjuk Kerja Unit Proses dan Unit Operasi</t>
        </is>
      </c>
      <c r="B1" s="162" t="n"/>
      <c r="C1" s="162" t="n"/>
      <c r="D1" s="162" t="n"/>
      <c r="E1" s="162" t="n"/>
      <c r="F1" s="163" t="n"/>
    </row>
    <row r="2" ht="15" customHeight="1">
      <c r="A2" s="115" t="inlineStr">
        <is>
          <t>No</t>
        </is>
      </c>
      <c r="B2" s="115" t="inlineStr">
        <is>
          <t>Unit Proses / Unit Operasi</t>
        </is>
      </c>
      <c r="C2" s="115" t="inlineStr">
        <is>
          <t>Parameter Unjuk Kerja</t>
        </is>
      </c>
      <c r="D2" s="115" t="inlineStr">
        <is>
          <t>Nilai</t>
        </is>
      </c>
      <c r="E2" s="115" t="inlineStr">
        <is>
          <t>Keterangan</t>
        </is>
      </c>
      <c r="F2" s="115" t="inlineStr">
        <is>
          <t>Referensi</t>
        </is>
      </c>
    </row>
    <row r="3" ht="33" customHeight="1">
      <c r="A3" s="1" t="n">
        <v>1</v>
      </c>
      <c r="B3" s="1" t="inlineStr">
        <is>
          <t>Reaktor Klorinasi Langsung (R-01)</t>
        </is>
      </c>
      <c r="C3" s="1" t="inlineStr">
        <is>
          <t>Rasio mol umpan C₂H₄/Cl₂</t>
        </is>
      </c>
      <c r="D3" s="12" t="inlineStr">
        <is>
          <t>1.004</t>
        </is>
      </c>
      <c r="E3" s="1" t="inlineStr">
        <is>
          <t>Jumlah etilena zona 1 (99.5 %-mol) dan zona 2 (0.9 %-mol) terhadap Cl₂ murni</t>
        </is>
      </c>
      <c r="F3" s="1" t="inlineStr">
        <is>
          <t>U.S. Patent No. 4,072,728 (1978), Contoh 1</t>
        </is>
      </c>
    </row>
    <row r="4" ht="33" customHeight="1">
      <c r="A4" s="1" t="n">
        <v>2</v>
      </c>
      <c r="B4" s="1" t="inlineStr">
        <is>
          <t>Reaktor Klorinasi Langsung (R-01)</t>
        </is>
      </c>
      <c r="C4" s="1" t="inlineStr">
        <is>
          <t>Kehilangan Cl₂</t>
        </is>
      </c>
      <c r="D4" s="12" t="inlineStr">
        <is>
          <t>&lt; 0.01 %</t>
        </is>
      </c>
      <c r="E4" s="1" t="inlineStr">
        <is>
          <t>Fraksi Cl₂ umpan yang tidak bereaksi, dipakai 0.01 % (batas atas)</t>
        </is>
      </c>
      <c r="F4" s="1" t="inlineStr">
        <is>
          <t>U.S. Patent No. 4,072,728 (1978), Contoh 1</t>
        </is>
      </c>
    </row>
    <row r="5" ht="33" customHeight="1">
      <c r="A5" s="1" t="n">
        <v>3</v>
      </c>
      <c r="B5" s="1" t="inlineStr">
        <is>
          <t>Reaktor Klorinasi Langsung (R-01)</t>
        </is>
      </c>
      <c r="C5" s="1" t="inlineStr">
        <is>
          <t>Kadar 1,1,2-trikloroetana dalam EDC</t>
        </is>
      </c>
      <c r="D5" s="12" t="inlineStr">
        <is>
          <t>300 ppm</t>
        </is>
      </c>
      <c r="E5" s="1" t="inlineStr">
        <is>
          <t>Basis berat, menentukan laju reaksi pembentukan TCE</t>
        </is>
      </c>
      <c r="F5" s="1" t="inlineStr">
        <is>
          <t>U.S. Patent No. 4,072,728 (1978), Contoh 1</t>
        </is>
      </c>
    </row>
    <row r="6" ht="33" customHeight="1">
      <c r="A6" s="1" t="n">
        <v>4</v>
      </c>
      <c r="B6" s="1" t="inlineStr">
        <is>
          <t>Reaktor Klorinasi Langsung (R-01)</t>
        </is>
      </c>
      <c r="C6" s="1" t="inlineStr">
        <is>
          <t>Kadar FeCl₃ terlarut dalam EDC</t>
        </is>
      </c>
      <c r="D6" s="12" t="inlineStr">
        <is>
          <t>200 ppm</t>
        </is>
      </c>
      <c r="E6" s="1" t="inlineStr">
        <is>
          <t>Paten tidak menyebut basisnya, dihitung sebagai fraksi berat untuk make-up FeCl₃</t>
        </is>
      </c>
      <c r="F6" s="1" t="inlineStr">
        <is>
          <t>U.S. Patent No. 4,072,728 (1978), Contoh 1</t>
        </is>
      </c>
    </row>
    <row r="7" ht="33" customHeight="1">
      <c r="A7" s="1" t="n">
        <v>5</v>
      </c>
      <c r="B7" s="1" t="inlineStr">
        <is>
          <t>Kondensor Vent R-01</t>
        </is>
      </c>
      <c r="C7" s="1" t="inlineStr">
        <is>
          <t>EDC terbawa gas vent</t>
        </is>
      </c>
      <c r="D7" s="12" t="inlineStr">
        <is>
          <t>1.08 kg/t EDC</t>
        </is>
      </c>
      <c r="E7" s="1" t="inlineStr">
        <is>
          <t>Per ton EDC yang dihasilkan proses seimbang (R-01 + R-02), sebelum alat pengendali emisi. Gas inert, etilena sisa, Cl₂ sisa, dan HCl keluar sebagai vent</t>
        </is>
      </c>
      <c r="F7" s="1" t="inlineStr">
        <is>
          <t>U.S. EPA (1984) EPA-450/4-84-007d, Tabel 2 (Vent B)</t>
        </is>
      </c>
    </row>
    <row r="8" ht="33" customHeight="1">
      <c r="A8" s="1" t="n">
        <v>6</v>
      </c>
      <c r="B8" s="1" t="inlineStr">
        <is>
          <t>Reaktor Oksiklorinasi (R-02)</t>
        </is>
      </c>
      <c r="C8" s="1" t="inlineStr">
        <is>
          <t>Rasio mol umpan C₂H₄ : O₂ : HCl</t>
        </is>
      </c>
      <c r="D8" s="12" t="inlineStr">
        <is>
          <t>1.0 : 0.8 : 2.0</t>
        </is>
      </c>
      <c r="E8" s="1" t="inlineStr">
        <is>
          <t>Oksigen dipasok sebagai udara</t>
        </is>
      </c>
      <c r="F8" s="1" t="inlineStr">
        <is>
          <t>U.S. Patent No. 4,740,642 (1988)</t>
        </is>
      </c>
    </row>
    <row r="9" ht="33" customHeight="1">
      <c r="A9" s="1" t="n">
        <v>7</v>
      </c>
      <c r="B9" s="1" t="inlineStr">
        <is>
          <t>Reaktor Oksiklorinasi (R-02)</t>
        </is>
      </c>
      <c r="C9" s="1" t="inlineStr">
        <is>
          <t>Konversi C₂H₄</t>
        </is>
      </c>
      <c r="D9" s="12" t="inlineStr">
        <is>
          <t>99.5 %</t>
        </is>
      </c>
      <c r="E9" s="1" t="inlineStr">
        <is>
          <t>Fraksi etilena umpan yang bereaksi</t>
        </is>
      </c>
      <c r="F9" s="1" t="inlineStr">
        <is>
          <t>U.S. Patent No. 4,740,642 (1988), Contoh I no. 6</t>
        </is>
      </c>
    </row>
    <row r="10" ht="33" customHeight="1">
      <c r="A10" s="1" t="n">
        <v>8</v>
      </c>
      <c r="B10" s="1" t="inlineStr">
        <is>
          <t>Reaktor Oksiklorinasi (R-02)</t>
        </is>
      </c>
      <c r="C10" s="1" t="inlineStr">
        <is>
          <t>Efisiensi C₂H₄ menjadi EDC</t>
        </is>
      </c>
      <c r="D10" s="12" t="inlineStr">
        <is>
          <t>98.2 %</t>
        </is>
      </c>
      <c r="E10" s="1" t="inlineStr">
        <is>
          <t>Mol EDC terbentuk per mol etilena umpan</t>
        </is>
      </c>
      <c r="F10" s="1" t="inlineStr">
        <is>
          <t>U.S. Patent No. 4,740,642 (1988), Contoh I no. 6</t>
        </is>
      </c>
    </row>
    <row r="11" ht="33" customHeight="1">
      <c r="A11" s="1" t="n">
        <v>9</v>
      </c>
      <c r="B11" s="1" t="inlineStr">
        <is>
          <t>Reaktor Oksiklorinasi (R-02)</t>
        </is>
      </c>
      <c r="C11" s="1" t="inlineStr">
        <is>
          <t>Konversi HCl</t>
        </is>
      </c>
      <c r="D11" s="12" t="inlineStr">
        <is>
          <t>98.6 %</t>
        </is>
      </c>
      <c r="E11" s="1" t="inlineStr">
        <is>
          <t>Nilai terkoreksi</t>
        </is>
      </c>
      <c r="F11" s="1" t="inlineStr">
        <is>
          <t>U.S. Patent No. 4,740,642 (1988), Contoh I no. 6</t>
        </is>
      </c>
    </row>
    <row r="12" ht="33" customHeight="1">
      <c r="A12" s="1" t="n">
        <v>10</v>
      </c>
      <c r="B12" s="1" t="inlineStr">
        <is>
          <t>Reaktor Oksiklorinasi (R-02)</t>
        </is>
      </c>
      <c r="C12" s="1" t="inlineStr">
        <is>
          <t>Produk samping</t>
        </is>
      </c>
      <c r="D12" s="12" t="inlineStr">
        <is>
          <t>C₂H₅Cl dan CO₂</t>
        </is>
      </c>
      <c r="E12" s="1" t="inlineStr">
        <is>
          <t>Etil klorida termasuk produk samping paling banyak dan etilena juga teroksidasi menjadi COₓ. Jumlahnya dihitung dari selisih konversi, efisiensi, dan konversi HCl paten</t>
        </is>
      </c>
      <c r="F12" s="1" t="inlineStr">
        <is>
          <t>Montebelli dkk. (2015); BREF LVOC (2017) Bab 11</t>
        </is>
      </c>
    </row>
    <row r="13" ht="33" customHeight="1">
      <c r="A13" s="1" t="n">
        <v>11</v>
      </c>
      <c r="B13" s="1" t="inlineStr">
        <is>
          <t>Udara Umpan R-02</t>
        </is>
      </c>
      <c r="C13" s="1" t="inlineStr">
        <is>
          <t>Fraksi mol O₂ dalam udara</t>
        </is>
      </c>
      <c r="D13" s="12" t="inlineStr">
        <is>
          <t>0.21</t>
        </is>
      </c>
      <c r="E13" s="1" t="inlineStr">
        <is>
          <t>Fraksi mol N₂ 0.79</t>
        </is>
      </c>
      <c r="F13" s="1" t="inlineStr">
        <is>
          <t>Smith dkk. (2018) Tabel B.1</t>
        </is>
      </c>
    </row>
    <row r="14" ht="33" customHeight="1">
      <c r="A14" s="1" t="n">
        <v>12</v>
      </c>
      <c r="B14" s="1" t="inlineStr">
        <is>
          <t>Kondensor dan Dekanter</t>
        </is>
      </c>
      <c r="C14" s="1" t="inlineStr">
        <is>
          <t>EDC terbawa gas vent</t>
        </is>
      </c>
      <c r="D14" s="12" t="inlineStr">
        <is>
          <t>2.40 kg/t EDC</t>
        </is>
      </c>
      <c r="E14" s="1" t="inlineStr">
        <is>
          <t>Proses udara dengan kondensor berpendingin, per ton EDC yang dihasilkan R-01 + R-02. O₂, N₂, CO₂, etilena, dan etana keluar sebagai vent</t>
        </is>
      </c>
      <c r="F14" s="1" t="inlineStr">
        <is>
          <t>U.S. EPA (1984) EPA-450/4-84-007d, Tabel 2 (Vent A)</t>
        </is>
      </c>
    </row>
    <row r="15" ht="33" customHeight="1">
      <c r="A15" s="1" t="n">
        <v>13</v>
      </c>
      <c r="B15" s="1" t="inlineStr">
        <is>
          <t>Kondensor dan Dekanter</t>
        </is>
      </c>
      <c r="C15" s="1" t="inlineStr">
        <is>
          <t>Kadar EDC dalam fase air asam</t>
        </is>
      </c>
      <c r="D15" s="12" t="inlineStr">
        <is>
          <t>0.08 %</t>
        </is>
      </c>
      <c r="E15" s="1" t="inlineStr">
        <is>
          <t>Basis berat. Air asam berisi HCl sisa reaksi (9.5 %-berat pada contoh paten)</t>
        </is>
      </c>
      <c r="F15" s="1" t="inlineStr">
        <is>
          <t>U.S. Patent No. 4,263,269 (1981), Contoh 1</t>
        </is>
      </c>
    </row>
    <row r="16" ht="33" customHeight="1">
      <c r="A16" s="1" t="n">
        <v>14</v>
      </c>
      <c r="B16" s="1" t="inlineStr">
        <is>
          <t>Kondensor dan Dekanter</t>
        </is>
      </c>
      <c r="C16" s="1" t="inlineStr">
        <is>
          <t>Kadar air dalam fase EDC</t>
        </is>
      </c>
      <c r="D16" s="12" t="inlineStr">
        <is>
          <t>0.20 %</t>
        </is>
      </c>
      <c r="E16" s="1" t="inlineStr">
        <is>
          <t>Basis berat, sisa air ke fase air</t>
        </is>
      </c>
      <c r="F16" s="1" t="inlineStr">
        <is>
          <t>U.S. Patent No. 4,071,572 (1978), Contoh</t>
        </is>
      </c>
    </row>
    <row r="17" ht="33" customHeight="1">
      <c r="A17" s="1" t="n">
        <v>15</v>
      </c>
      <c r="B17" s="1" t="inlineStr">
        <is>
          <t>Kondensor dan Dekanter</t>
        </is>
      </c>
      <c r="C17" s="1" t="inlineStr">
        <is>
          <t>Kadar FeCl₃ dalam fase EDC</t>
        </is>
      </c>
      <c r="D17" s="12" t="inlineStr">
        <is>
          <t>3 ppm</t>
        </is>
      </c>
      <c r="E17" s="1" t="inlineStr">
        <is>
          <t>Basis berat setelah kontak dengan air asam, sisa FeCl₃ ke fase air</t>
        </is>
      </c>
      <c r="F17" s="1" t="inlineStr">
        <is>
          <t>U.S. Patent No. 4,072,728 (1978), Contoh 1 (nilai 3 ppm); klaim 5 (metode ekstraksi air asam)</t>
        </is>
      </c>
    </row>
    <row r="18" ht="33" customHeight="1">
      <c r="A18" s="1" t="n">
        <v>16</v>
      </c>
      <c r="B18" s="1" t="inlineStr">
        <is>
          <t>Kolom Ringan</t>
        </is>
      </c>
      <c r="C18" s="1" t="inlineStr">
        <is>
          <t>Kadar air dalam produk bawah</t>
        </is>
      </c>
      <c r="D18" s="12" t="inlineStr">
        <is>
          <t>&lt; 35 ppm</t>
        </is>
      </c>
      <c r="E18" s="1" t="inlineStr">
        <is>
          <t>Basis berat, dipakai 35 ppm, sisa air ke distilat</t>
        </is>
      </c>
      <c r="F18" s="1" t="inlineStr">
        <is>
          <t>U.S. Patent No. 4,814,528 (1989)</t>
        </is>
      </c>
    </row>
    <row r="19" ht="33" customHeight="1">
      <c r="A19" s="1" t="n">
        <v>17</v>
      </c>
      <c r="B19" s="1" t="inlineStr">
        <is>
          <t>Kolom Ringan</t>
        </is>
      </c>
      <c r="C19" s="1" t="inlineStr">
        <is>
          <t>Kadar VCM dalam produk bawah</t>
        </is>
      </c>
      <c r="D19" s="12" t="inlineStr">
        <is>
          <t>10 ppm</t>
        </is>
      </c>
      <c r="E19" s="1" t="inlineStr">
        <is>
          <t>Basis berat, kadar VCM dalam EDC mentah umpan kolom berat. Sisa VCM ke distilat</t>
        </is>
      </c>
      <c r="F19" s="1" t="inlineStr">
        <is>
          <t>U.S. Patent No. 4,788,357 (1988), Contoh 5</t>
        </is>
      </c>
    </row>
    <row r="20" ht="33" customHeight="1">
      <c r="A20" s="1" t="n">
        <v>18</v>
      </c>
      <c r="B20" s="1" t="inlineStr">
        <is>
          <t>Kolom Ringan</t>
        </is>
      </c>
      <c r="C20" s="1" t="inlineStr">
        <is>
          <t>EDC terbawa keluar lewat vent kolom</t>
        </is>
      </c>
      <c r="D20" s="12" t="inlineStr">
        <is>
          <t>3.00 kg/t EDC</t>
        </is>
      </c>
      <c r="E20" s="1" t="inlineStr">
        <is>
          <t>Per ton EDC yang dihasilkan R-01 + R-02. Faktor EPA menggabungkan vent kolom pengering, kolom fraksi ringan, dan kolom pemurnian EDC, dibebankan ke distilat kolom ringan</t>
        </is>
      </c>
      <c r="F20" s="1" t="inlineStr">
        <is>
          <t>U.S. EPA (1984) EPA-450/4-84-007d, Tabel 2 (Column vents C); BREF LVOC (2017) 11.2.2.3</t>
        </is>
      </c>
    </row>
    <row r="21" ht="33" customHeight="1">
      <c r="A21" s="1" t="n">
        <v>19</v>
      </c>
      <c r="B21" s="1" t="inlineStr">
        <is>
          <t>Kolom Berat</t>
        </is>
      </c>
      <c r="C21" s="1" t="inlineStr">
        <is>
          <t>EDC terbawa ke produk bawah</t>
        </is>
      </c>
      <c r="D21" s="12" t="inlineStr">
        <is>
          <t>1.0 × 10⁻³ mol/mol VCM</t>
        </is>
      </c>
      <c r="E21" s="1" t="inlineStr">
        <is>
          <t>EDC yang keluar dari seksi pemurnian EDC, ikut bersama tar</t>
        </is>
      </c>
      <c r="F21" s="1" t="inlineStr">
        <is>
          <t>Lakshmanan dkk. (1999) Tabel 1; BREF LVOC (2017) 11.2.2.3</t>
        </is>
      </c>
    </row>
    <row r="22" ht="33" customHeight="1">
      <c r="A22" s="1" t="n">
        <v>20</v>
      </c>
      <c r="B22" s="1" t="inlineStr">
        <is>
          <t>Kolom Berat</t>
        </is>
      </c>
      <c r="C22" s="1" t="inlineStr">
        <is>
          <t>1,1,2-trikloroetana ke distilat</t>
        </is>
      </c>
      <c r="D22" s="12" t="inlineStr">
        <is>
          <t>9.42 %</t>
        </is>
      </c>
      <c r="E22" s="1" t="inlineStr">
        <is>
          <t>Dihitung dari data paten: umpan 74.5 t/jam dengan TCE 3100 ppm, distilat 73 t/jam dengan TCE 298 ppm. Sisanya ke produk bawah</t>
        </is>
      </c>
      <c r="F22" s="1" t="inlineStr">
        <is>
          <t>U.S. Patent No. 4,788,357 (1988), Contoh 5</t>
        </is>
      </c>
    </row>
    <row r="23" ht="33" customHeight="1">
      <c r="A23" s="1" t="n">
        <v>21</v>
      </c>
      <c r="B23" s="1" t="inlineStr">
        <is>
          <t>Furnace Pirolisis</t>
        </is>
      </c>
      <c r="C23" s="1" t="inlineStr">
        <is>
          <t>Konversi EDC</t>
        </is>
      </c>
      <c r="D23" s="12" t="inlineStr">
        <is>
          <t>55 %</t>
        </is>
      </c>
      <c r="E23" s="1" t="inlineStr">
        <is>
          <t>Fraksi EDC umpan yang terengkah, tanpa promotor</t>
        </is>
      </c>
      <c r="F23" s="1" t="inlineStr">
        <is>
          <t>U.S. Patent No. 4,590,318 (1986), Contoh II Run 1</t>
        </is>
      </c>
    </row>
    <row r="24" ht="33" customHeight="1">
      <c r="A24" s="1" t="n">
        <v>22</v>
      </c>
      <c r="B24" s="1" t="inlineStr">
        <is>
          <t>Furnace Pirolisis</t>
        </is>
      </c>
      <c r="C24" s="1" t="inlineStr">
        <is>
          <t>Selektivitas VCM</t>
        </is>
      </c>
      <c r="D24" s="12" t="inlineStr">
        <is>
          <t>&gt; 98.5 %</t>
        </is>
      </c>
      <c r="E24" s="1" t="inlineStr">
        <is>
          <t>Dipakai 98.5 %</t>
        </is>
      </c>
      <c r="F24" s="1" t="inlineStr">
        <is>
          <t>U.S. Patent No. 4,590,318 (1986), Contoh II</t>
        </is>
      </c>
    </row>
    <row r="25" ht="33" customHeight="1">
      <c r="A25" s="1" t="n">
        <v>23</v>
      </c>
      <c r="B25" s="1" t="inlineStr">
        <is>
          <t>Furnace Pirolisis</t>
        </is>
      </c>
      <c r="C25" s="1" t="inlineStr">
        <is>
          <t>Reaksi samping</t>
        </is>
      </c>
      <c r="D25" s="12" t="inlineStr">
        <is>
          <t>2EDC → C₄H₈Cl₂ + Cl₂</t>
        </is>
      </c>
      <c r="E25" s="1" t="inlineStr">
        <is>
          <t>EDC yang tidak menjadi VCM terdegradasi menjadi fraksi berat dengan konversi (1 − S)</t>
        </is>
      </c>
      <c r="F25" s="1" t="inlineStr">
        <is>
          <t>Dimian &amp; Bildea (2008) Tabel 7.4 dan Tabel 7.6</t>
        </is>
      </c>
    </row>
    <row r="26" ht="33" customHeight="1">
      <c r="A26" s="1" t="n">
        <v>24</v>
      </c>
      <c r="B26" s="1" t="inlineStr">
        <is>
          <t>Kolom HCl</t>
        </is>
      </c>
      <c r="C26" s="1" t="inlineStr">
        <is>
          <t>Kadar HCl dalam VCM produk</t>
        </is>
      </c>
      <c r="D26" s="12" t="inlineStr">
        <is>
          <t>0.5 ppm</t>
        </is>
      </c>
      <c r="E26" s="1" t="inlineStr">
        <is>
          <t>Basis berat. HCl yang lolos ke produk bawah kolom HCl ikut ke distilat kolom VCM, sehingga laju HCl lolos dihitung dari spesifikasi ini</t>
        </is>
      </c>
      <c r="F26" s="1" t="inlineStr">
        <is>
          <t>U.S. Patent No. 4,642,400 (1987); Dimian &amp; Bildea (2008) Tabel 7.1</t>
        </is>
      </c>
    </row>
    <row r="27" ht="33" customHeight="1">
      <c r="A27" s="1" t="n">
        <v>25</v>
      </c>
      <c r="B27" s="1" t="inlineStr">
        <is>
          <t>Kolom HCl</t>
        </is>
      </c>
      <c r="C27" s="1" t="inlineStr">
        <is>
          <t>Kadar VCM dalam HCl daur ulang</t>
        </is>
      </c>
      <c r="D27" s="12" t="inlineStr">
        <is>
          <t>± 100 ppm</t>
        </is>
      </c>
      <c r="E27" s="1" t="inlineStr">
        <is>
          <t>Satuan tidak dirinci, dihitung sebagai fraksi mol</t>
        </is>
      </c>
      <c r="F27" s="1" t="inlineStr">
        <is>
          <t>BREF LVOC (2017) 11.4.1.1.1</t>
        </is>
      </c>
    </row>
    <row r="28" ht="33" customHeight="1">
      <c r="A28" s="1" t="n">
        <v>26</v>
      </c>
      <c r="B28" s="1" t="inlineStr">
        <is>
          <t>Kolom VCM</t>
        </is>
      </c>
      <c r="C28" s="1" t="inlineStr">
        <is>
          <t>Kemurnian VCM produk</t>
        </is>
      </c>
      <c r="D28" s="12" t="inlineStr">
        <is>
          <t>≥ 99.95 %-mol</t>
        </is>
      </c>
      <c r="E28" s="1" t="inlineStr">
        <is>
          <t>Pengotor yang ada di umpan kolom VCM adalah EDC</t>
        </is>
      </c>
      <c r="F28" s="1" t="inlineStr">
        <is>
          <t>U.S. Patent No. 3,899,399 (1975)</t>
        </is>
      </c>
    </row>
    <row r="29" ht="33" customHeight="1">
      <c r="A29" s="1" t="n">
        <v>27</v>
      </c>
      <c r="B29" s="1" t="inlineStr">
        <is>
          <t>Kolom VCM</t>
        </is>
      </c>
      <c r="C29" s="1" t="inlineStr">
        <is>
          <t>Kadar VCM dalam EDC produk bawah</t>
        </is>
      </c>
      <c r="D29" s="12" t="inlineStr">
        <is>
          <t>&lt; 0.5 %</t>
        </is>
      </c>
      <c r="E29" s="1" t="inlineStr">
        <is>
          <t>Basis berat, dipakai 0.5 %. EDC produk bawah didaur ulang ke kolom ringan</t>
        </is>
      </c>
      <c r="F29" s="1" t="inlineStr">
        <is>
          <t>U.S. Patent No. 3,920,761 (1975), Contoh</t>
        </is>
      </c>
    </row>
    <row r="30" ht="33" customHeight="1">
      <c r="A30" s="1" t="n">
        <v>28</v>
      </c>
      <c r="B30" s="1" t="inlineStr">
        <is>
          <t>Kompresor Udara (K-101)</t>
        </is>
      </c>
      <c r="C30" s="1" t="inlineStr">
        <is>
          <t>Efisiensi isentropik</t>
        </is>
      </c>
      <c r="D30" s="12" t="inlineStr">
        <is>
          <t>0.75</t>
        </is>
      </c>
      <c r="E30" s="1" t="inlineStr">
        <is>
          <t>Rentang umum 0.7 s.d. 0.8, dipakai nilai tengah</t>
        </is>
      </c>
      <c r="F30" s="1" t="inlineStr">
        <is>
          <t>Smith, Van Ness, Abbott &amp; Swihart (2018) h.284</t>
        </is>
      </c>
    </row>
    <row r="31" ht="33" customHeight="1">
      <c r="A31" s="1" t="n">
        <v>29</v>
      </c>
      <c r="B31" s="1" t="inlineStr">
        <is>
          <t>Pompa (P-101, P-103, P-104)</t>
        </is>
      </c>
      <c r="C31" s="1" t="inlineStr">
        <is>
          <t>Efisiensi pompa</t>
        </is>
      </c>
      <c r="D31" s="12" t="inlineStr">
        <is>
          <t>0.75</t>
        </is>
      </c>
      <c r="E31" s="1" t="inlineStr">
        <is>
          <t>Nilai yang dipakai pada contoh pompa cairan</t>
        </is>
      </c>
      <c r="F31" s="1" t="inlineStr">
        <is>
          <t>Smith dkk. (2018) Contoh 7.10</t>
        </is>
      </c>
    </row>
    <row r="32" ht="33" customHeight="1">
      <c r="A32" s="1" t="n">
        <v>30</v>
      </c>
      <c r="B32" s="1" t="inlineStr">
        <is>
          <t>Vaporizer Cl₂ (E-101)</t>
        </is>
      </c>
      <c r="C32" s="1" t="inlineStr">
        <is>
          <t>Superheat minimum uap Cl₂</t>
        </is>
      </c>
      <c r="D32" s="12" t="inlineStr">
        <is>
          <t>11 °C</t>
        </is>
      </c>
      <c r="E32" s="1" t="inlineStr">
        <is>
          <t>Mencegah reliquefaksi di pipa</t>
        </is>
      </c>
      <c r="F32" s="1" t="inlineStr">
        <is>
          <t>The Chlorine Institute, Pamphlet 9 §3.3</t>
        </is>
      </c>
    </row>
    <row r="33" ht="33" customHeight="1">
      <c r="A33" s="1" t="n">
        <v>31</v>
      </c>
      <c r="B33" s="1" t="inlineStr">
        <is>
          <t>Vaporizer HCl (E-109)</t>
        </is>
      </c>
      <c r="C33" s="1" t="inlineStr">
        <is>
          <t>Superheat uap HCl</t>
        </is>
      </c>
      <c r="D33" s="12" t="inlineStr">
        <is>
          <t>11 °C</t>
        </is>
      </c>
      <c r="E33" s="1" t="inlineStr">
        <is>
          <t>Dipakai nilai yang sama dengan Cl₂ (analog)</t>
        </is>
      </c>
      <c r="F33" s="1" t="inlineStr">
        <is>
          <t>The Chlorine Institute, Pamphlet 9 §3.3</t>
        </is>
      </c>
    </row>
    <row r="34" ht="33" customHeight="1">
      <c r="A34" s="1" t="n">
        <v>32</v>
      </c>
      <c r="B34" s="1" t="inlineStr">
        <is>
          <t>Kolom Ringan (KD-101)</t>
        </is>
      </c>
      <c r="C34" s="1" t="inlineStr">
        <is>
          <t>Boil-up ratio</t>
        </is>
      </c>
      <c r="D34" s="12" t="inlineStr">
        <is>
          <t>0.6</t>
        </is>
      </c>
      <c r="E34" s="1" t="inlineStr">
        <is>
          <t>V/B pada reboiler</t>
        </is>
      </c>
      <c r="F34" s="1" t="inlineStr">
        <is>
          <t>Dimian &amp; Bildea (2008) Subbab 7.6</t>
        </is>
      </c>
    </row>
    <row r="35" ht="33" customHeight="1">
      <c r="A35" s="1" t="n">
        <v>33</v>
      </c>
      <c r="B35" s="1" t="inlineStr">
        <is>
          <t>Kolom Berat (KD-102)</t>
        </is>
      </c>
      <c r="C35" s="1" t="inlineStr">
        <is>
          <t>Rasio refluks</t>
        </is>
      </c>
      <c r="D35" s="12" t="inlineStr">
        <is>
          <t>1</t>
        </is>
      </c>
      <c r="E35" s="1" t="inlineStr">
        <is>
          <t>L/D</t>
        </is>
      </c>
      <c r="F35" s="1" t="inlineStr">
        <is>
          <t>Dry dkk. (2003), Capstone Design Univ. of Oklahoma</t>
        </is>
      </c>
    </row>
    <row r="36" ht="33" customHeight="1">
      <c r="A36" s="1" t="n">
        <v>34</v>
      </c>
      <c r="B36" s="1" t="inlineStr">
        <is>
          <t>Kolom HCl (KD-103)</t>
        </is>
      </c>
      <c r="C36" s="1" t="inlineStr">
        <is>
          <t>Laju refluks</t>
        </is>
      </c>
      <c r="D36" s="12" t="inlineStr">
        <is>
          <t>1000 kg/h</t>
        </is>
      </c>
      <c r="E36" s="1" t="inlineStr">
        <is>
          <t>Pada pabrik dengan umpan reaktor ±74,000 kg/h</t>
        </is>
      </c>
      <c r="F36" s="1" t="inlineStr">
        <is>
          <t>Dimian &amp; Bildea (2008) Subbab 7.6</t>
        </is>
      </c>
    </row>
    <row r="37" ht="33" customHeight="1">
      <c r="A37" s="1" t="n">
        <v>35</v>
      </c>
      <c r="B37" s="1" t="inlineStr">
        <is>
          <t>Kolom VCM (KD-104)</t>
        </is>
      </c>
      <c r="C37" s="1" t="inlineStr">
        <is>
          <t>Beban kondensor</t>
        </is>
      </c>
      <c r="D37" s="12" t="inlineStr">
        <is>
          <t>2.98 MW</t>
        </is>
      </c>
      <c r="E37" s="1" t="inlineStr">
        <is>
          <t>Dipakai untuk menurunkan rasio refluks</t>
        </is>
      </c>
      <c r="F37" s="1" t="inlineStr">
        <is>
          <t>Dimian &amp; Bildea (2008) Tabel 7.8</t>
        </is>
      </c>
    </row>
  </sheetData>
  <mergeCells count="1">
    <mergeCell ref="A1:F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Q30"/>
  <sheetViews>
    <sheetView showGridLines="0" tabSelected="0" zoomScaleNormal="100" workbookViewId="0">
      <selection activeCell="G322" sqref="G322"/>
    </sheetView>
  </sheetViews>
  <sheetFormatPr baseColWidth="8" defaultColWidth="8.7109375" defaultRowHeight="15"/>
  <cols>
    <col width="30" customWidth="1" style="13" min="1" max="1"/>
    <col width="11.28515625" customWidth="1" style="13" min="2" max="2"/>
    <col width="14.28515625" customWidth="1" style="13" min="3" max="3"/>
    <col width="11.28515625" customWidth="1" style="13" min="4" max="4"/>
    <col width="14.28515625" customWidth="1" style="13" min="5" max="5"/>
    <col width="11.28515625" customWidth="1" style="13" min="6" max="6"/>
    <col width="15.140625" customWidth="1" style="13" min="7" max="7"/>
    <col width="11.28515625" customWidth="1" style="13" min="8" max="8"/>
    <col width="13.85546875" customWidth="1" style="13" min="9" max="9"/>
    <col width="9.140625" customWidth="1" style="13" min="10" max="10"/>
    <col width="10.85546875" customWidth="1" style="13" min="11" max="11"/>
    <col width="9.140625" customWidth="1" style="13" min="12" max="12"/>
    <col width="12.5703125" customWidth="1" style="13" min="13" max="13"/>
    <col width="9.140625" customWidth="1" style="13" min="14" max="14"/>
    <col width="10.85546875" customWidth="1" style="13" min="15" max="15"/>
    <col width="9.140625" customWidth="1" style="13" min="16" max="16"/>
    <col width="12.5703125" customWidth="1" style="13" min="17" max="17"/>
    <col width="8.7109375" customWidth="1" style="13" min="18" max="16384"/>
  </cols>
  <sheetData>
    <row r="3" ht="15" customHeight="1">
      <c r="A3" s="14" t="inlineStr">
        <is>
          <t>Neraca Massa</t>
        </is>
      </c>
    </row>
    <row r="4" ht="15" customHeight="1">
      <c r="A4" s="14" t="inlineStr">
        <is>
          <t>NM Unit xx (xx)</t>
        </is>
      </c>
    </row>
    <row r="5" ht="15" customHeight="1">
      <c r="A5" s="15" t="inlineStr">
        <is>
          <t>Tujuan:</t>
        </is>
      </c>
    </row>
    <row r="6" ht="15" customHeight="1">
      <c r="A6" s="15" t="inlineStr">
        <is>
          <t>Unjuk Kerja</t>
        </is>
      </c>
    </row>
    <row r="9" ht="15" customHeight="1">
      <c r="A9" s="15" t="inlineStr">
        <is>
          <t>Basis Perhitungan</t>
        </is>
      </c>
    </row>
    <row r="10" ht="15" customHeight="1">
      <c r="A10" s="115" t="inlineStr">
        <is>
          <t>Substance</t>
        </is>
      </c>
      <c r="B10" s="115" t="inlineStr">
        <is>
          <t>Inlet</t>
        </is>
      </c>
      <c r="C10" s="162" t="n"/>
      <c r="D10" s="162" t="n"/>
      <c r="E10" s="162" t="n"/>
      <c r="F10" s="162" t="n"/>
      <c r="G10" s="162" t="n"/>
      <c r="H10" s="162" t="n"/>
      <c r="I10" s="163" t="n"/>
      <c r="J10" s="116" t="inlineStr">
        <is>
          <t>Outlet</t>
        </is>
      </c>
      <c r="K10" s="162" t="n"/>
      <c r="L10" s="162" t="n"/>
      <c r="M10" s="162" t="n"/>
      <c r="N10" s="162" t="n"/>
      <c r="O10" s="162" t="n"/>
      <c r="P10" s="162" t="n"/>
      <c r="Q10" s="163" t="n"/>
    </row>
    <row r="11" ht="15" customHeight="1">
      <c r="A11" s="164" t="n"/>
      <c r="B11" s="115" t="inlineStr">
        <is>
          <t>Aliran 1</t>
        </is>
      </c>
      <c r="C11" s="162" t="n"/>
      <c r="D11" s="162" t="n"/>
      <c r="E11" s="163" t="n"/>
      <c r="F11" s="117" t="inlineStr">
        <is>
          <t>Aliran 2</t>
        </is>
      </c>
      <c r="G11" s="165" t="n"/>
      <c r="H11" s="165" t="n"/>
      <c r="I11" s="166" t="n"/>
      <c r="J11" s="118" t="inlineStr">
        <is>
          <t>Aliran 3</t>
        </is>
      </c>
      <c r="K11" s="165" t="n"/>
      <c r="L11" s="165" t="n"/>
      <c r="M11" s="166" t="n"/>
      <c r="N11" s="119" t="inlineStr">
        <is>
          <t>Aliran 4</t>
        </is>
      </c>
      <c r="O11" s="165" t="n"/>
      <c r="P11" s="165" t="n"/>
      <c r="Q11" s="166" t="n"/>
    </row>
    <row r="12" ht="15" customHeight="1">
      <c r="A12" s="167" t="n"/>
      <c r="B12" s="16" t="inlineStr">
        <is>
          <t>ẋᵢ</t>
        </is>
      </c>
      <c r="C12" s="17" t="inlineStr">
        <is>
          <t>ṁᵢ (kg/h)</t>
        </is>
      </c>
      <c r="D12" s="17" t="inlineStr">
        <is>
          <t>ẏᵢ</t>
        </is>
      </c>
      <c r="E12" s="17" t="inlineStr">
        <is>
          <t>ṅᵢ (kmol/h)</t>
        </is>
      </c>
      <c r="F12" s="16" t="inlineStr">
        <is>
          <t>ẋᵢ</t>
        </is>
      </c>
      <c r="G12" s="17" t="inlineStr">
        <is>
          <t>ṁᵢ (kg/h)</t>
        </is>
      </c>
      <c r="H12" s="17" t="inlineStr">
        <is>
          <t>ẏᵢ</t>
        </is>
      </c>
      <c r="I12" s="17" t="inlineStr">
        <is>
          <t>ṅᵢ (kmol/h)</t>
        </is>
      </c>
      <c r="J12" s="16" t="inlineStr">
        <is>
          <t>ẋᵢ</t>
        </is>
      </c>
      <c r="K12" s="17" t="inlineStr">
        <is>
          <t>ṁᵢ (kg/h)</t>
        </is>
      </c>
      <c r="L12" s="17" t="inlineStr">
        <is>
          <t>ẏᵢ</t>
        </is>
      </c>
      <c r="M12" s="17" t="inlineStr">
        <is>
          <t>ṅᵢ (kmol/h)</t>
        </is>
      </c>
      <c r="N12" s="16" t="inlineStr">
        <is>
          <t>ẋᵢ</t>
        </is>
      </c>
      <c r="O12" s="17" t="inlineStr">
        <is>
          <t>ṁᵢ (kg/h)</t>
        </is>
      </c>
      <c r="P12" s="17" t="inlineStr">
        <is>
          <t>ẏᵢ</t>
        </is>
      </c>
      <c r="Q12" s="17" t="inlineStr">
        <is>
          <t>ṅᵢ (kmol/h)</t>
        </is>
      </c>
    </row>
    <row r="13" ht="15" customHeight="1">
      <c r="A13" s="121" t="inlineStr">
        <is>
          <t>A (x)</t>
        </is>
      </c>
      <c r="B13" s="121" t="n"/>
      <c r="C13" s="18" t="n"/>
      <c r="D13" s="18" t="n"/>
      <c r="E13" s="18" t="n"/>
      <c r="F13" s="18" t="n"/>
      <c r="G13" s="121" t="n"/>
      <c r="H13" s="121" t="n"/>
      <c r="I13" s="121" t="n"/>
      <c r="J13" s="19" t="n"/>
      <c r="K13" s="18" t="n"/>
      <c r="L13" s="18" t="n"/>
      <c r="M13" s="18" t="n"/>
      <c r="N13" s="18" t="n"/>
      <c r="O13" s="18" t="n"/>
      <c r="P13" s="18" t="n"/>
      <c r="Q13" s="18" t="n"/>
    </row>
    <row r="14" ht="15" customHeight="1">
      <c r="A14" s="121" t="inlineStr">
        <is>
          <t>B (x)</t>
        </is>
      </c>
      <c r="B14" s="121" t="n"/>
      <c r="C14" s="121" t="n"/>
      <c r="D14" s="121" t="n"/>
      <c r="E14" s="121" t="n"/>
      <c r="F14" s="121" t="n"/>
      <c r="G14" s="121" t="n"/>
      <c r="H14" s="121" t="n"/>
      <c r="I14" s="121" t="n"/>
      <c r="J14" s="116" t="n"/>
      <c r="K14" s="121" t="n"/>
      <c r="L14" s="121" t="n"/>
      <c r="M14" s="121" t="n"/>
      <c r="N14" s="121" t="n"/>
      <c r="O14" s="121" t="n"/>
      <c r="P14" s="121" t="n"/>
      <c r="Q14" s="121" t="n"/>
    </row>
    <row r="15" ht="15" customHeight="1">
      <c r="A15" s="18" t="inlineStr">
        <is>
          <t>C (x)</t>
        </is>
      </c>
      <c r="B15" s="19" t="n"/>
      <c r="C15" s="18" t="n"/>
      <c r="D15" s="18" t="n"/>
      <c r="E15" s="18" t="n"/>
      <c r="F15" s="18" t="n"/>
      <c r="G15" s="18" t="n"/>
      <c r="H15" s="18" t="n"/>
      <c r="I15" s="20" t="n"/>
      <c r="J15" s="121" t="n"/>
      <c r="K15" s="121" t="n"/>
      <c r="L15" s="121" t="n"/>
      <c r="M15" s="121" t="n"/>
      <c r="N15" s="121" t="n"/>
      <c r="O15" s="121" t="n"/>
      <c r="P15" s="121" t="n"/>
      <c r="Q15" s="121" t="n"/>
    </row>
    <row r="16" ht="15" customHeight="1">
      <c r="A16" s="115" t="inlineStr">
        <is>
          <t>Sub Total</t>
        </is>
      </c>
      <c r="B16" s="116">
        <f>SUM(B13:B15)</f>
        <v>0.0</v>
      </c>
      <c r="C16" s="116">
        <f>SUM(C13:C15)</f>
        <v>0.0</v>
      </c>
      <c r="D16" s="116">
        <f>SUM(D13:D15)</f>
        <v>0.0</v>
      </c>
      <c r="E16" s="116">
        <f>SUM(E13:E15)</f>
        <v>0.0</v>
      </c>
      <c r="F16" s="116">
        <f>SUM(F13:F15)</f>
        <v>0.0</v>
      </c>
      <c r="G16" s="116">
        <f>SUM(G13:G15)</f>
        <v>0.0</v>
      </c>
      <c r="H16" s="116">
        <f>SUM(H13:H15)</f>
        <v>0.0</v>
      </c>
      <c r="I16" s="116">
        <f>SUM(I13:I15)</f>
        <v>0.0</v>
      </c>
      <c r="J16" s="116">
        <f>SUM(J13:J15)</f>
        <v>0.0</v>
      </c>
      <c r="K16" s="116">
        <f>SUM(K13:K15)</f>
        <v>0.0</v>
      </c>
      <c r="L16" s="116">
        <f>SUM(L13:L15)</f>
        <v>0.0</v>
      </c>
      <c r="M16" s="116">
        <f>SUM(M13:M15)</f>
        <v>0.0</v>
      </c>
      <c r="N16" s="116">
        <f>SUM(N13:N15)</f>
        <v>0.0</v>
      </c>
      <c r="O16" s="116">
        <f>SUM(O13:O15)</f>
        <v>0.0</v>
      </c>
      <c r="P16" s="116">
        <f>SUM(P13:P15)</f>
        <v>0.0</v>
      </c>
      <c r="Q16" s="116">
        <f>SUM(Q13:Q15)</f>
        <v>0.0</v>
      </c>
    </row>
    <row r="17" ht="15" customHeight="1">
      <c r="A17" s="115" t="inlineStr">
        <is>
          <t>TOTAL MASSA</t>
        </is>
      </c>
      <c r="B17" s="120">
        <f>SUMPRODUCT(B13:B15,C13:C15) + SUMPRODUCT(F13:F15,G13:G15)</f>
        <v>0.0</v>
      </c>
      <c r="C17" s="162" t="n"/>
      <c r="D17" s="162" t="n"/>
      <c r="E17" s="162" t="n"/>
      <c r="F17" s="162" t="n"/>
      <c r="G17" s="162" t="n"/>
      <c r="H17" s="162" t="n"/>
      <c r="I17" s="162" t="n"/>
      <c r="J17" s="121">
        <f>SUMPRODUCT(J13:J15,K13:K15) + SUMPRODUCT(N13:N15,O13:O15)</f>
        <v>0.0</v>
      </c>
      <c r="K17" s="162" t="n"/>
      <c r="L17" s="162" t="n"/>
      <c r="M17" s="162" t="n"/>
      <c r="N17" s="162" t="n"/>
      <c r="O17" s="162" t="n"/>
      <c r="P17" s="162" t="n"/>
      <c r="Q17" s="163" t="n"/>
    </row>
    <row r="19" ht="15" customHeight="1">
      <c r="A19" s="15" t="inlineStr">
        <is>
          <t>Neraca Energi</t>
        </is>
      </c>
    </row>
    <row r="20" ht="15" customHeight="1">
      <c r="A20" s="121" t="inlineStr">
        <is>
          <t>Reference State:</t>
        </is>
      </c>
      <c r="B20" s="121" t="n"/>
      <c r="C20" s="162" t="n"/>
      <c r="D20" s="162" t="n"/>
      <c r="E20" s="162" t="n"/>
      <c r="F20" s="162" t="n"/>
      <c r="G20" s="162" t="n"/>
      <c r="H20" s="162" t="n"/>
      <c r="I20" s="163" t="n"/>
    </row>
    <row r="21" ht="15" customHeight="1">
      <c r="A21" s="115" t="inlineStr">
        <is>
          <t>Substance</t>
        </is>
      </c>
      <c r="B21" s="115" t="inlineStr">
        <is>
          <t>Inlet</t>
        </is>
      </c>
      <c r="C21" s="162" t="n"/>
      <c r="D21" s="162" t="n"/>
      <c r="E21" s="163" t="n"/>
      <c r="F21" s="115" t="inlineStr">
        <is>
          <t>Outlet</t>
        </is>
      </c>
      <c r="G21" s="162" t="n"/>
      <c r="H21" s="162" t="n"/>
      <c r="I21" s="163" t="n"/>
    </row>
    <row r="22" ht="15" customHeight="1">
      <c r="A22" s="164" t="n"/>
      <c r="B22" s="115" t="inlineStr">
        <is>
          <t>Aliran 1</t>
        </is>
      </c>
      <c r="C22" s="163" t="n"/>
      <c r="D22" s="115" t="inlineStr">
        <is>
          <t>Aliran 2</t>
        </is>
      </c>
      <c r="E22" s="163" t="n"/>
      <c r="F22" s="115" t="inlineStr">
        <is>
          <t>Aliran 3</t>
        </is>
      </c>
      <c r="G22" s="163" t="n"/>
      <c r="H22" s="115" t="inlineStr">
        <is>
          <t>Aliran 4</t>
        </is>
      </c>
      <c r="I22" s="163" t="n"/>
    </row>
    <row r="23" ht="15" customHeight="1">
      <c r="A23" s="167" t="n"/>
      <c r="B23" s="17" t="inlineStr">
        <is>
          <t>ṅᵢ (kmol/h)</t>
        </is>
      </c>
      <c r="C23" s="17" t="inlineStr">
        <is>
          <t>Ḣᵢ,ᵢₙ (kJ/kmol)</t>
        </is>
      </c>
      <c r="D23" s="17" t="inlineStr">
        <is>
          <t>ṅᵢ (kmol/h)</t>
        </is>
      </c>
      <c r="E23" s="17" t="inlineStr">
        <is>
          <t>Ḣᵢ,ᵢₙ (kJ/kmol)</t>
        </is>
      </c>
      <c r="F23" s="17" t="inlineStr">
        <is>
          <t>ṅᵢ (kmol/h)</t>
        </is>
      </c>
      <c r="G23" s="17" t="inlineStr">
        <is>
          <t>Ḣᵢ,ₒᵤₜ (kJ/kmol)</t>
        </is>
      </c>
      <c r="H23" s="17" t="inlineStr">
        <is>
          <t>ṅᵢ (kmol/h)</t>
        </is>
      </c>
      <c r="I23" s="17" t="inlineStr">
        <is>
          <t>Ḣᵢ,ₒᵤₜ (kJ/kmol)</t>
        </is>
      </c>
    </row>
    <row r="24" ht="15" customHeight="1">
      <c r="A24" s="121" t="inlineStr">
        <is>
          <t>A (x)</t>
        </is>
      </c>
      <c r="B24" s="121" t="n"/>
      <c r="C24" s="121" t="n"/>
      <c r="D24" s="121" t="n"/>
      <c r="E24" s="121" t="n"/>
      <c r="F24" s="121" t="n"/>
      <c r="G24" s="121" t="n"/>
      <c r="H24" s="121" t="n"/>
      <c r="I24" s="121" t="n"/>
    </row>
    <row r="25" ht="15" customHeight="1">
      <c r="A25" s="121" t="inlineStr">
        <is>
          <t>B (x)</t>
        </is>
      </c>
      <c r="B25" s="121" t="n"/>
      <c r="C25" s="121" t="n"/>
      <c r="D25" s="121" t="n"/>
      <c r="E25" s="121" t="n"/>
      <c r="F25" s="121" t="n"/>
      <c r="G25" s="121" t="n"/>
      <c r="H25" s="121" t="n"/>
      <c r="I25" s="121" t="n"/>
    </row>
    <row r="26" ht="15" customHeight="1">
      <c r="A26" s="121" t="inlineStr">
        <is>
          <t>C (x)</t>
        </is>
      </c>
      <c r="B26" s="121" t="n"/>
      <c r="C26" s="121" t="n"/>
      <c r="D26" s="121" t="n"/>
      <c r="E26" s="121" t="n"/>
      <c r="F26" s="121" t="n"/>
      <c r="G26" s="121" t="n"/>
      <c r="H26" s="121" t="n"/>
      <c r="I26" s="121" t="n"/>
    </row>
    <row r="27" ht="15" customHeight="1">
      <c r="A27" s="115" t="inlineStr">
        <is>
          <t>Sub Total</t>
        </is>
      </c>
      <c r="B27" s="121">
        <f>SUMPRODUCT(B24:B26,C24:C26)</f>
        <v>0.0</v>
      </c>
      <c r="C27" s="163" t="n"/>
      <c r="D27" s="121">
        <f>SUMPRODUCT(D24:D26,E24:E26)</f>
        <v>0.0</v>
      </c>
      <c r="E27" s="163" t="n"/>
      <c r="F27" s="121">
        <f>SUMPRODUCT(F24:F26,G24:G26)</f>
        <v>0.0</v>
      </c>
      <c r="G27" s="163" t="n"/>
      <c r="H27" s="121">
        <f>SUMPRODUCT(H24:H26,I24:I26)</f>
        <v>0.0</v>
      </c>
      <c r="I27" s="163" t="n"/>
    </row>
    <row r="28" ht="15" customHeight="1">
      <c r="A28" s="115" t="inlineStr">
        <is>
          <t>Heat of mixing/heat of reaction</t>
        </is>
      </c>
      <c r="B28" s="121" t="n"/>
      <c r="C28" s="162" t="n"/>
      <c r="D28" s="162" t="n"/>
      <c r="E28" s="162" t="n"/>
      <c r="F28" s="162" t="n"/>
      <c r="G28" s="162" t="n"/>
      <c r="H28" s="162" t="n"/>
      <c r="I28" s="163" t="n"/>
    </row>
    <row r="29" ht="15" customHeight="1">
      <c r="A29" s="115" t="inlineStr">
        <is>
          <t>Q or W</t>
        </is>
      </c>
      <c r="B29" s="121" t="n"/>
      <c r="C29" s="162" t="n"/>
      <c r="D29" s="162" t="n"/>
      <c r="E29" s="163" t="n"/>
      <c r="F29" s="121" t="n"/>
      <c r="G29" s="162" t="n"/>
      <c r="H29" s="162" t="n"/>
      <c r="I29" s="163" t="n"/>
    </row>
    <row r="30" ht="15" customHeight="1">
      <c r="A30" s="115" t="inlineStr">
        <is>
          <t xml:space="preserve">TOTAL </t>
        </is>
      </c>
      <c r="B30" s="121" t="n"/>
      <c r="C30" s="162" t="n"/>
      <c r="D30" s="162" t="n"/>
      <c r="E30" s="163" t="n"/>
      <c r="F30" s="121" t="n"/>
      <c r="G30" s="162" t="n"/>
      <c r="H30" s="162" t="n"/>
      <c r="I30" s="163" t="n"/>
    </row>
  </sheetData>
  <mergeCells count="26">
    <mergeCell ref="A21:A23"/>
    <mergeCell ref="B30:E30"/>
    <mergeCell ref="B22:C22"/>
    <mergeCell ref="D22:E22"/>
    <mergeCell ref="J10:Q10"/>
    <mergeCell ref="B27:C27"/>
    <mergeCell ref="A10:A12"/>
    <mergeCell ref="D27:E27"/>
    <mergeCell ref="F11:I11"/>
    <mergeCell ref="N11:Q11"/>
    <mergeCell ref="F29:I29"/>
    <mergeCell ref="B17:I17"/>
    <mergeCell ref="B21:E21"/>
    <mergeCell ref="B10:I10"/>
    <mergeCell ref="F30:I30"/>
    <mergeCell ref="B28:I28"/>
    <mergeCell ref="F21:I21"/>
    <mergeCell ref="F22:G22"/>
    <mergeCell ref="B11:E11"/>
    <mergeCell ref="H22:I22"/>
    <mergeCell ref="F27:G27"/>
    <mergeCell ref="H27:I27"/>
    <mergeCell ref="B20:I20"/>
    <mergeCell ref="J11:M11"/>
    <mergeCell ref="B29:E29"/>
    <mergeCell ref="J17:Q1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tabSelected="0" workbookViewId="0">
      <selection activeCell="A2" sqref="A2"/>
    </sheetView>
  </sheetViews>
  <sheetFormatPr baseColWidth="8" defaultRowHeight="15"/>
  <cols>
    <col width="44.85546875" customWidth="1" min="1" max="1"/>
    <col width="40.42578125" customWidth="1" min="2" max="2"/>
  </cols>
  <sheetData>
    <row r="1" ht="15.75" customHeight="1">
      <c r="A1" s="102" t="inlineStr">
        <is>
          <t>Spesifikasi klorin umpan wt%</t>
        </is>
      </c>
      <c r="B1" s="168" t="n"/>
    </row>
    <row r="2" ht="15.75" customHeight="1">
      <c r="A2" s="36" t="inlineStr">
        <is>
          <t>CₙHₘ</t>
        </is>
      </c>
      <c r="B2" s="169">
        <f>4/1000000</f>
        <v>4e-06</v>
      </c>
    </row>
    <row r="3" ht="15.75" customHeight="1">
      <c r="A3" s="36" t="inlineStr">
        <is>
          <t>Water</t>
        </is>
      </c>
      <c r="B3" s="169">
        <f>12/1000000</f>
        <v>1.2e-05</v>
      </c>
    </row>
    <row r="4" ht="15.75" customHeight="1">
      <c r="A4" s="36" t="inlineStr">
        <is>
          <t>CₓHᵧCl</t>
        </is>
      </c>
      <c r="B4" s="169">
        <f>8/1000000</f>
        <v>8e-06</v>
      </c>
    </row>
    <row r="5" ht="15.75" customHeight="1">
      <c r="A5" s="36" t="inlineStr">
        <is>
          <t>Bromine</t>
        </is>
      </c>
      <c r="B5" s="169">
        <f>90/1000000</f>
        <v>9e-05</v>
      </c>
    </row>
    <row r="6" ht="15.75" customHeight="1">
      <c r="A6" s="36" t="inlineStr">
        <is>
          <t>Nitrogen trichloride</t>
        </is>
      </c>
      <c r="B6" s="169">
        <f>5/1000000</f>
        <v>5e-06</v>
      </c>
    </row>
    <row r="7" ht="15.75" customHeight="1">
      <c r="A7" s="36" t="inlineStr">
        <is>
          <t>Hydrogen</t>
        </is>
      </c>
      <c r="B7" s="169">
        <f>30/1000000</f>
        <v>3e-05</v>
      </c>
    </row>
    <row r="8" ht="15.75" customHeight="1">
      <c r="A8" s="36" t="inlineStr">
        <is>
          <t>Oxygen</t>
        </is>
      </c>
      <c r="B8" s="169">
        <f>180/1000000</f>
        <v>0.00018</v>
      </c>
    </row>
    <row r="9" ht="15.75" customHeight="1">
      <c r="A9" s="36" t="inlineStr">
        <is>
          <t>Nitrogen</t>
        </is>
      </c>
      <c r="B9" s="169">
        <f>600/1000000</f>
        <v>0.0006</v>
      </c>
    </row>
    <row r="10" ht="15.75" customHeight="1">
      <c r="A10" s="36" t="inlineStr">
        <is>
          <t>Carbon dioxide</t>
        </is>
      </c>
      <c r="B10" s="169">
        <f>600/1000000</f>
        <v>0.0006</v>
      </c>
    </row>
    <row r="11" ht="15.75" customHeight="1">
      <c r="A11" s="36" t="inlineStr">
        <is>
          <t>Fraksi berat Cl₂ = 1 − Σ pengotor</t>
        </is>
      </c>
      <c r="B11" s="169">
        <f>1-SUM(B2:B10)</f>
        <v>0.998471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tabSelected="0" zoomScaleNormal="100" workbookViewId="0">
      <selection activeCell="J24" sqref="J24"/>
    </sheetView>
  </sheetViews>
  <sheetFormatPr baseColWidth="8" defaultColWidth="8.7109375" defaultRowHeight="15"/>
  <cols>
    <col width="14.5703125" customWidth="1" style="13" min="1" max="1"/>
    <col width="10.42578125" customWidth="1" style="13" min="2" max="2"/>
    <col width="13.28515625" customWidth="1" style="13" min="3" max="3"/>
    <col width="8.7109375" customWidth="1" style="13" min="4" max="14"/>
    <col width="9.140625" customWidth="1" style="13" min="15" max="15"/>
    <col width="8.7109375" customWidth="1" style="13" min="16" max="16"/>
    <col width="13.5703125" customWidth="1" style="13" min="17" max="17"/>
    <col width="8.7109375" customWidth="1" style="13" min="18" max="19"/>
    <col width="9.140625" customWidth="1" style="13" min="20" max="20"/>
    <col width="8.7109375" customWidth="1" style="13" min="21" max="22"/>
    <col width="13.7109375" customWidth="1" style="13" min="23" max="23"/>
    <col width="11.5703125" customWidth="1" style="21" min="24" max="24"/>
    <col width="8.7109375" customWidth="1" style="13" min="25" max="16384"/>
  </cols>
  <sheetData>
    <row r="1" ht="15" customHeight="1">
      <c r="A1" s="117" t="inlineStr">
        <is>
          <t>Basis</t>
        </is>
      </c>
      <c r="B1" s="119" t="n">
        <v>1</v>
      </c>
      <c r="C1" s="119" t="inlineStr">
        <is>
          <t>m^3</t>
        </is>
      </c>
    </row>
    <row r="2" ht="15" customHeight="1">
      <c r="A2" s="122" t="inlineStr">
        <is>
          <t>Component</t>
        </is>
      </c>
      <c r="B2" s="122" t="inlineStr">
        <is>
          <t>Unit</t>
        </is>
      </c>
      <c r="C2" s="122" t="inlineStr">
        <is>
          <t>Value (m^3)</t>
        </is>
      </c>
      <c r="D2" s="122" t="inlineStr">
        <is>
          <t>T</t>
        </is>
      </c>
      <c r="E2" s="122" t="inlineStr">
        <is>
          <t>P</t>
        </is>
      </c>
      <c r="F2" s="122" t="inlineStr">
        <is>
          <t>Mw</t>
        </is>
      </c>
      <c r="G2" s="39" t="inlineStr">
        <is>
          <t>ω</t>
        </is>
      </c>
      <c r="H2" s="122" t="inlineStr">
        <is>
          <t>Tc (K)</t>
        </is>
      </c>
      <c r="I2" s="122" t="inlineStr">
        <is>
          <t>Pc (bar)</t>
        </is>
      </c>
      <c r="J2" s="40" t="inlineStr">
        <is>
          <t>Tr</t>
        </is>
      </c>
      <c r="K2" s="122" t="inlineStr">
        <is>
          <t>Pr</t>
        </is>
      </c>
      <c r="L2" s="122" t="inlineStr">
        <is>
          <t>σ</t>
        </is>
      </c>
      <c r="M2" s="122" t="inlineStr">
        <is>
          <t>ε</t>
        </is>
      </c>
      <c r="N2" s="122" t="inlineStr">
        <is>
          <t>Ω</t>
        </is>
      </c>
      <c r="O2" s="122" t="inlineStr">
        <is>
          <t>Ψ</t>
        </is>
      </c>
      <c r="P2" s="122" t="inlineStr">
        <is>
          <t>Zc</t>
        </is>
      </c>
      <c r="Q2" s="122" t="inlineStr">
        <is>
          <t>αPR(Tr; ω)*</t>
        </is>
      </c>
      <c r="R2" s="122" t="inlineStr">
        <is>
          <t>β</t>
        </is>
      </c>
      <c r="S2" s="122" t="inlineStr">
        <is>
          <t>q​</t>
        </is>
      </c>
      <c r="T2" s="122" t="inlineStr">
        <is>
          <t>Z</t>
        </is>
      </c>
      <c r="U2" s="122" t="inlineStr">
        <is>
          <t>Zres</t>
        </is>
      </c>
      <c r="V2" s="122" t="inlineStr">
        <is>
          <t>ρ</t>
        </is>
      </c>
      <c r="W2" s="122" t="inlineStr">
        <is>
          <t>mass (kg)</t>
        </is>
      </c>
      <c r="X2" s="41" t="inlineStr">
        <is>
          <t>%wt</t>
        </is>
      </c>
    </row>
    <row r="3" ht="15" customHeight="1">
      <c r="A3" s="40" t="inlineStr">
        <is>
          <t>Ethylene Purity</t>
        </is>
      </c>
      <c r="B3" s="40" t="inlineStr">
        <is>
          <t>Volume%</t>
        </is>
      </c>
      <c r="C3" s="40">
        <f>1-SUM(C4:C6)</f>
        <v>0.999485</v>
      </c>
      <c r="D3" s="40" t="n">
        <v>303.15</v>
      </c>
      <c r="E3" s="40" t="n">
        <v>36.3</v>
      </c>
      <c r="F3" s="40" t="n">
        <v>28.054</v>
      </c>
      <c r="G3" s="40" t="n">
        <v>0.08699999999999999</v>
      </c>
      <c r="H3" s="40" t="n">
        <v>282.3</v>
      </c>
      <c r="I3" s="40" t="n">
        <v>50.4</v>
      </c>
      <c r="J3" s="40">
        <f>D3/H3</f>
        <v>1.073857598299681</v>
      </c>
      <c r="K3" s="40">
        <f>E3/I3</f>
        <v>0.7202380952380952</v>
      </c>
      <c r="L3" s="40">
        <f>1+SQRT(2)</f>
        <v>2.414213562373095</v>
      </c>
      <c r="M3" s="40">
        <f>1-SQRT(2)</f>
        <v>-0.41421356237309515</v>
      </c>
      <c r="N3" s="40" t="n">
        <v>0.07779999999999999</v>
      </c>
      <c r="O3" s="40" t="n">
        <v>0.45724</v>
      </c>
      <c r="P3" s="40" t="n">
        <v>0.3074</v>
      </c>
      <c r="Q3" s="40">
        <f>(1+(0.37464+1.54226*G3-0.26992*G3^2)*(1-SQRT(J3)))^2</f>
        <v>0.96357549162608</v>
      </c>
      <c r="R3" s="40">
        <f>N3*K3/J3</f>
        <v>0.05218059070238685</v>
      </c>
      <c r="S3" s="40">
        <f>O3*Q3/(N3*J3)</f>
        <v>5.273557308688507</v>
      </c>
      <c r="T3" s="40" t="n">
        <v>0.751912921448937</v>
      </c>
      <c r="U3" s="40">
        <f>T3-(R3+(T3+M3*R3)*(T3+L3*R3)*((1+R3-T3)/(S3*R3)))</f>
        <v>0.00015497478231418782</v>
      </c>
      <c r="V3" s="40">
        <f>E3*100*F3/(T3*8.314*D3)</f>
        <v>53.73611649581689</v>
      </c>
      <c r="W3" s="40">
        <f>V3*C3</f>
        <v>53.70844239582154</v>
      </c>
      <c r="X3" s="42">
        <f>W3/$W$7</f>
        <v>0.9997510491011944</v>
      </c>
    </row>
    <row r="4" ht="15" customHeight="1">
      <c r="A4" s="40" t="inlineStr">
        <is>
          <t>Methane</t>
        </is>
      </c>
      <c r="B4" s="40" t="inlineStr">
        <is>
          <t>Volume%</t>
        </is>
      </c>
      <c r="C4" s="40">
        <f>500/1000000*1</f>
        <v>0.0005</v>
      </c>
      <c r="D4" s="40" t="n">
        <v>303.15</v>
      </c>
      <c r="E4" s="40" t="n">
        <v>36.3</v>
      </c>
      <c r="F4" s="40" t="n">
        <v>16.043</v>
      </c>
      <c r="G4" s="40" t="n">
        <v>0.012</v>
      </c>
      <c r="H4" s="40" t="n">
        <v>190.6</v>
      </c>
      <c r="I4" s="40" t="n">
        <v>45.99</v>
      </c>
      <c r="J4" s="40">
        <f>D4/H4</f>
        <v>1.5905036726128017</v>
      </c>
      <c r="K4" s="40">
        <f>E4/I4</f>
        <v>0.7893020221787345</v>
      </c>
      <c r="L4" s="40">
        <f>1+SQRT(2)</f>
        <v>2.414213562373095</v>
      </c>
      <c r="M4" s="40">
        <f>1-SQRT(2)</f>
        <v>-0.41421356237309515</v>
      </c>
      <c r="N4" s="40" t="n">
        <v>0.07779999999999999</v>
      </c>
      <c r="O4" s="40" t="n">
        <v>0.45724</v>
      </c>
      <c r="P4" s="40" t="n">
        <v>0.3074</v>
      </c>
      <c r="Q4" s="40">
        <f>(1+(0.37464+1.54226*G4-0.26992*G4^2)*(1-SQRT(J4)))^2</f>
        <v>0.8052174642249151</v>
      </c>
      <c r="R4" s="40">
        <f>N4*K4/J4</f>
        <v>0.038608962923441716</v>
      </c>
      <c r="S4" s="40">
        <f>O4*Q4/(N4*J4)</f>
        <v>2.9753847207162565</v>
      </c>
      <c r="T4" s="40" t="n">
        <v>0.929029278721176</v>
      </c>
      <c r="U4" s="40">
        <f>T4-(R4+(T4+M4*R4)*(T4+L4*R4)*((1+R4-T4)/(S4*R4)))</f>
        <v>0.00011328207075200769</v>
      </c>
      <c r="V4" s="40">
        <f>E4*100*F4/(T4*8.314*D4)</f>
        <v>24.871112652601578</v>
      </c>
      <c r="W4" s="40">
        <f>V4*C4</f>
        <v>0.012435556326300789</v>
      </c>
      <c r="X4" s="42">
        <f>W4/$W$7</f>
        <v>0.00023148056299512868</v>
      </c>
    </row>
    <row r="5" ht="15" customHeight="1">
      <c r="A5" s="40" t="inlineStr">
        <is>
          <t>Ethane</t>
        </is>
      </c>
      <c r="B5" s="40" t="inlineStr">
        <is>
          <t>Volume%</t>
        </is>
      </c>
      <c r="C5" s="40">
        <f>10/1000000</f>
        <v>1e-05</v>
      </c>
      <c r="D5" s="40" t="n">
        <v>303.15</v>
      </c>
      <c r="E5" s="40" t="n">
        <v>36.3</v>
      </c>
      <c r="F5" s="40" t="n">
        <v>30.07</v>
      </c>
      <c r="G5" s="40" t="n">
        <v>0.1</v>
      </c>
      <c r="H5" s="40" t="n">
        <v>305.3</v>
      </c>
      <c r="I5" s="40" t="n">
        <v>48.72</v>
      </c>
      <c r="J5" s="40">
        <f>D5/H5</f>
        <v>0.9929577464788731</v>
      </c>
      <c r="K5" s="40">
        <f>E5/I5</f>
        <v>0.7450738916256158</v>
      </c>
      <c r="L5" s="40">
        <f>1+SQRT(2)</f>
        <v>2.414213562373095</v>
      </c>
      <c r="M5" s="40">
        <f>1-SQRT(2)</f>
        <v>-0.41421356237309515</v>
      </c>
      <c r="N5" s="40" t="n">
        <v>0.07779999999999999</v>
      </c>
      <c r="O5" s="40" t="n">
        <v>0.45724</v>
      </c>
      <c r="P5" s="40" t="n">
        <v>0.3074</v>
      </c>
      <c r="Q5" s="40">
        <f>(1+(0.37464+1.54226*G5-0.26992*G5^2)*(1-SQRT(J5)))^2</f>
        <v>1.0037153913005536</v>
      </c>
      <c r="R5" s="40">
        <f>N5*K5/J5</f>
        <v>0.058377860461866334</v>
      </c>
      <c r="S5" s="40">
        <f>O5*Q5/(N5*J5)</f>
        <v>5.940793198015795</v>
      </c>
      <c r="T5" s="40" t="n">
        <v>0.638182137823723</v>
      </c>
      <c r="U5" s="40">
        <f>T5-(R5+(T5+M5*R5)*(T5+L5*R5)*((1+R5-T5)/(S5*R5)))</f>
        <v>0.00019954088420903737</v>
      </c>
      <c r="V5" s="40">
        <f>E5*100*F5/(T5*8.314*D5)</f>
        <v>67.86218142546501</v>
      </c>
      <c r="W5" s="40">
        <f>V5*C5</f>
        <v>0.0006786218142546502</v>
      </c>
      <c r="X5" s="42">
        <f>W5/$W$7</f>
        <v>1.2632145720107967e-05</v>
      </c>
    </row>
    <row r="6" ht="15" customHeight="1">
      <c r="A6" s="40" t="inlineStr">
        <is>
          <t>Acetylene</t>
        </is>
      </c>
      <c r="B6" s="40" t="inlineStr">
        <is>
          <t>Volume%</t>
        </is>
      </c>
      <c r="C6" s="40">
        <f>5/1000000</f>
        <v>5e-06</v>
      </c>
      <c r="D6" s="40" t="n">
        <v>303.15</v>
      </c>
      <c r="E6" s="40" t="n">
        <v>36.3</v>
      </c>
      <c r="F6" s="40" t="n">
        <v>26.038</v>
      </c>
      <c r="G6" s="40" t="n">
        <v>0.187</v>
      </c>
      <c r="H6" s="40" t="n">
        <v>308.3</v>
      </c>
      <c r="I6" s="40" t="n">
        <v>61.39</v>
      </c>
      <c r="J6" s="40">
        <f>D6/H6</f>
        <v>0.983295491404476</v>
      </c>
      <c r="K6" s="40">
        <f>E6/I6</f>
        <v>0.5913015149047075</v>
      </c>
      <c r="L6" s="40">
        <f>1+SQRT(2)</f>
        <v>2.414213562373095</v>
      </c>
      <c r="M6" s="40">
        <f>1-SQRT(2)</f>
        <v>-0.41421356237309515</v>
      </c>
      <c r="N6" s="40" t="n">
        <v>0.07779999999999999</v>
      </c>
      <c r="O6" s="40" t="n">
        <v>0.45724</v>
      </c>
      <c r="P6" s="40" t="n">
        <v>0.3074</v>
      </c>
      <c r="Q6" s="40">
        <f>(1+(0.37464+1.54226*G6-0.26992*G6^2)*(1-SQRT(J6)))^2</f>
        <v>1.0109941633637936</v>
      </c>
      <c r="R6" s="40">
        <f>N6*K6/J6</f>
        <v>0.04678477452782596</v>
      </c>
      <c r="S6" s="40">
        <f>O6*Q6/(N6*J6)</f>
        <v>6.042674761549019</v>
      </c>
      <c r="T6" s="40" t="n">
        <v>0.721411469410568</v>
      </c>
      <c r="U6" s="40">
        <f>T6-(R6+(T6+M6*R6)*(T6+L6*R6)*((1+R6-T6)/(S6*R6)))</f>
        <v>0.0004731019358690247</v>
      </c>
      <c r="V6" s="40">
        <f>E6*100*F6/(T6*8.314*D6)</f>
        <v>51.983272035494785</v>
      </c>
      <c r="W6" s="40">
        <f>V6*C6</f>
        <v>0.00025991636017747396</v>
      </c>
      <c r="X6" s="42">
        <f>W6/$W$7</f>
        <v>4.8381900903201335e-06</v>
      </c>
    </row>
    <row r="7" ht="15" customHeight="1">
      <c r="A7" s="122" t="inlineStr">
        <is>
          <t>Total Mass</t>
        </is>
      </c>
      <c r="B7" s="170" t="n"/>
      <c r="C7" s="170" t="n"/>
      <c r="D7" s="170" t="n"/>
      <c r="E7" s="170" t="n"/>
      <c r="F7" s="170" t="n"/>
      <c r="G7" s="170" t="n"/>
      <c r="H7" s="170" t="n"/>
      <c r="I7" s="170" t="n"/>
      <c r="J7" s="170" t="n"/>
      <c r="K7" s="170" t="n"/>
      <c r="L7" s="170" t="n"/>
      <c r="M7" s="170" t="n"/>
      <c r="N7" s="170" t="n"/>
      <c r="O7" s="170" t="n"/>
      <c r="P7" s="170" t="n"/>
      <c r="Q7" s="170" t="n"/>
      <c r="R7" s="170" t="n"/>
      <c r="S7" s="170" t="n"/>
      <c r="T7" s="170" t="n"/>
      <c r="U7" s="170" t="n"/>
      <c r="V7" s="168" t="n"/>
      <c r="W7" s="40">
        <f>SUM(W3:W6)</f>
        <v>53.721816490322276</v>
      </c>
      <c r="X7" s="42">
        <f>SUM(X3:X6)</f>
        <v>1.0</v>
      </c>
    </row>
    <row r="8" ht="15.75" customHeight="1"/>
  </sheetData>
  <mergeCells count="1">
    <mergeCell ref="A7:V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zoomScaleNormal="100" workbookViewId="0">
      <selection activeCell="A1" sqref="A1:D1"/>
    </sheetView>
  </sheetViews>
  <sheetFormatPr baseColWidth="8" defaultColWidth="8.7109375" defaultRowHeight="15"/>
  <cols>
    <col width="5" customWidth="1" min="1" max="1"/>
    <col width="24" customWidth="1" min="2" max="2"/>
    <col width="10" customWidth="1" min="3" max="3"/>
    <col width="15" customWidth="1" min="4" max="4"/>
  </cols>
  <sheetData>
    <row r="1" ht="15" customHeight="1">
      <c r="A1" s="123" t="inlineStr">
        <is>
          <t>Data Berat Molekul Komponen</t>
        </is>
      </c>
      <c r="B1" s="162" t="n"/>
      <c r="C1" s="162" t="n"/>
      <c r="D1" s="163" t="n"/>
    </row>
    <row r="2" ht="15" customHeight="1">
      <c r="A2" s="123" t="inlineStr">
        <is>
          <t>No</t>
        </is>
      </c>
      <c r="B2" s="123" t="inlineStr">
        <is>
          <t>Komponen</t>
        </is>
      </c>
      <c r="C2" s="123" t="inlineStr">
        <is>
          <t>Kode</t>
        </is>
      </c>
      <c r="D2" s="123" t="inlineStr">
        <is>
          <t>BM (kg/kmol)</t>
        </is>
      </c>
    </row>
    <row r="3" ht="15" customHeight="1">
      <c r="A3" s="1" t="n">
        <v>1</v>
      </c>
      <c r="B3" s="1" t="inlineStr">
        <is>
          <t>Ethylene Purity</t>
        </is>
      </c>
      <c r="C3" s="1" t="inlineStr">
        <is>
          <t>C2H4</t>
        </is>
      </c>
      <c r="D3" s="1" t="n">
        <v>28.054</v>
      </c>
    </row>
    <row r="4" ht="15" customHeight="1">
      <c r="A4" s="1" t="n">
        <v>2</v>
      </c>
      <c r="B4" s="1" t="inlineStr">
        <is>
          <t>Methane</t>
        </is>
      </c>
      <c r="C4" s="1" t="inlineStr">
        <is>
          <t>CH4</t>
        </is>
      </c>
      <c r="D4" s="1" t="n">
        <v>16.043</v>
      </c>
    </row>
    <row r="5" ht="15" customHeight="1">
      <c r="A5" s="1" t="n">
        <v>3</v>
      </c>
      <c r="B5" s="1" t="inlineStr">
        <is>
          <t>Ethane</t>
        </is>
      </c>
      <c r="C5" s="1" t="inlineStr">
        <is>
          <t>C2H6</t>
        </is>
      </c>
      <c r="D5" s="1" t="n">
        <v>30.07</v>
      </c>
    </row>
    <row r="6" ht="15" customHeight="1">
      <c r="A6" s="1" t="n">
        <v>4</v>
      </c>
      <c r="B6" s="1" t="inlineStr">
        <is>
          <t>Acetylene</t>
        </is>
      </c>
      <c r="C6" s="1" t="inlineStr">
        <is>
          <t>C2H2</t>
        </is>
      </c>
      <c r="D6" s="1" t="n">
        <v>26.038</v>
      </c>
    </row>
    <row r="7" ht="15" customHeight="1">
      <c r="A7" s="1" t="n">
        <v>5</v>
      </c>
      <c r="B7" s="1" t="inlineStr">
        <is>
          <t>Chlorine</t>
        </is>
      </c>
      <c r="C7" s="1" t="inlineStr">
        <is>
          <t>Cl2</t>
        </is>
      </c>
      <c r="D7" s="1" t="n">
        <v>70.905</v>
      </c>
    </row>
    <row r="8" ht="15" customHeight="1">
      <c r="A8" s="1" t="n">
        <v>6</v>
      </c>
      <c r="B8" s="1" t="inlineStr">
        <is>
          <t>CₙHₘ</t>
        </is>
      </c>
      <c r="C8" s="1" t="inlineStr">
        <is>
          <t>CnHm</t>
        </is>
      </c>
      <c r="D8" s="1" t="n">
        <v>16.043</v>
      </c>
    </row>
    <row r="9" ht="15" customHeight="1">
      <c r="A9" s="1" t="n">
        <v>7</v>
      </c>
      <c r="B9" s="1" t="inlineStr">
        <is>
          <t>Water</t>
        </is>
      </c>
      <c r="C9" s="1" t="inlineStr">
        <is>
          <t>H2O</t>
        </is>
      </c>
      <c r="D9" s="1" t="n">
        <v>18.015</v>
      </c>
    </row>
    <row r="10" ht="26.25" customHeight="1">
      <c r="A10" s="1" t="n">
        <v>8</v>
      </c>
      <c r="B10" s="1" t="inlineStr">
        <is>
          <t>CₓHᵧCl</t>
        </is>
      </c>
      <c r="C10" s="1" t="inlineStr">
        <is>
          <t>CxHyCl</t>
        </is>
      </c>
      <c r="D10" s="1" t="n">
        <v>50.488</v>
      </c>
    </row>
    <row r="11" ht="15" customHeight="1">
      <c r="A11" s="1" t="n">
        <v>9</v>
      </c>
      <c r="B11" s="1" t="inlineStr">
        <is>
          <t>Bromine</t>
        </is>
      </c>
      <c r="C11" s="1" t="inlineStr">
        <is>
          <t>Br2</t>
        </is>
      </c>
      <c r="D11" s="1" t="n">
        <v>159.808</v>
      </c>
    </row>
    <row r="12" ht="15" customHeight="1">
      <c r="A12" s="1" t="n">
        <v>10</v>
      </c>
      <c r="B12" s="1" t="inlineStr">
        <is>
          <t>Nitrogen trichloride</t>
        </is>
      </c>
      <c r="C12" s="1" t="inlineStr">
        <is>
          <t>NCl3</t>
        </is>
      </c>
      <c r="D12" s="1" t="n">
        <v>120.365</v>
      </c>
    </row>
    <row r="13" ht="15" customHeight="1">
      <c r="A13" s="1" t="n">
        <v>11</v>
      </c>
      <c r="B13" s="1" t="inlineStr">
        <is>
          <t>Hydrogen</t>
        </is>
      </c>
      <c r="C13" s="1" t="inlineStr">
        <is>
          <t>H2</t>
        </is>
      </c>
      <c r="D13" s="1" t="n">
        <v>2.016</v>
      </c>
    </row>
    <row r="14" ht="15" customHeight="1">
      <c r="A14" s="1" t="n">
        <v>12</v>
      </c>
      <c r="B14" s="1" t="inlineStr">
        <is>
          <t>Oxygen</t>
        </is>
      </c>
      <c r="C14" s="1" t="inlineStr">
        <is>
          <t>O2</t>
        </is>
      </c>
      <c r="D14" s="1" t="n">
        <v>31.999</v>
      </c>
    </row>
    <row r="15" ht="15" customHeight="1">
      <c r="A15" s="1" t="n">
        <v>13</v>
      </c>
      <c r="B15" s="1" t="inlineStr">
        <is>
          <t>Nitrogen</t>
        </is>
      </c>
      <c r="C15" s="1" t="inlineStr">
        <is>
          <t>N2</t>
        </is>
      </c>
      <c r="D15" s="1" t="n">
        <v>28.014</v>
      </c>
    </row>
    <row r="16" ht="15" customHeight="1">
      <c r="A16" s="1" t="n">
        <v>14</v>
      </c>
      <c r="B16" s="1" t="inlineStr">
        <is>
          <t>Carbon dioxide</t>
        </is>
      </c>
      <c r="C16" s="1" t="inlineStr">
        <is>
          <t>CO2</t>
        </is>
      </c>
      <c r="D16" s="1" t="n">
        <v>44.01</v>
      </c>
    </row>
    <row r="17" ht="15" customHeight="1">
      <c r="A17" s="1" t="n">
        <v>15</v>
      </c>
      <c r="B17" s="1" t="inlineStr">
        <is>
          <t>EDC</t>
        </is>
      </c>
      <c r="C17" s="1" t="inlineStr">
        <is>
          <t>EDC</t>
        </is>
      </c>
      <c r="D17" s="1" t="n">
        <v>98.959</v>
      </c>
    </row>
    <row r="18" ht="15" customHeight="1">
      <c r="A18" s="1" t="n">
        <v>16</v>
      </c>
      <c r="B18" s="1" t="inlineStr">
        <is>
          <t>TCE</t>
        </is>
      </c>
      <c r="C18" s="1" t="inlineStr">
        <is>
          <t>TCE</t>
        </is>
      </c>
      <c r="D18" s="1" t="n">
        <v>133.403</v>
      </c>
    </row>
    <row r="19" ht="15" customHeight="1">
      <c r="A19" s="1" t="n">
        <v>17</v>
      </c>
      <c r="B19" s="1" t="inlineStr">
        <is>
          <t>HCl</t>
        </is>
      </c>
      <c r="C19" s="1" t="inlineStr">
        <is>
          <t>HCl</t>
        </is>
      </c>
      <c r="D19" s="1" t="n">
        <v>36.461</v>
      </c>
    </row>
    <row r="20" ht="15" customHeight="1">
      <c r="A20" s="1" t="n">
        <v>18</v>
      </c>
      <c r="B20" s="1" t="inlineStr">
        <is>
          <t>FeCl₃</t>
        </is>
      </c>
      <c r="C20" s="1" t="inlineStr">
        <is>
          <t>FeCl3</t>
        </is>
      </c>
      <c r="D20" s="1" t="n">
        <v>162.204</v>
      </c>
    </row>
    <row r="21" ht="26.25" customHeight="1">
      <c r="A21" s="1" t="n">
        <v>19</v>
      </c>
      <c r="B21" s="1" t="inlineStr">
        <is>
          <t>Ethyl chloride</t>
        </is>
      </c>
      <c r="C21" s="1" t="inlineStr">
        <is>
          <t>C2H5Cl</t>
        </is>
      </c>
      <c r="D21" s="1" t="n">
        <v>64.515</v>
      </c>
    </row>
    <row r="22" ht="15" customHeight="1">
      <c r="A22" s="1" t="n">
        <v>20</v>
      </c>
      <c r="B22" s="1" t="inlineStr">
        <is>
          <t>VCM</t>
        </is>
      </c>
      <c r="C22" s="1" t="inlineStr">
        <is>
          <t>VCM</t>
        </is>
      </c>
      <c r="D22" s="1" t="n">
        <v>62.498</v>
      </c>
    </row>
    <row r="23" ht="26.25" customHeight="1">
      <c r="A23" s="1" t="n">
        <v>21</v>
      </c>
      <c r="B23" s="1" t="inlineStr">
        <is>
          <t>Fraksi berat (C₄H₈Cl₂)</t>
        </is>
      </c>
      <c r="C23" s="1" t="inlineStr">
        <is>
          <t>HVY</t>
        </is>
      </c>
      <c r="D23" s="1" t="n">
        <v>127.013</v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0"/>
  <sheetViews>
    <sheetView showGridLines="0" tabSelected="0" zoomScaleNormal="100" workbookViewId="0">
      <pane xSplit="3" ySplit="5" topLeftCell="U11" activePane="bottomRight" state="frozen"/>
      <selection pane="bottomRight" activeCell="V5" sqref="V5"/>
      <selection pane="bottomLeft" activeCell="A6" sqref="A6"/>
      <selection pane="topRight" activeCell="D1" sqref="D1"/>
    </sheetView>
  </sheetViews>
  <sheetFormatPr baseColWidth="8" defaultColWidth="8.7109375" defaultRowHeight="15"/>
  <cols>
    <col width="5" customWidth="1" min="1" max="1"/>
    <col width="8" customWidth="1" min="2" max="2"/>
    <col width="17" customWidth="1" min="3" max="3"/>
    <col width="12.42578125" customWidth="1" min="4" max="19"/>
    <col width="14" customWidth="1" min="20" max="24"/>
    <col width="90" customWidth="1" min="25" max="25"/>
  </cols>
  <sheetData>
    <row r="1" ht="15" customHeight="1">
      <c r="A1" s="123" t="inlineStr">
        <is>
          <t>Data Termodinamika Komponen (metode panas pembentukan, reference state: unsur pada 25 °C, 1 atm)</t>
        </is>
      </c>
      <c r="B1" s="162" t="n"/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3" t="n"/>
    </row>
    <row r="2">
      <c r="A2" s="125" t="inlineStr">
        <is>
          <t>Cp gas = A + BT + CT² + DT³ + ET⁴; Cp cair = A + BT + CT² + DT³; Cp padat = A + BT + CT² (J/(mol·K) = kJ/(kmol·K), T dalam K). ΔHvap = A(1 − T/Tc)ⁿ (kJ/mol). Sumber: Yaws, C.L. (1999) Chemical Properties Handbook, McGraw-Hill.</t>
        </is>
      </c>
    </row>
    <row r="4" ht="26.85" customHeight="1">
      <c r="E4" s="123" t="inlineStr">
        <is>
          <t>Cp gas ideal (Tabel 2-1 / 2-2)</t>
        </is>
      </c>
      <c r="F4" s="162" t="n"/>
      <c r="G4" s="162" t="n"/>
      <c r="H4" s="162" t="n"/>
      <c r="I4" s="163" t="n"/>
      <c r="J4" s="123" t="inlineStr">
        <is>
          <t>Cp cair (Tabel 3-1 / 3-2)</t>
        </is>
      </c>
      <c r="K4" s="162" t="n"/>
      <c r="L4" s="162" t="n"/>
      <c r="M4" s="163" t="n"/>
      <c r="N4" s="123" t="inlineStr">
        <is>
          <t>Cp padat (Tabel 4-2)</t>
        </is>
      </c>
      <c r="O4" s="162" t="n"/>
      <c r="P4" s="163" t="n"/>
      <c r="Q4" s="123" t="inlineStr">
        <is>
          <t>ΔHvap (Tabel 5-1 / 5-2)</t>
        </is>
      </c>
      <c r="R4" s="162" t="n"/>
      <c r="S4" s="163" t="n"/>
      <c r="T4" s="123" t="inlineStr">
        <is>
          <t>Pembentukan (Tabel 12-1 / 12-2)</t>
        </is>
      </c>
      <c r="U4" s="163" t="n"/>
      <c r="V4" s="123" t="inlineStr">
        <is>
          <t>Entalpi</t>
        </is>
      </c>
      <c r="W4" s="162" t="n"/>
      <c r="X4" s="163" t="n"/>
    </row>
    <row r="5" ht="30.75" customHeight="1">
      <c r="A5" s="123" t="inlineStr">
        <is>
          <t>No</t>
        </is>
      </c>
      <c r="B5" s="123" t="inlineStr">
        <is>
          <t>Kode</t>
        </is>
      </c>
      <c r="C5" s="123" t="inlineStr">
        <is>
          <t>Komponen</t>
        </is>
      </c>
      <c r="D5" s="123" t="inlineStr">
        <is>
          <t>BM</t>
        </is>
      </c>
      <c r="E5" s="123" t="inlineStr">
        <is>
          <t>A</t>
        </is>
      </c>
      <c r="F5" s="123" t="inlineStr">
        <is>
          <t>B</t>
        </is>
      </c>
      <c r="G5" s="123" t="inlineStr">
        <is>
          <t>C</t>
        </is>
      </c>
      <c r="H5" s="123" t="inlineStr">
        <is>
          <t>D</t>
        </is>
      </c>
      <c r="I5" s="123" t="inlineStr">
        <is>
          <t>E</t>
        </is>
      </c>
      <c r="J5" s="123" t="inlineStr">
        <is>
          <t>A</t>
        </is>
      </c>
      <c r="K5" s="123" t="inlineStr">
        <is>
          <t>B</t>
        </is>
      </c>
      <c r="L5" s="123" t="inlineStr">
        <is>
          <t>C</t>
        </is>
      </c>
      <c r="M5" s="123" t="inlineStr">
        <is>
          <t>D</t>
        </is>
      </c>
      <c r="N5" s="123" t="inlineStr">
        <is>
          <t>A</t>
        </is>
      </c>
      <c r="O5" s="123" t="inlineStr">
        <is>
          <t>B</t>
        </is>
      </c>
      <c r="P5" s="123" t="inlineStr">
        <is>
          <t>C</t>
        </is>
      </c>
      <c r="Q5" s="123" t="inlineStr">
        <is>
          <t>A (kJ/mol)</t>
        </is>
      </c>
      <c r="R5" s="123" t="inlineStr">
        <is>
          <t>Tc (K)</t>
        </is>
      </c>
      <c r="S5" s="123" t="inlineStr">
        <is>
          <t>n</t>
        </is>
      </c>
      <c r="T5" s="123" t="inlineStr">
        <is>
          <t>ΔHf° 298 (kJ/mol)</t>
        </is>
      </c>
      <c r="U5" s="123" t="inlineStr">
        <is>
          <t>Fase ΔHf°</t>
        </is>
      </c>
      <c r="V5" s="123" t="inlineStr">
        <is>
          <t>ΔHvap 298 K (kJ/kmol)</t>
        </is>
      </c>
      <c r="W5" s="88" t="inlineStr">
        <is>
          <t>Ĥ° gas 298 K (kJ/kmol)</t>
        </is>
      </c>
      <c r="X5" s="102" t="inlineStr">
        <is>
          <t>Ĥ° cair 298 K (kJ/kmol)</t>
        </is>
      </c>
      <c r="Y5" s="26" t="n"/>
    </row>
    <row r="6">
      <c r="A6" s="1" t="n">
        <v>1</v>
      </c>
      <c r="B6" s="1" t="inlineStr">
        <is>
          <t>C2H4</t>
        </is>
      </c>
      <c r="C6" s="1" t="inlineStr">
        <is>
          <t>C₂H₄</t>
        </is>
      </c>
      <c r="D6" s="22">
        <f>'Data Komponen'!$D$3</f>
        <v>28.054</v>
      </c>
      <c r="E6" s="22" t="n">
        <v>32.083</v>
      </c>
      <c r="F6" s="22" t="n">
        <v>-0.014831</v>
      </c>
      <c r="G6" s="23" t="n">
        <v>0.00024774</v>
      </c>
      <c r="H6" s="23" t="n">
        <v>-2.3766e-07</v>
      </c>
      <c r="I6" s="23" t="n">
        <v>6.8274e-11</v>
      </c>
      <c r="J6" s="22" t="inlineStr">
        <is>
          <t>-</t>
        </is>
      </c>
      <c r="K6" s="22" t="inlineStr">
        <is>
          <t>-</t>
        </is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n">
        <v>19.986</v>
      </c>
      <c r="R6" s="22" t="n">
        <v>282.36</v>
      </c>
      <c r="S6" s="22" t="n">
        <v>0.431</v>
      </c>
      <c r="T6" s="24" t="n">
        <v>52.3</v>
      </c>
      <c r="U6" s="1" t="inlineStr">
        <is>
          <t>gas</t>
        </is>
      </c>
      <c r="V6" s="25">
        <f>Q6*1000*MAX(0,1-298.15/R6)^S6</f>
        <v>0.0</v>
      </c>
      <c r="W6" s="89">
        <f>T6*1000</f>
        <v>52300.0</v>
      </c>
      <c r="X6" s="91" t="inlineStr">
        <is>
          <t>-</t>
        </is>
      </c>
      <c r="Y6" s="125" t="n"/>
    </row>
    <row r="7">
      <c r="A7" s="1" t="n">
        <v>2</v>
      </c>
      <c r="B7" s="1" t="inlineStr">
        <is>
          <t>CH4</t>
        </is>
      </c>
      <c r="C7" s="1" t="inlineStr">
        <is>
          <t>CH₄</t>
        </is>
      </c>
      <c r="D7" s="22">
        <f>'Data Komponen'!$D$4</f>
        <v>16.043</v>
      </c>
      <c r="E7" s="22" t="n">
        <v>34.942</v>
      </c>
      <c r="F7" s="22" t="n">
        <v>-0.039957</v>
      </c>
      <c r="G7" s="23" t="n">
        <v>0.00019184</v>
      </c>
      <c r="H7" s="23" t="n">
        <v>-1.5303e-07</v>
      </c>
      <c r="I7" s="23" t="n">
        <v>3.9321e-11</v>
      </c>
      <c r="J7" s="22" t="inlineStr">
        <is>
          <t>-</t>
        </is>
      </c>
      <c r="K7" s="22" t="inlineStr">
        <is>
          <t>-</t>
        </is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n">
        <v>10.312</v>
      </c>
      <c r="R7" s="22" t="n">
        <v>190.58</v>
      </c>
      <c r="S7" s="22" t="n">
        <v>0.265</v>
      </c>
      <c r="T7" s="24" t="n">
        <v>-74.84999999999999</v>
      </c>
      <c r="U7" s="1" t="inlineStr">
        <is>
          <t>gas</t>
        </is>
      </c>
      <c r="V7" s="25">
        <f>Q7*1000*MAX(0,1-298.15/R7)^S7</f>
        <v>0.0</v>
      </c>
      <c r="W7" s="89">
        <f>T7*1000</f>
        <v>-74850.0</v>
      </c>
      <c r="X7" s="91" t="inlineStr">
        <is>
          <t>-</t>
        </is>
      </c>
      <c r="Y7" s="125" t="n"/>
    </row>
    <row r="8">
      <c r="A8" s="1" t="n">
        <v>3</v>
      </c>
      <c r="B8" s="1" t="inlineStr">
        <is>
          <t>C2H6</t>
        </is>
      </c>
      <c r="C8" s="1" t="inlineStr">
        <is>
          <t>C₂H₆</t>
        </is>
      </c>
      <c r="D8" s="22">
        <f>'Data Komponen'!$D$5</f>
        <v>30.07</v>
      </c>
      <c r="E8" s="22" t="n">
        <v>28.146</v>
      </c>
      <c r="F8" s="22" t="n">
        <v>0.043447</v>
      </c>
      <c r="G8" s="23" t="n">
        <v>0.00018946</v>
      </c>
      <c r="H8" s="23" t="n">
        <v>-1.9082e-07</v>
      </c>
      <c r="I8" s="23" t="n">
        <v>5.3349e-11</v>
      </c>
      <c r="J8" s="22" t="inlineStr">
        <is>
          <t>-</t>
        </is>
      </c>
      <c r="K8" s="22" t="inlineStr">
        <is>
          <t>-</t>
        </is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4" t="n">
        <v>-84.68000000000001</v>
      </c>
      <c r="U8" s="1" t="inlineStr">
        <is>
          <t>gas</t>
        </is>
      </c>
      <c r="V8" s="1" t="inlineStr">
        <is>
          <t>-</t>
        </is>
      </c>
      <c r="W8" s="89">
        <f>T8*1000</f>
        <v>-84680.0</v>
      </c>
      <c r="X8" s="91" t="inlineStr">
        <is>
          <t>-</t>
        </is>
      </c>
      <c r="Y8" s="125" t="n"/>
    </row>
    <row r="9">
      <c r="A9" s="1" t="n">
        <v>4</v>
      </c>
      <c r="B9" s="1" t="inlineStr">
        <is>
          <t>C2H2</t>
        </is>
      </c>
      <c r="C9" s="1" t="inlineStr">
        <is>
          <t>C₂H₂</t>
        </is>
      </c>
      <c r="D9" s="22">
        <f>'Data Komponen'!$D$6</f>
        <v>26.038</v>
      </c>
      <c r="E9" s="22" t="n">
        <v>19.36</v>
      </c>
      <c r="F9" s="22" t="n">
        <v>0.11519</v>
      </c>
      <c r="G9" s="23" t="n">
        <v>-0.00012374</v>
      </c>
      <c r="H9" s="23" t="n">
        <v>7.237000000000001e-08</v>
      </c>
      <c r="I9" s="23" t="n">
        <v>-1.659e-11</v>
      </c>
      <c r="J9" s="22" t="inlineStr">
        <is>
          <t>-</t>
        </is>
      </c>
      <c r="K9" s="22" t="inlineStr">
        <is>
          <t>-</t>
        </is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2" t="inlineStr">
        <is>
          <t>-</t>
        </is>
      </c>
      <c r="S9" s="22" t="inlineStr">
        <is>
          <t>-</t>
        </is>
      </c>
      <c r="T9" s="24" t="n">
        <v>226.73</v>
      </c>
      <c r="U9" s="1" t="inlineStr">
        <is>
          <t>gas</t>
        </is>
      </c>
      <c r="V9" s="1" t="inlineStr">
        <is>
          <t>-</t>
        </is>
      </c>
      <c r="W9" s="89">
        <f>T9*1000</f>
        <v>226730.0</v>
      </c>
      <c r="X9" s="91" t="inlineStr">
        <is>
          <t>-</t>
        </is>
      </c>
      <c r="Y9" s="125" t="n"/>
    </row>
    <row r="10">
      <c r="A10" s="1" t="n">
        <v>5</v>
      </c>
      <c r="B10" s="1" t="inlineStr">
        <is>
          <t>Cl2</t>
        </is>
      </c>
      <c r="C10" s="1" t="inlineStr">
        <is>
          <t>Cl₂</t>
        </is>
      </c>
      <c r="D10" s="22">
        <f>'Data Komponen'!$D$7</f>
        <v>70.905</v>
      </c>
      <c r="E10" s="22" t="n">
        <v>27.213</v>
      </c>
      <c r="F10" s="22" t="n">
        <v>0.030426</v>
      </c>
      <c r="G10" s="23" t="n">
        <v>-3.3353e-05</v>
      </c>
      <c r="H10" s="23" t="n">
        <v>1.5961e-08</v>
      </c>
      <c r="I10" s="23" t="n">
        <v>-2.7021e-12</v>
      </c>
      <c r="J10" s="22" t="n">
        <v>127.601</v>
      </c>
      <c r="K10" s="22" t="n">
        <v>-0.60215</v>
      </c>
      <c r="L10" s="23" t="n">
        <v>0.0015776</v>
      </c>
      <c r="M10" s="23" t="n">
        <v>-5.3099e-07</v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n">
        <v>28.56</v>
      </c>
      <c r="R10" s="22" t="n">
        <v>417.15</v>
      </c>
      <c r="S10" s="22" t="n">
        <v>0.401</v>
      </c>
      <c r="T10" s="24" t="n">
        <v>0</v>
      </c>
      <c r="U10" s="1" t="inlineStr">
        <is>
          <t>gas</t>
        </is>
      </c>
      <c r="V10" s="25">
        <f>Q10*1000*MAX(0,1-298.15/R10)^S10</f>
        <v>17270.9148583032</v>
      </c>
      <c r="W10" s="89">
        <f>T10*1000</f>
        <v>0.0</v>
      </c>
      <c r="X10" s="91">
        <f>T10*1000-V10</f>
        <v>-17270.9148583032</v>
      </c>
      <c r="Y10" s="125" t="n"/>
    </row>
    <row r="11">
      <c r="A11" s="1" t="n">
        <v>6</v>
      </c>
      <c r="B11" s="1" t="inlineStr">
        <is>
          <t>CnHm</t>
        </is>
      </c>
      <c r="C11" s="1" t="inlineStr">
        <is>
          <t>CₙHₘ</t>
        </is>
      </c>
      <c r="D11" s="22">
        <f>'Data Komponen'!$D$8</f>
        <v>16.043</v>
      </c>
      <c r="E11" s="22" t="n">
        <v>34.942</v>
      </c>
      <c r="F11" s="22" t="n">
        <v>-0.039957</v>
      </c>
      <c r="G11" s="23" t="n">
        <v>0.00019184</v>
      </c>
      <c r="H11" s="23" t="n">
        <v>-1.5303e-07</v>
      </c>
      <c r="I11" s="23" t="n">
        <v>3.9321e-11</v>
      </c>
      <c r="J11" s="22" t="inlineStr">
        <is>
          <t>-</t>
        </is>
      </c>
      <c r="K11" s="22" t="inlineStr">
        <is>
          <t>-</t>
        </is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n">
        <v>10.312</v>
      </c>
      <c r="R11" s="22" t="n">
        <v>190.58</v>
      </c>
      <c r="S11" s="22" t="n">
        <v>0.265</v>
      </c>
      <c r="T11" s="24" t="n">
        <v>-74.84999999999999</v>
      </c>
      <c r="U11" s="1" t="inlineStr">
        <is>
          <t>gas</t>
        </is>
      </c>
      <c r="V11" s="25">
        <f>Q11*1000*MAX(0,1-298.15/R11)^S11</f>
        <v>0.0</v>
      </c>
      <c r="W11" s="89">
        <f>T11*1000</f>
        <v>-74850.0</v>
      </c>
      <c r="X11" s="91" t="inlineStr">
        <is>
          <t>-</t>
        </is>
      </c>
      <c r="Y11" s="125" t="n"/>
    </row>
    <row r="12">
      <c r="A12" s="1" t="n">
        <v>7</v>
      </c>
      <c r="B12" s="1" t="inlineStr">
        <is>
          <t>H2O</t>
        </is>
      </c>
      <c r="C12" s="1" t="inlineStr">
        <is>
          <t>H₂O</t>
        </is>
      </c>
      <c r="D12" s="22">
        <f>'Data Komponen'!$D$9</f>
        <v>18.015</v>
      </c>
      <c r="E12" s="22" t="n">
        <v>33.933</v>
      </c>
      <c r="F12" s="23" t="n">
        <v>-0.0084186</v>
      </c>
      <c r="G12" s="23" t="n">
        <v>2.9906e-05</v>
      </c>
      <c r="H12" s="23" t="n">
        <v>-1.7825e-08</v>
      </c>
      <c r="I12" s="23" t="n">
        <v>3.6934e-12</v>
      </c>
      <c r="J12" s="22" t="n">
        <v>92.053</v>
      </c>
      <c r="K12" s="22" t="n">
        <v>-0.039953</v>
      </c>
      <c r="L12" s="23" t="n">
        <v>-0.00021103</v>
      </c>
      <c r="M12" s="23" t="n">
        <v>5.3469e-07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n">
        <v>52.053</v>
      </c>
      <c r="R12" s="22" t="n">
        <v>647.13</v>
      </c>
      <c r="S12" s="22" t="n">
        <v>0.321</v>
      </c>
      <c r="T12" s="24" t="n">
        <v>-241.8</v>
      </c>
      <c r="U12" s="1" t="inlineStr">
        <is>
          <t>gas</t>
        </is>
      </c>
      <c r="V12" s="25">
        <f>Q12*1000*MAX(0,1-298.15/R12)^S12</f>
        <v>42692.9785367323</v>
      </c>
      <c r="W12" s="89">
        <f>T12*1000</f>
        <v>-241800.0</v>
      </c>
      <c r="X12" s="91">
        <f>T12*1000-V12</f>
        <v>-284492.9785367323</v>
      </c>
      <c r="Y12" s="125" t="n"/>
    </row>
    <row r="13">
      <c r="A13" s="1" t="n">
        <v>8</v>
      </c>
      <c r="B13" s="1" t="inlineStr">
        <is>
          <t>CxHyCl</t>
        </is>
      </c>
      <c r="C13" s="1" t="inlineStr">
        <is>
          <t>CₓHᵧCl</t>
        </is>
      </c>
      <c r="D13" s="22">
        <f>'Data Komponen'!$D$10</f>
        <v>50.488</v>
      </c>
      <c r="E13" s="22" t="n">
        <v>27.385</v>
      </c>
      <c r="F13" s="22" t="n">
        <v>0.026036</v>
      </c>
      <c r="G13" s="23" t="n">
        <v>0.0001032</v>
      </c>
      <c r="H13" s="23" t="n">
        <v>-1.0887e-07</v>
      </c>
      <c r="I13" s="23" t="n">
        <v>3.1642e-11</v>
      </c>
      <c r="J13" s="22" t="inlineStr">
        <is>
          <t>-</t>
        </is>
      </c>
      <c r="K13" s="22" t="inlineStr">
        <is>
          <t>-</t>
        </is>
      </c>
      <c r="L13" s="22" t="inlineStr">
        <is>
          <t>-</t>
        </is>
      </c>
      <c r="M13" s="22" t="inlineStr">
        <is>
          <t>-</t>
        </is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n">
        <v>32.534</v>
      </c>
      <c r="R13" s="22" t="n">
        <v>416.25</v>
      </c>
      <c r="S13" s="22" t="n">
        <v>0.452</v>
      </c>
      <c r="T13" s="24" t="n">
        <v>-86.31999999999999</v>
      </c>
      <c r="U13" s="1" t="inlineStr">
        <is>
          <t>gas</t>
        </is>
      </c>
      <c r="V13" s="25">
        <f>Q13*1000*MAX(0,1-298.15/R13)^S13</f>
        <v>18409.682417757118</v>
      </c>
      <c r="W13" s="89">
        <f>T13*1000</f>
        <v>-86320.0</v>
      </c>
      <c r="X13" s="91" t="inlineStr">
        <is>
          <t>-</t>
        </is>
      </c>
      <c r="Y13" s="125" t="n"/>
    </row>
    <row r="14">
      <c r="A14" s="1" t="n">
        <v>9</v>
      </c>
      <c r="B14" s="1" t="inlineStr">
        <is>
          <t>Br2</t>
        </is>
      </c>
      <c r="C14" s="1" t="inlineStr">
        <is>
          <t>Br₂</t>
        </is>
      </c>
      <c r="D14" s="22">
        <f>'Data Komponen'!$D$11</f>
        <v>159.808</v>
      </c>
      <c r="E14" s="22" t="n">
        <v>27.169</v>
      </c>
      <c r="F14" s="22" t="n">
        <v>0.049172</v>
      </c>
      <c r="G14" s="23" t="n">
        <v>-8.5027e-05</v>
      </c>
      <c r="H14" s="23" t="n">
        <v>6.2796e-08</v>
      </c>
      <c r="I14" s="23" t="n">
        <v>-1.6556e-11</v>
      </c>
      <c r="J14" s="22" t="n">
        <v>165.688</v>
      </c>
      <c r="K14" s="22" t="n">
        <v>-0.65579</v>
      </c>
      <c r="L14" s="23" t="n">
        <v>0.0013794</v>
      </c>
      <c r="M14" s="23" t="n">
        <v>-6.0832e-07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n">
        <v>41.279</v>
      </c>
      <c r="R14" s="22" t="n">
        <v>584.15</v>
      </c>
      <c r="S14" s="22" t="n">
        <v>0.38</v>
      </c>
      <c r="T14" s="24" t="n">
        <v>30.9</v>
      </c>
      <c r="U14" s="1" t="inlineStr">
        <is>
          <t>gas</t>
        </is>
      </c>
      <c r="V14" s="25">
        <f>Q14*1000*MAX(0,1-298.15/R14)^S14</f>
        <v>31467.989427893815</v>
      </c>
      <c r="W14" s="89">
        <f>T14*1000</f>
        <v>30900.0</v>
      </c>
      <c r="X14" s="91">
        <f>T14*1000-V14</f>
        <v>-567.9894278938154</v>
      </c>
      <c r="Y14" s="125" t="n"/>
    </row>
    <row r="15">
      <c r="A15" s="1" t="n">
        <v>10</v>
      </c>
      <c r="B15" s="1" t="inlineStr">
        <is>
          <t>NCl3</t>
        </is>
      </c>
      <c r="C15" s="1" t="inlineStr">
        <is>
          <t>NCl₃</t>
        </is>
      </c>
      <c r="D15" s="22">
        <f>'Data Komponen'!$D$12</f>
        <v>120.365</v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n">
        <v>192.643</v>
      </c>
      <c r="K15" s="22" t="n">
        <v>-0.61039</v>
      </c>
      <c r="L15" s="23" t="n">
        <v>0.0010601</v>
      </c>
      <c r="M15" s="23" t="n">
        <v>-6.3674e-08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n">
        <v>43.544</v>
      </c>
      <c r="R15" s="22" t="n">
        <v>564</v>
      </c>
      <c r="S15" s="22" t="n">
        <v>0.38</v>
      </c>
      <c r="T15" s="24" t="n">
        <v>230</v>
      </c>
      <c r="U15" s="1" t="inlineStr">
        <is>
          <t>cair</t>
        </is>
      </c>
      <c r="V15" s="25">
        <f>Q15*1000*MAX(0,1-298.15/R15)^S15</f>
        <v>32719.31435988557</v>
      </c>
      <c r="W15" s="89">
        <f>T15*1000+V15</f>
        <v>262719.3143598856</v>
      </c>
      <c r="X15" s="91">
        <f>T15*1000</f>
        <v>230000.0</v>
      </c>
      <c r="Y15" s="125" t="n"/>
    </row>
    <row r="16">
      <c r="A16" s="1" t="n">
        <v>11</v>
      </c>
      <c r="B16" s="1" t="inlineStr">
        <is>
          <t>H2</t>
        </is>
      </c>
      <c r="C16" s="1" t="inlineStr">
        <is>
          <t>H₂</t>
        </is>
      </c>
      <c r="D16" s="22">
        <f>'Data Komponen'!$D$13</f>
        <v>2.016</v>
      </c>
      <c r="E16" s="22" t="n">
        <v>25.399</v>
      </c>
      <c r="F16" s="22" t="n">
        <v>0.020178</v>
      </c>
      <c r="G16" s="23" t="n">
        <v>-3.8549e-05</v>
      </c>
      <c r="H16" s="23" t="n">
        <v>3.188e-08</v>
      </c>
      <c r="I16" s="23" t="n">
        <v>-8.758500000000001e-12</v>
      </c>
      <c r="J16" s="22" t="inlineStr">
        <is>
          <t>-</t>
        </is>
      </c>
      <c r="K16" s="22" t="inlineStr">
        <is>
          <t>-</t>
        </is>
      </c>
      <c r="L16" s="22" t="inlineStr">
        <is>
          <t>-</t>
        </is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4" t="n">
        <v>0</v>
      </c>
      <c r="U16" s="1" t="inlineStr">
        <is>
          <t>gas</t>
        </is>
      </c>
      <c r="V16" s="1" t="inlineStr">
        <is>
          <t>-</t>
        </is>
      </c>
      <c r="W16" s="89">
        <f>T16*1000</f>
        <v>0.0</v>
      </c>
      <c r="X16" s="91" t="inlineStr">
        <is>
          <t>-</t>
        </is>
      </c>
      <c r="Y16" s="125" t="n"/>
    </row>
    <row r="17">
      <c r="A17" s="1" t="n">
        <v>12</v>
      </c>
      <c r="B17" s="1" t="inlineStr">
        <is>
          <t>O2</t>
        </is>
      </c>
      <c r="C17" s="1" t="inlineStr">
        <is>
          <t>O₂</t>
        </is>
      </c>
      <c r="D17" s="22">
        <f>'Data Komponen'!$D$14</f>
        <v>31.999</v>
      </c>
      <c r="E17" s="22" t="n">
        <v>29.526</v>
      </c>
      <c r="F17" s="23" t="n">
        <v>-0.008899900000000001</v>
      </c>
      <c r="G17" s="23" t="n">
        <v>3.8083e-05</v>
      </c>
      <c r="H17" s="23" t="n">
        <v>-3.2629e-08</v>
      </c>
      <c r="I17" s="23" t="n">
        <v>8.860700000000001e-12</v>
      </c>
      <c r="J17" s="22" t="inlineStr">
        <is>
          <t>-</t>
        </is>
      </c>
      <c r="K17" s="22" t="inlineStr">
        <is>
          <t>-</t>
        </is>
      </c>
      <c r="L17" s="22" t="inlineStr">
        <is>
          <t>-</t>
        </is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4" t="n">
        <v>0</v>
      </c>
      <c r="U17" s="1" t="inlineStr">
        <is>
          <t>gas</t>
        </is>
      </c>
      <c r="V17" s="1" t="inlineStr">
        <is>
          <t>-</t>
        </is>
      </c>
      <c r="W17" s="89">
        <f>T17*1000</f>
        <v>0.0</v>
      </c>
      <c r="X17" s="91" t="inlineStr">
        <is>
          <t>-</t>
        </is>
      </c>
      <c r="Y17" s="125" t="n"/>
    </row>
    <row r="18">
      <c r="A18" s="1" t="n">
        <v>13</v>
      </c>
      <c r="B18" s="1" t="inlineStr">
        <is>
          <t>N2</t>
        </is>
      </c>
      <c r="C18" s="1" t="inlineStr">
        <is>
          <t>N₂</t>
        </is>
      </c>
      <c r="D18" s="22">
        <f>'Data Komponen'!$D$15</f>
        <v>28.014</v>
      </c>
      <c r="E18" s="22" t="n">
        <v>29.342</v>
      </c>
      <c r="F18" s="23" t="n">
        <v>-0.0035395</v>
      </c>
      <c r="G18" s="23" t="n">
        <v>1.0076e-05</v>
      </c>
      <c r="H18" s="23" t="n">
        <v>-4.3116e-09</v>
      </c>
      <c r="I18" s="23" t="n">
        <v>2.5935e-13</v>
      </c>
      <c r="J18" s="22" t="inlineStr">
        <is>
          <t>-</t>
        </is>
      </c>
      <c r="K18" s="22" t="inlineStr">
        <is>
          <t>-</t>
        </is>
      </c>
      <c r="L18" s="22" t="inlineStr">
        <is>
          <t>-</t>
        </is>
      </c>
      <c r="M18" s="22" t="inlineStr">
        <is>
          <t>-</t>
        </is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4" t="n">
        <v>0</v>
      </c>
      <c r="U18" s="1" t="inlineStr">
        <is>
          <t>gas</t>
        </is>
      </c>
      <c r="V18" s="1" t="inlineStr">
        <is>
          <t>-</t>
        </is>
      </c>
      <c r="W18" s="89">
        <f>T18*1000</f>
        <v>0.0</v>
      </c>
      <c r="X18" s="91" t="inlineStr">
        <is>
          <t>-</t>
        </is>
      </c>
      <c r="Y18" s="125" t="n"/>
    </row>
    <row r="19">
      <c r="A19" s="1" t="n">
        <v>14</v>
      </c>
      <c r="B19" s="1" t="inlineStr">
        <is>
          <t>CO2</t>
        </is>
      </c>
      <c r="C19" s="1" t="inlineStr">
        <is>
          <t>CO₂</t>
        </is>
      </c>
      <c r="D19" s="22">
        <f>'Data Komponen'!$D$16</f>
        <v>44.01</v>
      </c>
      <c r="E19" s="22" t="n">
        <v>27.437</v>
      </c>
      <c r="F19" s="22" t="n">
        <v>0.042315</v>
      </c>
      <c r="G19" s="23" t="n">
        <v>-1.9555e-05</v>
      </c>
      <c r="H19" s="23" t="n">
        <v>3.9968e-09</v>
      </c>
      <c r="I19" s="23" t="n">
        <v>-2.9872e-13</v>
      </c>
      <c r="J19" s="22" t="inlineStr">
        <is>
          <t>-</t>
        </is>
      </c>
      <c r="K19" s="22" t="inlineStr">
        <is>
          <t>-</t>
        </is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4" t="n">
        <v>-393.5</v>
      </c>
      <c r="U19" s="1" t="inlineStr">
        <is>
          <t>gas</t>
        </is>
      </c>
      <c r="V19" s="1" t="inlineStr">
        <is>
          <t>-</t>
        </is>
      </c>
      <c r="W19" s="89">
        <f>T19*1000</f>
        <v>-393500.0</v>
      </c>
      <c r="X19" s="91" t="inlineStr">
        <is>
          <t>-</t>
        </is>
      </c>
      <c r="Y19" s="125" t="n"/>
    </row>
    <row r="20">
      <c r="A20" s="1" t="n">
        <v>15</v>
      </c>
      <c r="B20" s="1" t="inlineStr">
        <is>
          <t>EDC</t>
        </is>
      </c>
      <c r="C20" s="1" t="inlineStr">
        <is>
          <t>EDC</t>
        </is>
      </c>
      <c r="D20" s="22">
        <f>'Data Komponen'!$D$17</f>
        <v>98.959</v>
      </c>
      <c r="E20" s="22" t="n">
        <v>37.275</v>
      </c>
      <c r="F20" s="22" t="n">
        <v>0.14362</v>
      </c>
      <c r="G20" s="23" t="n">
        <v>1.0378e-05</v>
      </c>
      <c r="H20" s="23" t="n">
        <v>-7.8305e-08</v>
      </c>
      <c r="I20" s="23" t="n">
        <v>2.8872e-11</v>
      </c>
      <c r="J20" s="22" t="n">
        <v>26.31</v>
      </c>
      <c r="K20" s="22" t="n">
        <v>0.77555</v>
      </c>
      <c r="L20" s="23" t="n">
        <v>-0.0022271</v>
      </c>
      <c r="M20" s="23" t="n">
        <v>2.6109e-06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n">
        <v>45.426</v>
      </c>
      <c r="R20" s="22" t="n">
        <v>561</v>
      </c>
      <c r="S20" s="22" t="n">
        <v>0.342</v>
      </c>
      <c r="T20" s="24" t="n">
        <v>-129.7</v>
      </c>
      <c r="U20" s="1" t="inlineStr">
        <is>
          <t>gas</t>
        </is>
      </c>
      <c r="V20" s="25">
        <f>Q20*1000*MAX(0,1-298.15/R20)^S20</f>
        <v>35050.9124161137</v>
      </c>
      <c r="W20" s="89">
        <f>T20*1000</f>
        <v>-129699.99999999999</v>
      </c>
      <c r="X20" s="91">
        <f>T20*1000-V20</f>
        <v>-164750.9124161137</v>
      </c>
      <c r="Y20" s="125" t="n"/>
    </row>
    <row r="21">
      <c r="A21" s="1" t="n">
        <v>16</v>
      </c>
      <c r="B21" s="1" t="inlineStr">
        <is>
          <t>TCE</t>
        </is>
      </c>
      <c r="C21" s="1" t="inlineStr">
        <is>
          <t>TCE</t>
        </is>
      </c>
      <c r="D21" s="22">
        <f>'Data Komponen'!$D$18</f>
        <v>133.403</v>
      </c>
      <c r="E21" s="22" t="n">
        <v>28.881</v>
      </c>
      <c r="F21" s="22" t="n">
        <v>0.24893</v>
      </c>
      <c r="G21" s="23" t="n">
        <v>-0.00017639</v>
      </c>
      <c r="H21" s="23" t="n">
        <v>5.2632e-08</v>
      </c>
      <c r="I21" s="23" t="n">
        <v>-3.5668e-12</v>
      </c>
      <c r="J21" s="22" t="n">
        <v>34.934</v>
      </c>
      <c r="K21" s="22" t="n">
        <v>0.85054</v>
      </c>
      <c r="L21" s="23" t="n">
        <v>-0.0023306</v>
      </c>
      <c r="M21" s="23" t="n">
        <v>2.6455e-06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n">
        <v>46.865</v>
      </c>
      <c r="R21" s="22" t="n">
        <v>602</v>
      </c>
      <c r="S21" s="22" t="n">
        <v>0.294</v>
      </c>
      <c r="T21" s="24" t="n">
        <v>-138.49</v>
      </c>
      <c r="U21" s="1" t="inlineStr">
        <is>
          <t>gas</t>
        </is>
      </c>
      <c r="V21" s="25">
        <f>Q21*1000*MAX(0,1-298.15/R21)^S21</f>
        <v>38330.90469481247</v>
      </c>
      <c r="W21" s="89">
        <f>T21*1000</f>
        <v>-138490.0</v>
      </c>
      <c r="X21" s="91">
        <f>T21*1000-V21</f>
        <v>-176820.90469481246</v>
      </c>
      <c r="Y21" s="125" t="n"/>
    </row>
    <row r="22">
      <c r="A22" s="1" t="n">
        <v>17</v>
      </c>
      <c r="B22" s="1" t="inlineStr">
        <is>
          <t>HCl</t>
        </is>
      </c>
      <c r="C22" s="1" t="inlineStr">
        <is>
          <t>HCl</t>
        </is>
      </c>
      <c r="D22" s="22">
        <f>'Data Komponen'!$D$19</f>
        <v>36.461</v>
      </c>
      <c r="E22" s="22" t="n">
        <v>29.244</v>
      </c>
      <c r="F22" s="23" t="n">
        <v>-0.0012615</v>
      </c>
      <c r="G22" s="23" t="n">
        <v>1.121e-06</v>
      </c>
      <c r="H22" s="23" t="n">
        <v>4.9676e-09</v>
      </c>
      <c r="I22" s="23" t="n">
        <v>-2.4963e-12</v>
      </c>
      <c r="J22" s="22" t="n">
        <v>73.99299999999999</v>
      </c>
      <c r="K22" s="22" t="n">
        <v>-0.12946</v>
      </c>
      <c r="L22" s="23" t="n">
        <v>-7.898000000000001e-05</v>
      </c>
      <c r="M22" s="23" t="n">
        <v>2.6409e-06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n">
        <v>30.54</v>
      </c>
      <c r="R22" s="22" t="n">
        <v>324.65</v>
      </c>
      <c r="S22" s="22" t="n">
        <v>0.647</v>
      </c>
      <c r="T22" s="24" t="n">
        <v>-92.3</v>
      </c>
      <c r="U22" s="1" t="inlineStr">
        <is>
          <t>gas</t>
        </is>
      </c>
      <c r="V22" s="25">
        <f>Q22*1000*MAX(0,1-298.15/R22)^S22</f>
        <v>6037.030148482469</v>
      </c>
      <c r="W22" s="89">
        <f>T22*1000</f>
        <v>-92300.0</v>
      </c>
      <c r="X22" s="91">
        <f>T22*1000-V22</f>
        <v>-98337.03014848247</v>
      </c>
      <c r="Y22" s="125" t="n"/>
    </row>
    <row r="23">
      <c r="A23" s="1" t="n">
        <v>18</v>
      </c>
      <c r="B23" s="1" t="inlineStr">
        <is>
          <t>FeCl3</t>
        </is>
      </c>
      <c r="C23" s="1" t="inlineStr">
        <is>
          <t>FeCl₃</t>
        </is>
      </c>
      <c r="D23" s="22">
        <f>'Data Komponen'!$D$20</f>
        <v>162.204</v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22" t="inlineStr">
        <is>
          <t>-</t>
        </is>
      </c>
      <c r="M23" s="22" t="inlineStr">
        <is>
          <t>-</t>
        </is>
      </c>
      <c r="N23" s="22" t="n">
        <v>35.813</v>
      </c>
      <c r="O23" s="22" t="n">
        <v>0.26813</v>
      </c>
      <c r="P23" s="23" t="n">
        <v>-0.00020735</v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4" t="n">
        <v>-399.5</v>
      </c>
      <c r="U23" s="1" t="inlineStr">
        <is>
          <t>padat</t>
        </is>
      </c>
      <c r="V23" s="1" t="inlineStr">
        <is>
          <t>-</t>
        </is>
      </c>
      <c r="W23" s="90" t="inlineStr">
        <is>
          <t>-</t>
        </is>
      </c>
      <c r="X23" s="106" t="inlineStr">
        <is>
          <t>-</t>
        </is>
      </c>
      <c r="Y23" s="125" t="n"/>
    </row>
    <row r="24">
      <c r="A24" s="1" t="n">
        <v>19</v>
      </c>
      <c r="B24" s="1" t="inlineStr">
        <is>
          <t>C2H5Cl</t>
        </is>
      </c>
      <c r="C24" s="1" t="inlineStr">
        <is>
          <t>C₂H₅Cl</t>
        </is>
      </c>
      <c r="D24" s="22">
        <f>'Data Komponen'!$D$21</f>
        <v>64.515</v>
      </c>
      <c r="E24" s="22" t="n">
        <v>35.946</v>
      </c>
      <c r="F24" s="22" t="n">
        <v>0.052294</v>
      </c>
      <c r="G24" s="23" t="n">
        <v>0.00020321</v>
      </c>
      <c r="H24" s="23" t="n">
        <v>-2.2795e-07</v>
      </c>
      <c r="I24" s="23" t="n">
        <v>6.9123e-11</v>
      </c>
      <c r="J24" s="22" t="n">
        <v>60.18</v>
      </c>
      <c r="K24" s="22" t="n">
        <v>0.34553</v>
      </c>
      <c r="L24" s="23" t="n">
        <v>-0.0012983</v>
      </c>
      <c r="M24" s="23" t="n">
        <v>2.1963e-06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n">
        <v>35.233</v>
      </c>
      <c r="R24" s="22" t="n">
        <v>460.35</v>
      </c>
      <c r="S24" s="22" t="n">
        <v>0.365</v>
      </c>
      <c r="T24" s="24" t="n">
        <v>-111.71</v>
      </c>
      <c r="U24" s="1" t="inlineStr">
        <is>
          <t>gas</t>
        </is>
      </c>
      <c r="V24" s="25">
        <f>Q24*1000*MAX(0,1-298.15/R24)^S24</f>
        <v>24076.370075056806</v>
      </c>
      <c r="W24" s="89">
        <f>T24*1000</f>
        <v>-111710.0</v>
      </c>
      <c r="X24" s="91">
        <f>T24*1000-V24</f>
        <v>-135786.3700750568</v>
      </c>
      <c r="Y24" s="125" t="n"/>
    </row>
    <row r="25">
      <c r="A25" s="1" t="n">
        <v>20</v>
      </c>
      <c r="B25" s="1" t="inlineStr">
        <is>
          <t>VCM</t>
        </is>
      </c>
      <c r="C25" s="1" t="inlineStr">
        <is>
          <t>VCM</t>
        </is>
      </c>
      <c r="D25" s="22">
        <f>'Data Komponen'!$D$22</f>
        <v>62.498</v>
      </c>
      <c r="E25" s="22" t="n">
        <v>17.193</v>
      </c>
      <c r="F25" s="22" t="n">
        <v>0.14564</v>
      </c>
      <c r="G25" s="23" t="n">
        <v>-6.4281e-05</v>
      </c>
      <c r="H25" s="23" t="n">
        <v>-3.2385e-09</v>
      </c>
      <c r="I25" s="23" t="n">
        <v>6.7882e-12</v>
      </c>
      <c r="J25" s="22" t="n">
        <v>45.366</v>
      </c>
      <c r="K25" s="22" t="n">
        <v>0.28792</v>
      </c>
      <c r="L25" s="23" t="n">
        <v>-0.0011535</v>
      </c>
      <c r="M25" s="23" t="n">
        <v>2.1636e-06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n">
        <v>35.586</v>
      </c>
      <c r="R25" s="22" t="n">
        <v>432</v>
      </c>
      <c r="S25" s="22" t="n">
        <v>0.483</v>
      </c>
      <c r="T25" s="24" t="n">
        <v>28.45</v>
      </c>
      <c r="U25" s="1" t="inlineStr">
        <is>
          <t>gas</t>
        </is>
      </c>
      <c r="V25" s="25">
        <f>Q25*1000*MAX(0,1-298.15/R25)^S25</f>
        <v>20206.784045411434</v>
      </c>
      <c r="W25" s="89">
        <f>T25*1000</f>
        <v>28450.0</v>
      </c>
      <c r="X25" s="91">
        <f>T25*1000-V25</f>
        <v>8243.215954588566</v>
      </c>
      <c r="Y25" s="125" t="n"/>
    </row>
    <row r="26">
      <c r="A26" s="1" t="n">
        <v>21</v>
      </c>
      <c r="B26" s="1" t="inlineStr">
        <is>
          <t>HVY</t>
        </is>
      </c>
      <c r="C26" s="1" t="inlineStr">
        <is>
          <t>C₄H₈Cl₂ (berat)</t>
        </is>
      </c>
      <c r="D26" s="22">
        <f>'Data Komponen'!$D$23</f>
        <v>127.013</v>
      </c>
      <c r="E26" s="22" t="n">
        <v>0.074</v>
      </c>
      <c r="F26" s="22" t="n">
        <v>0.51333</v>
      </c>
      <c r="G26" s="23" t="n">
        <v>-0.00043439</v>
      </c>
      <c r="H26" s="23" t="n">
        <v>2.0527e-07</v>
      </c>
      <c r="I26" s="23" t="n">
        <v>-4.1398e-11</v>
      </c>
      <c r="J26" s="22" t="n">
        <v>64.944</v>
      </c>
      <c r="K26" s="22" t="n">
        <v>0.83651</v>
      </c>
      <c r="L26" s="23" t="n">
        <v>-0.0021802</v>
      </c>
      <c r="M26" s="23" t="n">
        <v>2.4034e-06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n">
        <v>57.353</v>
      </c>
      <c r="R26" s="22" t="n">
        <v>641</v>
      </c>
      <c r="S26" s="22" t="n">
        <v>0.376</v>
      </c>
      <c r="T26" s="24" t="n">
        <v>-179</v>
      </c>
      <c r="U26" s="1" t="inlineStr">
        <is>
          <t>gas</t>
        </is>
      </c>
      <c r="V26" s="25">
        <f>Q26*1000*MAX(0,1-298.15/R26)^S26</f>
        <v>45329.056806282984</v>
      </c>
      <c r="W26" s="89">
        <f>T26*1000</f>
        <v>-179000.0</v>
      </c>
      <c r="X26" s="91">
        <f>T26*1000-V26</f>
        <v>-224329.05680628298</v>
      </c>
      <c r="Y26" s="125" t="n"/>
    </row>
    <row r="28" ht="64.90000000000001" customHeight="1">
      <c r="A28" s="26" t="inlineStr">
        <is>
          <t>Data tambahan</t>
        </is>
      </c>
    </row>
    <row r="29">
      <c r="C29" s="127" t="inlineStr">
        <is>
          <t>ΔHf° HCl(aq), pengenceran tak hingga (kJ/mol) = ΔHf° H⁺(aq) + ΔHf° Cl⁻(aq)</t>
        </is>
      </c>
      <c r="D29" s="171" t="n">
        <v>-167.08</v>
      </c>
      <c r="E29" s="125" t="n"/>
    </row>
    <row r="30">
      <c r="C30" s="127" t="inlineStr">
        <is>
          <t>Tc etilena (K)</t>
        </is>
      </c>
      <c r="D30" s="171" t="n">
        <v>282.36</v>
      </c>
      <c r="E30" s="125" t="n"/>
    </row>
    <row r="31">
      <c r="C31" s="127" t="inlineStr">
        <is>
          <t>Pc etilena (bar)</t>
        </is>
      </c>
      <c r="D31" s="171" t="n">
        <v>50.32</v>
      </c>
      <c r="E31" s="125" t="n"/>
    </row>
    <row r="32">
      <c r="C32" s="127" t="inlineStr">
        <is>
          <t>Faktor asentrik etilena ω</t>
        </is>
      </c>
      <c r="D32" s="171" t="n">
        <v>0.08500000000000001</v>
      </c>
      <c r="E32" s="125" t="n"/>
    </row>
    <row r="33">
      <c r="C33" s="127" t="inlineStr">
        <is>
          <t>Densitas cair EDC: A (g/mL)</t>
        </is>
      </c>
      <c r="D33" s="171" t="n">
        <v>0.46501</v>
      </c>
      <c r="E33" s="125" t="n"/>
    </row>
    <row r="34">
      <c r="C34" s="127" t="inlineStr">
        <is>
          <t>Densitas cair EDC: B</t>
        </is>
      </c>
      <c r="D34" s="171" t="n">
        <v>0.28742</v>
      </c>
      <c r="E34" s="125" t="n"/>
    </row>
    <row r="35">
      <c r="C35" s="127" t="inlineStr">
        <is>
          <t>Densitas cair EDC: n</t>
        </is>
      </c>
      <c r="D35" s="171" t="n">
        <v>0.31041</v>
      </c>
      <c r="E35" s="125" t="n"/>
    </row>
    <row r="36">
      <c r="C36" s="127" t="inlineStr">
        <is>
          <t>Densitas cair EDC: Tc (K)</t>
        </is>
      </c>
      <c r="D36" s="171" t="n">
        <v>561</v>
      </c>
      <c r="E36" s="125" t="n"/>
    </row>
    <row r="37">
      <c r="C37" s="127" t="inlineStr">
        <is>
          <t>Titik didih normal Cl₂ (K)</t>
        </is>
      </c>
      <c r="D37" s="171" t="n">
        <v>239.12</v>
      </c>
      <c r="E37" s="125" t="n"/>
    </row>
    <row r="38">
      <c r="C38" s="127" t="inlineStr">
        <is>
          <t>Titik didih normal HCl (K)</t>
        </is>
      </c>
      <c r="D38" s="171" t="n">
        <v>188.15</v>
      </c>
      <c r="E38" s="125" t="n"/>
    </row>
    <row r="39">
      <c r="C39" s="127" t="inlineStr">
        <is>
          <t>Titik didih normal EDC (K)</t>
        </is>
      </c>
      <c r="D39" s="171" t="n">
        <v>356.59</v>
      </c>
      <c r="E39" s="125" t="n"/>
    </row>
    <row r="40">
      <c r="C40" s="127" t="inlineStr">
        <is>
          <t>Konstanta gas R (kJ/(kmol·K))</t>
        </is>
      </c>
      <c r="D40" s="171" t="n">
        <v>8.314</v>
      </c>
      <c r="E40" s="125" t="n"/>
    </row>
    <row r="42">
      <c r="A42" s="125" t="inlineStr">
        <is>
          <t>Cara menghitung Ĥᵢ (kJ/kmol) di setiap aliran, reference state unsur pada 25 °C dan 1 atm:</t>
        </is>
      </c>
    </row>
    <row r="43">
      <c r="A43" s="125" t="inlineStr">
        <is>
          <t>Gas: Ĥ = Ĥ°gas,298 + ∫Cp,gas dT dari 298.15 K sampai T.</t>
        </is>
      </c>
    </row>
    <row r="44">
      <c r="A44" s="125" t="inlineStr">
        <is>
          <t>Cair: Ĥ = Ĥ°cair,298 + ∫Cp,cair dT, dengan Ĥ°cair,298 = ΔHf°gas − ΔHvap(298.15 K) (jalur: bentuk gas pada 25 °C, kondensasi pada 25 °C, lalu panaskan cairan).</t>
        </is>
      </c>
    </row>
    <row r="45">
      <c r="A45" s="125" t="inlineStr">
        <is>
          <t>Padat (FeCl₃): Ĥ = ΔHf°padat + ∫Cp,padat dT. FeCl₃ terlarut di EDC atau air memakai jalur padat; panas pelarutan diabaikan karena lajunya &lt; 0.03 kmol/h.</t>
        </is>
      </c>
    </row>
    <row r="46">
      <c r="A46" s="125" t="inlineStr">
        <is>
          <t>HCl terlarut dalam air asam: Ĥ = ΔHf°HCl(aq) + ∫Cp,gas dT (Cp gas dipakai sebagai pendekatan, suhu hanya 35 °C).</t>
        </is>
      </c>
    </row>
    <row r="47">
      <c r="A47" s="125" t="inlineStr">
        <is>
          <t>NCl₃ fase gas: Ĥ = ΔHf°cair + ∫Cp,cair dT + ΔHvap(T), karena Yaws tidak memberi Cp gas NCl₃.</t>
        </is>
      </c>
    </row>
    <row r="48">
      <c r="A48" s="125" t="inlineStr">
        <is>
          <t>Gas permanen yang terlarut dalam cairan (N₂, O₂, CO₂, H₂, CH₄, CₙHₘ, CₓHᵧCl di Cl₂ cair) dihitung sebagai gas; panas pelarutannya diabaikan.</t>
        </is>
      </c>
    </row>
    <row r="49">
      <c r="A49" s="125" t="inlineStr">
        <is>
          <t>CₙHₘ memakai data metana dan CₓHᵧCl memakai data metil klorida, sama dengan representasi di sheet Data Komponen. Fraksi berat memakai data 1,4-diklorobutana (C₄H₈Cl₂).</t>
        </is>
      </c>
    </row>
    <row r="50">
      <c r="A50" s="125" t="inlineStr">
        <is>
          <t>Batas berlaku persamaan Cp di Yaws: VCM cair 120 s.d. 389 K (aliran 49 pada 425 K memakai ekstrapolasi, VCM hanya 0.5 %-berat); HCl cair 165 s.d. 308 K (HCl cair di aliran 45 dan 47 &lt; 0.001 kmol/h).</t>
        </is>
      </c>
    </row>
  </sheetData>
  <mergeCells count="19">
    <mergeCell ref="E38:P38"/>
    <mergeCell ref="Q4:S4"/>
    <mergeCell ref="E31:P31"/>
    <mergeCell ref="E40:P40"/>
    <mergeCell ref="E30:P30"/>
    <mergeCell ref="E34:P34"/>
    <mergeCell ref="T4:U4"/>
    <mergeCell ref="E4:I4"/>
    <mergeCell ref="E29:P29"/>
    <mergeCell ref="E36:P36"/>
    <mergeCell ref="E32:P32"/>
    <mergeCell ref="A1:Y1"/>
    <mergeCell ref="E37:P37"/>
    <mergeCell ref="N4:P4"/>
    <mergeCell ref="E33:P33"/>
    <mergeCell ref="J4:M4"/>
    <mergeCell ref="E39:P39"/>
    <mergeCell ref="V4:X4"/>
    <mergeCell ref="E35:P3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U250"/>
  <sheetViews>
    <sheetView tabSelected="0" zoomScale="85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3">
      <c r="A3" s="172" t="inlineStr">
        <is>
          <t>Neraca Massa dan Energi</t>
        </is>
      </c>
    </row>
    <row r="4">
      <c r="A4" s="172" t="inlineStr">
        <is>
          <t>NM Blok 1: Klorinasi Langsung (R-01 + Kondensor Vent)</t>
        </is>
      </c>
    </row>
    <row r="5">
      <c r="A5" s="173" t="inlineStr">
        <is>
          <t>Tujuan:</t>
        </is>
      </c>
      <c r="B5" s="174" t="inlineStr">
        <is>
          <t>Mereaksikan etilena dan klorin menjadi EDC, lalu memisahkan gas vent dari EDC kasar cair</t>
        </is>
      </c>
    </row>
    <row r="6">
      <c r="A6" s="173" t="inlineStr">
        <is>
          <t>Unjuk Kerja</t>
        </is>
      </c>
      <c r="B6" s="175">
        <f>1-0.0001</f>
        <v>0.9999</v>
      </c>
      <c r="C6" s="174" t="inlineStr">
        <is>
          <t>Konversi Cl₂</t>
        </is>
      </c>
    </row>
    <row r="7">
      <c r="B7" s="176">
        <f>300/1000000</f>
        <v>0.0003</v>
      </c>
      <c r="C7" s="174" t="inlineStr">
        <is>
          <t>Kadar 1,1,2-trikloroetana dalam EDC produk (fraksi berat)</t>
        </is>
      </c>
    </row>
    <row r="8">
      <c r="B8" s="177" t="n">
        <v>1.004</v>
      </c>
      <c r="C8" s="174" t="inlineStr">
        <is>
          <t>Rasio mol umpan C₂H₄/Cl₂</t>
        </is>
      </c>
    </row>
    <row r="9">
      <c r="B9" s="176">
        <f>200/1000000</f>
        <v>0.0002</v>
      </c>
      <c r="C9" s="174" t="inlineStr">
        <is>
          <t>Kadar FeCl₃ terlarut dalam EDC (fraksi berat)</t>
        </is>
      </c>
    </row>
    <row r="10">
      <c r="B10" s="178">
        <f>1.08/1000</f>
        <v>0.00108</v>
      </c>
      <c r="C10" s="174" t="inlineStr">
        <is>
          <t>EDC terbawa gas vent R-01 (kg/kg EDC R-01 + R-02)</t>
        </is>
      </c>
    </row>
    <row r="11">
      <c r="B11" s="179" t="n">
        <v>11</v>
      </c>
      <c r="C11" s="174" t="inlineStr">
        <is>
          <t>Superheat minimum uap Cl₂ keluar E-101 (K)</t>
        </is>
      </c>
    </row>
    <row r="13">
      <c r="A13" s="173" t="inlineStr">
        <is>
          <t>Basis Perhitungan</t>
        </is>
      </c>
      <c r="B13" s="180" t="n">
        <v>200000</v>
      </c>
      <c r="C13" s="174" t="inlineStr">
        <is>
          <t>t/tahun kapasitas VCM produk</t>
        </is>
      </c>
    </row>
    <row r="14">
      <c r="B14" s="180" t="n">
        <v>7920</v>
      </c>
      <c r="C14" s="174" t="inlineStr">
        <is>
          <t>jam/tahun waktu operasi</t>
        </is>
      </c>
    </row>
    <row r="15">
      <c r="B15" s="181">
        <f>B13*1000/B14</f>
        <v>25252.52525252525</v>
      </c>
      <c r="C15" s="174" t="inlineStr">
        <is>
          <t>kg/h target VCM produk</t>
        </is>
      </c>
    </row>
    <row r="16">
      <c r="B16" s="181">
        <f>IFERROR(IF(OR(B16&lt;1,'NME-8 Kolom VCM'!G37&lt;=0),$B$15/4.14,B16*$B$15/'NME-8 Kolom VCM'!G37),$B$15/4.14)</f>
        <v>6100.572183061604</v>
      </c>
      <c r="C16" s="174" t="inlineStr">
        <is>
          <t>kg/h aliran etilena ke R-01 (dikoreksi iterasi sampai VCM produk = target)</t>
        </is>
      </c>
    </row>
    <row r="18">
      <c r="A18" s="182" t="inlineStr">
        <is>
          <t>Substance</t>
        </is>
      </c>
      <c r="B18" s="182" t="inlineStr">
        <is>
          <t>Inlet</t>
        </is>
      </c>
      <c r="C18" s="183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4" t="n"/>
      <c r="N18" s="182" t="inlineStr">
        <is>
          <t>Outlet</t>
        </is>
      </c>
      <c r="O18" s="183" t="n"/>
      <c r="P18" s="183" t="n"/>
      <c r="Q18" s="183" t="n"/>
      <c r="R18" s="183" t="n"/>
      <c r="S18" s="183" t="n"/>
      <c r="T18" s="183" t="n"/>
      <c r="U18" s="184" t="n"/>
    </row>
    <row r="19">
      <c r="A19" s="185" t="n"/>
      <c r="B19" s="182" t="inlineStr">
        <is>
          <t>Aliran 3</t>
        </is>
      </c>
      <c r="C19" s="183" t="n"/>
      <c r="D19" s="183" t="n"/>
      <c r="E19" s="184" t="n"/>
      <c r="F19" s="182" t="inlineStr">
        <is>
          <t>Aliran 8</t>
        </is>
      </c>
      <c r="G19" s="183" t="n"/>
      <c r="H19" s="183" t="n"/>
      <c r="I19" s="184" t="n"/>
      <c r="J19" s="182" t="inlineStr">
        <is>
          <t>Aliran 10</t>
        </is>
      </c>
      <c r="K19" s="183" t="n"/>
      <c r="L19" s="183" t="n"/>
      <c r="M19" s="184" t="n"/>
      <c r="N19" s="182" t="inlineStr">
        <is>
          <t>Aliran 14</t>
        </is>
      </c>
      <c r="O19" s="183" t="n"/>
      <c r="P19" s="183" t="n"/>
      <c r="Q19" s="184" t="n"/>
      <c r="R19" s="182" t="inlineStr">
        <is>
          <t>Aliran 13</t>
        </is>
      </c>
      <c r="S19" s="183" t="n"/>
      <c r="T19" s="183" t="n"/>
      <c r="U19" s="184" t="n"/>
    </row>
    <row r="20">
      <c r="A20" s="186" t="n"/>
      <c r="B20" s="187" t="inlineStr">
        <is>
          <t>ẋᵢ</t>
        </is>
      </c>
      <c r="C20" s="187" t="inlineStr">
        <is>
          <t>ṁᵢ (kg/h)</t>
        </is>
      </c>
      <c r="D20" s="187" t="inlineStr">
        <is>
          <t>ẏᵢ</t>
        </is>
      </c>
      <c r="E20" s="187" t="inlineStr">
        <is>
          <t>ṅᵢ (kmol/h)</t>
        </is>
      </c>
      <c r="F20" s="187" t="inlineStr">
        <is>
          <t>ẋᵢ</t>
        </is>
      </c>
      <c r="G20" s="187" t="inlineStr">
        <is>
          <t>ṁᵢ (kg/h)</t>
        </is>
      </c>
      <c r="H20" s="187" t="inlineStr">
        <is>
          <t>ẏᵢ</t>
        </is>
      </c>
      <c r="I20" s="187" t="inlineStr">
        <is>
          <t>ṅᵢ (kmol/h)</t>
        </is>
      </c>
      <c r="J20" s="187" t="inlineStr">
        <is>
          <t>ẋᵢ</t>
        </is>
      </c>
      <c r="K20" s="187" t="inlineStr">
        <is>
          <t>ṁᵢ (kg/h)</t>
        </is>
      </c>
      <c r="L20" s="187" t="inlineStr">
        <is>
          <t>ẏᵢ</t>
        </is>
      </c>
      <c r="M20" s="187" t="inlineStr">
        <is>
          <t>ṅᵢ (kmol/h)</t>
        </is>
      </c>
      <c r="N20" s="187" t="inlineStr">
        <is>
          <t>ẋᵢ</t>
        </is>
      </c>
      <c r="O20" s="187" t="inlineStr">
        <is>
          <t>ṁᵢ (kg/h)</t>
        </is>
      </c>
      <c r="P20" s="187" t="inlineStr">
        <is>
          <t>ẏᵢ</t>
        </is>
      </c>
      <c r="Q20" s="187" t="inlineStr">
        <is>
          <t>ṅᵢ (kmol/h)</t>
        </is>
      </c>
      <c r="R20" s="187" t="inlineStr">
        <is>
          <t>ẋᵢ</t>
        </is>
      </c>
      <c r="S20" s="187" t="inlineStr">
        <is>
          <t>ṁᵢ (kg/h)</t>
        </is>
      </c>
      <c r="T20" s="187" t="inlineStr">
        <is>
          <t>ẏᵢ</t>
        </is>
      </c>
      <c r="U20" s="187" t="inlineStr">
        <is>
          <t>ṅᵢ (kmol/h)</t>
        </is>
      </c>
    </row>
    <row r="21">
      <c r="A21" s="188" t="inlineStr">
        <is>
          <t>C₂H₄</t>
        </is>
      </c>
      <c r="B21" s="189">
        <f>C21/C$42</f>
        <v>0.0</v>
      </c>
      <c r="C21" s="190">
        <f>E21*'Data Komponen'!$D$3</f>
        <v>0.0</v>
      </c>
      <c r="D21" s="189">
        <f>E21/E$42</f>
        <v>0.0</v>
      </c>
      <c r="E21" s="191">
        <f>0</f>
        <v>0.0</v>
      </c>
      <c r="F21" s="189">
        <f>G21/G$42</f>
        <v>0.9997510491011944</v>
      </c>
      <c r="G21" s="190">
        <f>I21*'Data Komponen'!$D$3</f>
        <v>6099.053440133403</v>
      </c>
      <c r="H21" s="189">
        <f>I21/I$42</f>
        <v>0.9995782904805011</v>
      </c>
      <c r="I21" s="191">
        <f>$B$16*'T-102'!$X$3/'Data Komponen'!$D$3</f>
        <v>217.4040578931134</v>
      </c>
      <c r="J21" s="189">
        <f>K21/K$42</f>
        <v>0.0</v>
      </c>
      <c r="K21" s="190">
        <f>M21*'Data Komponen'!$D$3</f>
        <v>0.0</v>
      </c>
      <c r="L21" s="189">
        <f>M21/M$42</f>
        <v>0.0</v>
      </c>
      <c r="M21" s="191">
        <f>0</f>
        <v>0.0</v>
      </c>
      <c r="N21" s="189">
        <f>O21/O$42</f>
        <v>0.0</v>
      </c>
      <c r="O21" s="190">
        <f>Q21*'Data Komponen'!$D$3</f>
        <v>0.0</v>
      </c>
      <c r="P21" s="189">
        <f>Q21/Q$42</f>
        <v>0.0</v>
      </c>
      <c r="Q21" s="191">
        <f>0</f>
        <v>0.0</v>
      </c>
      <c r="R21" s="189">
        <f>S21/S$42</f>
        <v>0.26960249724269125</v>
      </c>
      <c r="S21" s="190">
        <f>U21*'Data Komponen'!$D$3</f>
        <v>26.25804664787654</v>
      </c>
      <c r="T21" s="189">
        <f>U21/U$42</f>
        <v>0.388794510258521</v>
      </c>
      <c r="U21" s="191">
        <f>I21-($B$6*E25-Q36)</f>
        <v>0.9359822716146198</v>
      </c>
    </row>
    <row r="22">
      <c r="A22" s="188" t="inlineStr">
        <is>
          <t>CH₄</t>
        </is>
      </c>
      <c r="B22" s="189">
        <f>C22/C$42</f>
        <v>0.0</v>
      </c>
      <c r="C22" s="190">
        <f>E22*'Data Komponen'!$D$4</f>
        <v>0.0</v>
      </c>
      <c r="D22" s="189">
        <f>E22/E$42</f>
        <v>0.0</v>
      </c>
      <c r="E22" s="191">
        <f>0</f>
        <v>0.0</v>
      </c>
      <c r="F22" s="189">
        <f>G22/G$42</f>
        <v>0.00023148056299512865</v>
      </c>
      <c r="G22" s="190">
        <f>I22*'Data Komponen'!$D$4</f>
        <v>1.4121638835275212</v>
      </c>
      <c r="H22" s="189">
        <f>I22/I$42</f>
        <v>0.00040471442673247</v>
      </c>
      <c r="I22" s="191">
        <f>$B$16*'T-102'!$X$4/'Data Komponen'!$D$4</f>
        <v>0.0880236790829347</v>
      </c>
      <c r="J22" s="189">
        <f>K22/K$42</f>
        <v>0.0</v>
      </c>
      <c r="K22" s="190">
        <f>M22*'Data Komponen'!$D$4</f>
        <v>0.0</v>
      </c>
      <c r="L22" s="189">
        <f>M22/M$42</f>
        <v>0.0</v>
      </c>
      <c r="M22" s="191">
        <f>0</f>
        <v>0.0</v>
      </c>
      <c r="N22" s="189">
        <f>O22/O$42</f>
        <v>0.0</v>
      </c>
      <c r="O22" s="190">
        <f>Q22*'Data Komponen'!$D$4</f>
        <v>0.0</v>
      </c>
      <c r="P22" s="189">
        <f>Q22/Q$42</f>
        <v>0.0</v>
      </c>
      <c r="Q22" s="191">
        <f>0</f>
        <v>0.0</v>
      </c>
      <c r="R22" s="189">
        <f>S22/S$42</f>
        <v>0.014499285290352904</v>
      </c>
      <c r="S22" s="190">
        <f>U22*'Data Komponen'!$D$4</f>
        <v>1.4121638835275212</v>
      </c>
      <c r="T22" s="189">
        <f>U22/U$42</f>
        <v>0.036563858352964405</v>
      </c>
      <c r="U22" s="191">
        <f>I22</f>
        <v>0.0880236790829347</v>
      </c>
    </row>
    <row r="23">
      <c r="A23" s="188" t="inlineStr">
        <is>
          <t>C₂H₆</t>
        </is>
      </c>
      <c r="B23" s="189">
        <f>C23/C$42</f>
        <v>0.0</v>
      </c>
      <c r="C23" s="190">
        <f>E23*'Data Komponen'!$D$5</f>
        <v>0.0</v>
      </c>
      <c r="D23" s="189">
        <f>E23/E$42</f>
        <v>0.0</v>
      </c>
      <c r="E23" s="191">
        <f>0</f>
        <v>0.0</v>
      </c>
      <c r="F23" s="189">
        <f>G23/G$42</f>
        <v>1.2632145720107967e-05</v>
      </c>
      <c r="G23" s="190">
        <f>I23*'Data Komponen'!$D$5</f>
        <v>0.07706331679247136</v>
      </c>
      <c r="H23" s="189">
        <f>I23/I$42</f>
        <v>1.1783205128162842e-05</v>
      </c>
      <c r="I23" s="191">
        <f>$B$16*'T-102'!$X$5/'Data Komponen'!$D$5</f>
        <v>0.0025627973658952897</v>
      </c>
      <c r="J23" s="189">
        <f>K23/K$42</f>
        <v>0.0</v>
      </c>
      <c r="K23" s="190">
        <f>M23*'Data Komponen'!$D$5</f>
        <v>0.0</v>
      </c>
      <c r="L23" s="189">
        <f>M23/M$42</f>
        <v>0.0</v>
      </c>
      <c r="M23" s="191">
        <f>0</f>
        <v>0.0</v>
      </c>
      <c r="N23" s="189">
        <f>O23/O$42</f>
        <v>0.0</v>
      </c>
      <c r="O23" s="190">
        <f>Q23*'Data Komponen'!$D$5</f>
        <v>0.0</v>
      </c>
      <c r="P23" s="189">
        <f>Q23/Q$42</f>
        <v>0.0</v>
      </c>
      <c r="Q23" s="191">
        <f>0</f>
        <v>0.0</v>
      </c>
      <c r="R23" s="189">
        <f>S23/S$42</f>
        <v>0.0007912417451179702</v>
      </c>
      <c r="S23" s="190">
        <f>U23*'Data Komponen'!$D$5</f>
        <v>0.07706331679247136</v>
      </c>
      <c r="T23" s="189">
        <f>U23/U$42</f>
        <v>0.001064551730286772</v>
      </c>
      <c r="U23" s="191">
        <f>I23</f>
        <v>0.0025627973658952897</v>
      </c>
    </row>
    <row r="24">
      <c r="A24" s="188" t="inlineStr">
        <is>
          <t>C₂H₂</t>
        </is>
      </c>
      <c r="B24" s="189">
        <f>C24/C$42</f>
        <v>0.0</v>
      </c>
      <c r="C24" s="190">
        <f>E24*'Data Komponen'!$D$6</f>
        <v>0.0</v>
      </c>
      <c r="D24" s="189">
        <f>E24/E$42</f>
        <v>0.0</v>
      </c>
      <c r="E24" s="191">
        <f>0</f>
        <v>0.0</v>
      </c>
      <c r="F24" s="189">
        <f>G24/G$42</f>
        <v>4.838190090320133e-06</v>
      </c>
      <c r="G24" s="190">
        <f>I24*'Data Komponen'!$D$6</f>
        <v>0.02951572788137131</v>
      </c>
      <c r="H24" s="189">
        <f>I24/I$42</f>
        <v>5.211887638306142e-06</v>
      </c>
      <c r="I24" s="191">
        <f>$B$16*'T-102'!$X$6/'Data Komponen'!$D$6</f>
        <v>0.0011335635563933986</v>
      </c>
      <c r="J24" s="189">
        <f>K24/K$42</f>
        <v>0.0</v>
      </c>
      <c r="K24" s="190">
        <f>M24*'Data Komponen'!$D$6</f>
        <v>0.0</v>
      </c>
      <c r="L24" s="189">
        <f>M24/M$42</f>
        <v>0.0</v>
      </c>
      <c r="M24" s="191">
        <f>0</f>
        <v>0.0</v>
      </c>
      <c r="N24" s="189">
        <f>O24/O$42</f>
        <v>0.0</v>
      </c>
      <c r="O24" s="190">
        <f>Q24*'Data Komponen'!$D$6</f>
        <v>0.0</v>
      </c>
      <c r="P24" s="189">
        <f>Q24/Q$42</f>
        <v>0.0</v>
      </c>
      <c r="Q24" s="191">
        <f>0</f>
        <v>0.0</v>
      </c>
      <c r="R24" s="189">
        <f>S24/S$42</f>
        <v>0.00030305049158700273</v>
      </c>
      <c r="S24" s="190">
        <f>U24*'Data Komponen'!$D$6</f>
        <v>0.02951572788137131</v>
      </c>
      <c r="T24" s="189">
        <f>U24/U$42</f>
        <v>0.00047086713191117114</v>
      </c>
      <c r="U24" s="191">
        <f>I24</f>
        <v>0.0011335635563933986</v>
      </c>
    </row>
    <row r="25">
      <c r="A25" s="188" t="inlineStr">
        <is>
          <t>Cl₂</t>
        </is>
      </c>
      <c r="B25" s="189">
        <f>C25/C$42</f>
        <v>0.9984710000000001</v>
      </c>
      <c r="C25" s="190">
        <f>E25*'Data Komponen'!$D$7</f>
        <v>15353.620243935302</v>
      </c>
      <c r="D25" s="189">
        <f>E25/E$42</f>
        <v>0.9959519296751161</v>
      </c>
      <c r="E25" s="191">
        <f>I21/$B$8</f>
        <v>216.5379062680412</v>
      </c>
      <c r="F25" s="189">
        <f>G25/G$42</f>
        <v>0.0</v>
      </c>
      <c r="G25" s="190">
        <f>I25*'Data Komponen'!$D$7</f>
        <v>0.0</v>
      </c>
      <c r="H25" s="189">
        <f>I25/I$42</f>
        <v>0.0</v>
      </c>
      <c r="I25" s="191">
        <f>0</f>
        <v>0.0</v>
      </c>
      <c r="J25" s="189">
        <f>K25/K$42</f>
        <v>0.0</v>
      </c>
      <c r="K25" s="190">
        <f>M25*'Data Komponen'!$D$7</f>
        <v>0.0</v>
      </c>
      <c r="L25" s="189">
        <f>M25/M$42</f>
        <v>0.0</v>
      </c>
      <c r="M25" s="191">
        <f>0</f>
        <v>0.0</v>
      </c>
      <c r="N25" s="189">
        <f>O25/O$42</f>
        <v>0.0</v>
      </c>
      <c r="O25" s="190">
        <f>Q25*'Data Komponen'!$D$7</f>
        <v>0.0</v>
      </c>
      <c r="P25" s="189">
        <f>Q25/Q$42</f>
        <v>0.0</v>
      </c>
      <c r="Q25" s="191">
        <f>0</f>
        <v>0.0</v>
      </c>
      <c r="R25" s="189">
        <f>S25/S$42</f>
        <v>0.01576421283346006</v>
      </c>
      <c r="S25" s="190">
        <f>U25*'Data Komponen'!$D$7</f>
        <v>1.535362024393377</v>
      </c>
      <c r="T25" s="189">
        <f>U25/U$42</f>
        <v>0.008994694854064834</v>
      </c>
      <c r="U25" s="191">
        <f>E25*(1-$B$6)</f>
        <v>0.021653790626801735</v>
      </c>
    </row>
    <row r="26">
      <c r="A26" s="188" t="inlineStr">
        <is>
          <t>CₙHₘ</t>
        </is>
      </c>
      <c r="B26" s="189">
        <f>C26/C$42</f>
        <v>4.000000000000001e-06</v>
      </c>
      <c r="C26" s="190">
        <f>E26*'Data Komponen'!$D$8</f>
        <v>0.06150852751431059</v>
      </c>
      <c r="D26" s="189">
        <f>E26/E$42</f>
        <v>1.7634136208577787e-05</v>
      </c>
      <c r="E26" s="191">
        <f>'T-101'!$B$2/'T-101'!$B$11*C25/'Data Komponen'!$D$8</f>
        <v>0.0038339791506769674</v>
      </c>
      <c r="F26" s="189">
        <f>G26/G$42</f>
        <v>0.0</v>
      </c>
      <c r="G26" s="190">
        <f>I26*'Data Komponen'!$D$8</f>
        <v>0.0</v>
      </c>
      <c r="H26" s="189">
        <f>I26/I$42</f>
        <v>0.0</v>
      </c>
      <c r="I26" s="191">
        <f>0</f>
        <v>0.0</v>
      </c>
      <c r="J26" s="189">
        <f>K26/K$42</f>
        <v>0.0</v>
      </c>
      <c r="K26" s="190">
        <f>M26*'Data Komponen'!$D$8</f>
        <v>0.0</v>
      </c>
      <c r="L26" s="189">
        <f>M26/M$42</f>
        <v>0.0</v>
      </c>
      <c r="M26" s="191">
        <f>0</f>
        <v>0.0</v>
      </c>
      <c r="N26" s="189">
        <f>O26/O$42</f>
        <v>0.0</v>
      </c>
      <c r="O26" s="190">
        <f>Q26*'Data Komponen'!$D$8</f>
        <v>0.0</v>
      </c>
      <c r="P26" s="189">
        <f>Q26/Q$42</f>
        <v>0.0</v>
      </c>
      <c r="Q26" s="191">
        <f>0</f>
        <v>0.0</v>
      </c>
      <c r="R26" s="189">
        <f>S26/S$42</f>
        <v>0.0006315341290217396</v>
      </c>
      <c r="S26" s="190">
        <f>U26*'Data Komponen'!$D$8</f>
        <v>0.06150852751431059</v>
      </c>
      <c r="T26" s="189">
        <f>U26/U$42</f>
        <v>0.0015925836326551516</v>
      </c>
      <c r="U26" s="191">
        <f>E26</f>
        <v>0.0038339791506769674</v>
      </c>
    </row>
    <row r="27">
      <c r="A27" s="188" t="inlineStr">
        <is>
          <t>H₂O</t>
        </is>
      </c>
      <c r="B27" s="189">
        <f>C27/C$42</f>
        <v>1.2e-05</v>
      </c>
      <c r="C27" s="190">
        <f>E27*'Data Komponen'!$D$9</f>
        <v>0.18452558254293175</v>
      </c>
      <c r="D27" s="189">
        <f>E27/E$42</f>
        <v>4.711148163100973e-05</v>
      </c>
      <c r="E27" s="191">
        <f>'T-101'!$B$3/'T-101'!$B$11*C25/'Data Komponen'!$D$9</f>
        <v>0.010242885514456384</v>
      </c>
      <c r="F27" s="189">
        <f>G27/G$42</f>
        <v>0.0</v>
      </c>
      <c r="G27" s="190">
        <f>I27*'Data Komponen'!$D$9</f>
        <v>0.0</v>
      </c>
      <c r="H27" s="189">
        <f>I27/I$42</f>
        <v>0.0</v>
      </c>
      <c r="I27" s="191">
        <f>0</f>
        <v>0.0</v>
      </c>
      <c r="J27" s="189">
        <f>K27/K$42</f>
        <v>0.0</v>
      </c>
      <c r="K27" s="190">
        <f>M27*'Data Komponen'!$D$9</f>
        <v>0.0</v>
      </c>
      <c r="L27" s="189">
        <f>M27/M$42</f>
        <v>0.0</v>
      </c>
      <c r="M27" s="191">
        <f>0</f>
        <v>0.0</v>
      </c>
      <c r="N27" s="189">
        <f>O27/O$42</f>
        <v>8.628902591260031e-06</v>
      </c>
      <c r="O27" s="190">
        <f>Q27*'Data Komponen'!$D$9</f>
        <v>0.18452558254293175</v>
      </c>
      <c r="P27" s="189">
        <f>Q27/Q$42</f>
        <v>4.740655339016245e-05</v>
      </c>
      <c r="Q27" s="191">
        <f>E27</f>
        <v>0.010242885514456384</v>
      </c>
      <c r="R27" s="189">
        <f>S27/S$42</f>
        <v>0.0</v>
      </c>
      <c r="S27" s="190">
        <f>U27*'Data Komponen'!$D$9</f>
        <v>0.0</v>
      </c>
      <c r="T27" s="189">
        <f>U27/U$42</f>
        <v>0.0</v>
      </c>
      <c r="U27" s="191">
        <f>0</f>
        <v>0.0</v>
      </c>
    </row>
    <row r="28">
      <c r="A28" s="188" t="inlineStr">
        <is>
          <t>CₓHᵧCl</t>
        </is>
      </c>
      <c r="B28" s="189">
        <f>C28/C$42</f>
        <v>8.000000000000001e-06</v>
      </c>
      <c r="C28" s="190">
        <f>E28*'Data Komponen'!$D$10</f>
        <v>0.12301705502862118</v>
      </c>
      <c r="D28" s="189">
        <f>E28/E$42</f>
        <v>1.1206799524410293e-05</v>
      </c>
      <c r="E28" s="191">
        <f>'T-101'!$B$4/'T-101'!$B$11*C25/'Data Komponen'!$D$10</f>
        <v>0.0024365602723146326</v>
      </c>
      <c r="F28" s="189">
        <f>G28/G$42</f>
        <v>0.0</v>
      </c>
      <c r="G28" s="190">
        <f>I28*'Data Komponen'!$D$10</f>
        <v>0.0</v>
      </c>
      <c r="H28" s="189">
        <f>I28/I$42</f>
        <v>0.0</v>
      </c>
      <c r="I28" s="191">
        <f>0</f>
        <v>0.0</v>
      </c>
      <c r="J28" s="189">
        <f>K28/K$42</f>
        <v>0.0</v>
      </c>
      <c r="K28" s="190">
        <f>M28*'Data Komponen'!$D$10</f>
        <v>0.0</v>
      </c>
      <c r="L28" s="189">
        <f>M28/M$42</f>
        <v>0.0</v>
      </c>
      <c r="M28" s="191">
        <f>0</f>
        <v>0.0</v>
      </c>
      <c r="N28" s="189">
        <f>O28/O$42</f>
        <v>0.0</v>
      </c>
      <c r="O28" s="190">
        <f>Q28*'Data Komponen'!$D$10</f>
        <v>0.0</v>
      </c>
      <c r="P28" s="189">
        <f>Q28/Q$42</f>
        <v>0.0</v>
      </c>
      <c r="Q28" s="191">
        <f>0</f>
        <v>0.0</v>
      </c>
      <c r="R28" s="189">
        <f>S28/S$42</f>
        <v>0.0012630682580434792</v>
      </c>
      <c r="S28" s="190">
        <f>U28*'Data Komponen'!$D$10</f>
        <v>0.12301705502862118</v>
      </c>
      <c r="T28" s="189">
        <f>U28/U$42</f>
        <v>0.0010121145309256298</v>
      </c>
      <c r="U28" s="191">
        <f>E28</f>
        <v>0.0024365602723146326</v>
      </c>
    </row>
    <row r="29">
      <c r="A29" s="188" t="inlineStr">
        <is>
          <t>Br₂</t>
        </is>
      </c>
      <c r="B29" s="189">
        <f>C29/C$42</f>
        <v>9e-05</v>
      </c>
      <c r="C29" s="190">
        <f>E29*'Data Komponen'!$D$11</f>
        <v>1.3839418690719882</v>
      </c>
      <c r="D29" s="189">
        <f>E29/E$42</f>
        <v>3.983123536912922e-05</v>
      </c>
      <c r="E29" s="191">
        <f>'T-101'!$B$5/'T-101'!$B$11*C25/'Data Komponen'!$D$11</f>
        <v>0.008660028716159318</v>
      </c>
      <c r="F29" s="189">
        <f>G29/G$42</f>
        <v>0.0</v>
      </c>
      <c r="G29" s="190">
        <f>I29*'Data Komponen'!$D$11</f>
        <v>0.0</v>
      </c>
      <c r="H29" s="189">
        <f>I29/I$42</f>
        <v>0.0</v>
      </c>
      <c r="I29" s="191">
        <f>0</f>
        <v>0.0</v>
      </c>
      <c r="J29" s="189">
        <f>K29/K$42</f>
        <v>0.0</v>
      </c>
      <c r="K29" s="190">
        <f>M29*'Data Komponen'!$D$11</f>
        <v>0.0</v>
      </c>
      <c r="L29" s="189">
        <f>M29/M$42</f>
        <v>0.0</v>
      </c>
      <c r="M29" s="191">
        <f>0</f>
        <v>0.0</v>
      </c>
      <c r="N29" s="189">
        <f>O29/O$42</f>
        <v>6.471676943445024e-05</v>
      </c>
      <c r="O29" s="190">
        <f>Q29*'Data Komponen'!$D$11</f>
        <v>1.3839418690719882</v>
      </c>
      <c r="P29" s="189">
        <f>Q29/Q$42</f>
        <v>4.0080709006609956e-05</v>
      </c>
      <c r="Q29" s="191">
        <f>E29</f>
        <v>0.008660028716159318</v>
      </c>
      <c r="R29" s="189">
        <f>S29/S$42</f>
        <v>0.0</v>
      </c>
      <c r="S29" s="190">
        <f>U29*'Data Komponen'!$D$11</f>
        <v>0.0</v>
      </c>
      <c r="T29" s="189">
        <f>U29/U$42</f>
        <v>0.0</v>
      </c>
      <c r="U29" s="191">
        <f>0</f>
        <v>0.0</v>
      </c>
    </row>
    <row r="30">
      <c r="A30" s="188" t="inlineStr">
        <is>
          <t>NCl₃</t>
        </is>
      </c>
      <c r="B30" s="189">
        <f>C30/C$42</f>
        <v>5.000000000000001e-06</v>
      </c>
      <c r="C30" s="190">
        <f>E30*'Data Komponen'!$D$12</f>
        <v>0.07688565939288824</v>
      </c>
      <c r="D30" s="189">
        <f>E30/E$42</f>
        <v>2.9379849540378585e-06</v>
      </c>
      <c r="E30" s="191">
        <f>'T-101'!$B$6/'T-101'!$B$11*C25/'Data Komponen'!$D$12</f>
        <v>0.0006387709001195385</v>
      </c>
      <c r="F30" s="189">
        <f>G30/G$42</f>
        <v>0.0</v>
      </c>
      <c r="G30" s="190">
        <f>I30*'Data Komponen'!$D$12</f>
        <v>0.0</v>
      </c>
      <c r="H30" s="189">
        <f>I30/I$42</f>
        <v>0.0</v>
      </c>
      <c r="I30" s="191">
        <f>0</f>
        <v>0.0</v>
      </c>
      <c r="J30" s="189">
        <f>K30/K$42</f>
        <v>0.0</v>
      </c>
      <c r="K30" s="190">
        <f>M30*'Data Komponen'!$D$12</f>
        <v>0.0</v>
      </c>
      <c r="L30" s="189">
        <f>M30/M$42</f>
        <v>0.0</v>
      </c>
      <c r="M30" s="191">
        <f>0</f>
        <v>0.0</v>
      </c>
      <c r="N30" s="189">
        <f>O30/O$42</f>
        <v>3.5953760796916804e-06</v>
      </c>
      <c r="O30" s="190">
        <f>Q30*'Data Komponen'!$D$12</f>
        <v>0.07688565939288824</v>
      </c>
      <c r="P30" s="189">
        <f>Q30/Q$42</f>
        <v>2.956386336434237e-06</v>
      </c>
      <c r="Q30" s="191">
        <f>E30</f>
        <v>0.0006387709001195385</v>
      </c>
      <c r="R30" s="189">
        <f>S30/S$42</f>
        <v>0.0</v>
      </c>
      <c r="S30" s="190">
        <f>U30*'Data Komponen'!$D$12</f>
        <v>0.0</v>
      </c>
      <c r="T30" s="189">
        <f>U30/U$42</f>
        <v>0.0</v>
      </c>
      <c r="U30" s="191">
        <f>0</f>
        <v>0.0</v>
      </c>
    </row>
    <row r="31">
      <c r="A31" s="188" t="inlineStr">
        <is>
          <t>H₂</t>
        </is>
      </c>
      <c r="B31" s="189">
        <f>C31/C$42</f>
        <v>3.0000000000000004e-05</v>
      </c>
      <c r="C31" s="190">
        <f>E31*'Data Komponen'!$D$13</f>
        <v>0.4613139563573294</v>
      </c>
      <c r="D31" s="189">
        <f>E31/E$42</f>
        <v>0.001052471901764187</v>
      </c>
      <c r="E31" s="191">
        <f>'T-101'!$B$7/'T-101'!$B$11*C25/'Data Komponen'!$D$13</f>
        <v>0.2288263672407388</v>
      </c>
      <c r="F31" s="189">
        <f>G31/G$42</f>
        <v>0.0</v>
      </c>
      <c r="G31" s="190">
        <f>I31*'Data Komponen'!$D$13</f>
        <v>0.0</v>
      </c>
      <c r="H31" s="189">
        <f>I31/I$42</f>
        <v>0.0</v>
      </c>
      <c r="I31" s="191">
        <f>0</f>
        <v>0.0</v>
      </c>
      <c r="J31" s="189">
        <f>K31/K$42</f>
        <v>0.0</v>
      </c>
      <c r="K31" s="190">
        <f>M31*'Data Komponen'!$D$13</f>
        <v>0.0</v>
      </c>
      <c r="L31" s="189">
        <f>M31/M$42</f>
        <v>0.0</v>
      </c>
      <c r="M31" s="191">
        <f>0</f>
        <v>0.0</v>
      </c>
      <c r="N31" s="189">
        <f>O31/O$42</f>
        <v>0.0</v>
      </c>
      <c r="O31" s="190">
        <f>Q31*'Data Komponen'!$D$13</f>
        <v>0.0</v>
      </c>
      <c r="P31" s="189">
        <f>Q31/Q$42</f>
        <v>0.0</v>
      </c>
      <c r="Q31" s="191">
        <f>0</f>
        <v>0.0</v>
      </c>
      <c r="R31" s="189">
        <f>S31/S$42</f>
        <v>0.004736505967663047</v>
      </c>
      <c r="S31" s="190">
        <f>U31*'Data Komponen'!$D$13</f>
        <v>0.4613139563573294</v>
      </c>
      <c r="T31" s="189">
        <f>U31/U$42</f>
        <v>0.0950514107838043</v>
      </c>
      <c r="U31" s="191">
        <f>E31</f>
        <v>0.2288263672407388</v>
      </c>
    </row>
    <row r="32">
      <c r="A32" s="188" t="inlineStr">
        <is>
          <t>O₂</t>
        </is>
      </c>
      <c r="B32" s="189">
        <f>C32/C$42</f>
        <v>0.00018</v>
      </c>
      <c r="C32" s="190">
        <f>E32*'Data Komponen'!$D$14</f>
        <v>2.7678837381439765</v>
      </c>
      <c r="D32" s="189">
        <f>E32/E$42</f>
        <v>0.0003978468115797245</v>
      </c>
      <c r="E32" s="191">
        <f>'T-101'!$B$8/'T-101'!$B$11*C25/'Data Komponen'!$D$14</f>
        <v>0.08649906991293405</v>
      </c>
      <c r="F32" s="189">
        <f>G32/G$42</f>
        <v>0.0</v>
      </c>
      <c r="G32" s="190">
        <f>I32*'Data Komponen'!$D$14</f>
        <v>0.0</v>
      </c>
      <c r="H32" s="189">
        <f>I32/I$42</f>
        <v>0.0</v>
      </c>
      <c r="I32" s="191">
        <f>0</f>
        <v>0.0</v>
      </c>
      <c r="J32" s="189">
        <f>K32/K$42</f>
        <v>0.0</v>
      </c>
      <c r="K32" s="190">
        <f>M32*'Data Komponen'!$D$14</f>
        <v>0.0</v>
      </c>
      <c r="L32" s="189">
        <f>M32/M$42</f>
        <v>0.0</v>
      </c>
      <c r="M32" s="191">
        <f>0</f>
        <v>0.0</v>
      </c>
      <c r="N32" s="189">
        <f>O32/O$42</f>
        <v>0.0</v>
      </c>
      <c r="O32" s="190">
        <f>Q32*'Data Komponen'!$D$14</f>
        <v>0.0</v>
      </c>
      <c r="P32" s="189">
        <f>Q32/Q$42</f>
        <v>0.0</v>
      </c>
      <c r="Q32" s="191">
        <f>0</f>
        <v>0.0</v>
      </c>
      <c r="R32" s="189">
        <f>S32/S$42</f>
        <v>0.02841903580597828</v>
      </c>
      <c r="S32" s="190">
        <f>U32*'Data Komponen'!$D$14</f>
        <v>2.7678837381439765</v>
      </c>
      <c r="T32" s="189">
        <f>U32/U$42</f>
        <v>0.03593055610615635</v>
      </c>
      <c r="U32" s="191">
        <f>E32</f>
        <v>0.08649906991293405</v>
      </c>
    </row>
    <row r="33">
      <c r="A33" s="188" t="inlineStr">
        <is>
          <t>N₂</t>
        </is>
      </c>
      <c r="B33" s="189">
        <f>C33/C$42</f>
        <v>0.0006000000000000001</v>
      </c>
      <c r="C33" s="190">
        <f>E33*'Data Komponen'!$D$15</f>
        <v>9.226279127146588</v>
      </c>
      <c r="D33" s="189">
        <f>E33/E$42</f>
        <v>0.0015148021374716935</v>
      </c>
      <c r="E33" s="191">
        <f>'T-101'!$B$9/'T-101'!$B$11*C25/'Data Komponen'!$D$15</f>
        <v>0.3293452961785746</v>
      </c>
      <c r="F33" s="189">
        <f>G33/G$42</f>
        <v>0.0</v>
      </c>
      <c r="G33" s="190">
        <f>I33*'Data Komponen'!$D$15</f>
        <v>0.0</v>
      </c>
      <c r="H33" s="189">
        <f>I33/I$42</f>
        <v>0.0</v>
      </c>
      <c r="I33" s="191">
        <f>0</f>
        <v>0.0</v>
      </c>
      <c r="J33" s="189">
        <f>K33/K$42</f>
        <v>0.0</v>
      </c>
      <c r="K33" s="190">
        <f>M33*'Data Komponen'!$D$15</f>
        <v>0.0</v>
      </c>
      <c r="L33" s="189">
        <f>M33/M$42</f>
        <v>0.0</v>
      </c>
      <c r="M33" s="191">
        <f>0</f>
        <v>0.0</v>
      </c>
      <c r="N33" s="189">
        <f>O33/O$42</f>
        <v>0.0</v>
      </c>
      <c r="O33" s="190">
        <f>Q33*'Data Komponen'!$D$15</f>
        <v>0.0</v>
      </c>
      <c r="P33" s="189">
        <f>Q33/Q$42</f>
        <v>0.0</v>
      </c>
      <c r="Q33" s="191">
        <f>0</f>
        <v>0.0</v>
      </c>
      <c r="R33" s="189">
        <f>S33/S$42</f>
        <v>0.09473011935326094</v>
      </c>
      <c r="S33" s="190">
        <f>U33*'Data Komponen'!$D$15</f>
        <v>9.226279127146588</v>
      </c>
      <c r="T33" s="189">
        <f>U33/U$42</f>
        <v>0.13680562871432106</v>
      </c>
      <c r="U33" s="191">
        <f>E33</f>
        <v>0.3293452961785746</v>
      </c>
    </row>
    <row r="34">
      <c r="A34" s="188" t="inlineStr">
        <is>
          <t>CO₂</t>
        </is>
      </c>
      <c r="B34" s="189">
        <f>C34/C$42</f>
        <v>0.0006000000000000001</v>
      </c>
      <c r="C34" s="190">
        <f>E34*'Data Komponen'!$D$16</f>
        <v>9.226279127146588</v>
      </c>
      <c r="D34" s="189">
        <f>E34/E$42</f>
        <v>0.0009642278363810956</v>
      </c>
      <c r="E34" s="191">
        <f>'T-101'!$B$10/'T-101'!$B$11*C25/'Data Komponen'!$D$16</f>
        <v>0.20964051640869322</v>
      </c>
      <c r="F34" s="189">
        <f>G34/G$42</f>
        <v>0.0</v>
      </c>
      <c r="G34" s="190">
        <f>I34*'Data Komponen'!$D$16</f>
        <v>0.0</v>
      </c>
      <c r="H34" s="189">
        <f>I34/I$42</f>
        <v>0.0</v>
      </c>
      <c r="I34" s="191">
        <f>0</f>
        <v>0.0</v>
      </c>
      <c r="J34" s="189">
        <f>K34/K$42</f>
        <v>0.0</v>
      </c>
      <c r="K34" s="190">
        <f>M34*'Data Komponen'!$D$16</f>
        <v>0.0</v>
      </c>
      <c r="L34" s="189">
        <f>M34/M$42</f>
        <v>0.0</v>
      </c>
      <c r="M34" s="191">
        <f>0</f>
        <v>0.0</v>
      </c>
      <c r="N34" s="189">
        <f>O34/O$42</f>
        <v>0.0</v>
      </c>
      <c r="O34" s="190">
        <f>Q34*'Data Komponen'!$D$16</f>
        <v>0.0</v>
      </c>
      <c r="P34" s="189">
        <f>Q34/Q$42</f>
        <v>0.0</v>
      </c>
      <c r="Q34" s="191">
        <f>0</f>
        <v>0.0</v>
      </c>
      <c r="R34" s="189">
        <f>S34/S$42</f>
        <v>0.09473011935326094</v>
      </c>
      <c r="S34" s="190">
        <f>U34*'Data Komponen'!$D$16</f>
        <v>9.226279127146588</v>
      </c>
      <c r="T34" s="189">
        <f>U34/U$42</f>
        <v>0.08708186509436469</v>
      </c>
      <c r="U34" s="191">
        <f>E34</f>
        <v>0.20964051640869322</v>
      </c>
    </row>
    <row r="35">
      <c r="A35" s="188" t="inlineStr">
        <is>
          <t>EDC</t>
        </is>
      </c>
      <c r="B35" s="189">
        <f>C35/C$42</f>
        <v>0.0</v>
      </c>
      <c r="C35" s="190">
        <f>E35*'Data Komponen'!$D$17</f>
        <v>0.0</v>
      </c>
      <c r="D35" s="189">
        <f>E35/E$42</f>
        <v>0.0</v>
      </c>
      <c r="E35" s="191">
        <f>0</f>
        <v>0.0</v>
      </c>
      <c r="F35" s="189">
        <f>G35/G$42</f>
        <v>0.0</v>
      </c>
      <c r="G35" s="190">
        <f>I35*'Data Komponen'!$D$17</f>
        <v>0.0</v>
      </c>
      <c r="H35" s="189">
        <f>I35/I$42</f>
        <v>0.0</v>
      </c>
      <c r="I35" s="191">
        <f>0</f>
        <v>0.0</v>
      </c>
      <c r="J35" s="189">
        <f>K35/K$42</f>
        <v>0.0</v>
      </c>
      <c r="K35" s="190">
        <f>M35*'Data Komponen'!$D$17</f>
        <v>0.0</v>
      </c>
      <c r="L35" s="189">
        <f>M35/M$42</f>
        <v>0.0</v>
      </c>
      <c r="M35" s="191">
        <f>0</f>
        <v>0.0</v>
      </c>
      <c r="N35" s="189">
        <f>O35/O$42</f>
        <v>0.9994221026161209</v>
      </c>
      <c r="O35" s="190">
        <f>Q35*'Data Komponen'!$D$17</f>
        <v>21372.236358110484</v>
      </c>
      <c r="P35" s="189">
        <f>Q35/Q$42</f>
        <v>0.9995642931667662</v>
      </c>
      <c r="Q35" s="191">
        <f>$B$6*E25-2*Q36-U35</f>
        <v>215.97061771148134</v>
      </c>
      <c r="R35" s="189">
        <f>S35/S$42</f>
        <v>0.45649381549583695</v>
      </c>
      <c r="S35" s="190">
        <f>U35*'Data Komponen'!$D$17</f>
        <v>44.46040383285724</v>
      </c>
      <c r="T35" s="189">
        <f>U35/U$42</f>
        <v>0.1866253375682015</v>
      </c>
      <c r="U35" s="191">
        <f>$B$10*(($B$6*E25-2*Q36)+'NME-2 Oksiklorinasi'!Q34)</f>
        <v>0.4492810541017718</v>
      </c>
    </row>
    <row r="36">
      <c r="A36" s="188" t="inlineStr">
        <is>
          <t>TCE</t>
        </is>
      </c>
      <c r="B36" s="189">
        <f>C36/C$42</f>
        <v>0.0</v>
      </c>
      <c r="C36" s="190">
        <f>E36*'Data Komponen'!$D$18</f>
        <v>0.0</v>
      </c>
      <c r="D36" s="189">
        <f>E36/E$42</f>
        <v>0.0</v>
      </c>
      <c r="E36" s="191">
        <f>0</f>
        <v>0.0</v>
      </c>
      <c r="F36" s="189">
        <f>G36/G$42</f>
        <v>0.0</v>
      </c>
      <c r="G36" s="190">
        <f>I36*'Data Komponen'!$D$18</f>
        <v>0.0</v>
      </c>
      <c r="H36" s="189">
        <f>I36/I$42</f>
        <v>0.0</v>
      </c>
      <c r="I36" s="191">
        <f>0</f>
        <v>0.0</v>
      </c>
      <c r="J36" s="189">
        <f>K36/K$42</f>
        <v>0.0</v>
      </c>
      <c r="K36" s="190">
        <f>M36*'Data Komponen'!$D$18</f>
        <v>0.0</v>
      </c>
      <c r="L36" s="189">
        <f>M36/M$42</f>
        <v>0.0</v>
      </c>
      <c r="M36" s="191">
        <f>0</f>
        <v>0.0</v>
      </c>
      <c r="N36" s="189">
        <f>O36/O$42</f>
        <v>0.00030054051864049906</v>
      </c>
      <c r="O36" s="190">
        <f>Q36*'Data Komponen'!$D$18</f>
        <v>6.426937109715917</v>
      </c>
      <c r="P36" s="189">
        <f>Q36/Q$42</f>
        <v>0.00022297415009785954</v>
      </c>
      <c r="Q36" s="191">
        <f>$B$7*$B$6*E25*'Data Komponen'!$D$17/('Data Komponen'!$D$18*(1-$B$7)+2*$B$7*'Data Komponen'!$D$17)</f>
        <v>0.04817685591565345</v>
      </c>
      <c r="R36" s="189">
        <f>S36/S$42</f>
        <v>0.0</v>
      </c>
      <c r="S36" s="190">
        <f>U36*'Data Komponen'!$D$18</f>
        <v>0.0</v>
      </c>
      <c r="T36" s="189">
        <f>U36/U$42</f>
        <v>0.0</v>
      </c>
      <c r="U36" s="191">
        <f>0</f>
        <v>0.0</v>
      </c>
    </row>
    <row r="37">
      <c r="A37" s="188" t="inlineStr">
        <is>
          <t>HCl</t>
        </is>
      </c>
      <c r="B37" s="189">
        <f>C37/C$42</f>
        <v>0.0</v>
      </c>
      <c r="C37" s="190">
        <f>E37*'Data Komponen'!$D$19</f>
        <v>0.0</v>
      </c>
      <c r="D37" s="189">
        <f>E37/E$42</f>
        <v>0.0</v>
      </c>
      <c r="E37" s="191">
        <f>0</f>
        <v>0.0</v>
      </c>
      <c r="F37" s="189">
        <f>G37/G$42</f>
        <v>0.0</v>
      </c>
      <c r="G37" s="190">
        <f>I37*'Data Komponen'!$D$19</f>
        <v>0.0</v>
      </c>
      <c r="H37" s="189">
        <f>I37/I$42</f>
        <v>0.0</v>
      </c>
      <c r="I37" s="191">
        <f>0</f>
        <v>0.0</v>
      </c>
      <c r="J37" s="189">
        <f>K37/K$42</f>
        <v>0.0</v>
      </c>
      <c r="K37" s="190">
        <f>M37*'Data Komponen'!$D$19</f>
        <v>0.0</v>
      </c>
      <c r="L37" s="189">
        <f>M37/M$42</f>
        <v>0.0</v>
      </c>
      <c r="M37" s="191">
        <f>0</f>
        <v>0.0</v>
      </c>
      <c r="N37" s="189">
        <f>O37/O$42</f>
        <v>0.0</v>
      </c>
      <c r="O37" s="190">
        <f>Q37*'Data Komponen'!$D$19</f>
        <v>0.0</v>
      </c>
      <c r="P37" s="189">
        <f>Q37/Q$42</f>
        <v>0.0</v>
      </c>
      <c r="Q37" s="191">
        <f>0</f>
        <v>0.0</v>
      </c>
      <c r="R37" s="189">
        <f>S37/S$42</f>
        <v>0.018035514033725348</v>
      </c>
      <c r="S37" s="190">
        <f>U37*'Data Komponen'!$D$19</f>
        <v>1.7565763435406405</v>
      </c>
      <c r="T37" s="189">
        <f>U37/U$42</f>
        <v>0.020012021241823323</v>
      </c>
      <c r="U37" s="191">
        <f>Q36</f>
        <v>0.04817685591565345</v>
      </c>
    </row>
    <row r="38">
      <c r="A38" s="188" t="inlineStr">
        <is>
          <t>FeCl₃</t>
        </is>
      </c>
      <c r="B38" s="189">
        <f>C38/C$42</f>
        <v>0.0</v>
      </c>
      <c r="C38" s="190">
        <f>E38*'Data Komponen'!$D$20</f>
        <v>0.0</v>
      </c>
      <c r="D38" s="189">
        <f>E38/E$42</f>
        <v>0.0</v>
      </c>
      <c r="E38" s="191">
        <f>0</f>
        <v>0.0</v>
      </c>
      <c r="F38" s="189">
        <f>G38/G$42</f>
        <v>0.0</v>
      </c>
      <c r="G38" s="190">
        <f>I38*'Data Komponen'!$D$20</f>
        <v>0.0</v>
      </c>
      <c r="H38" s="189">
        <f>I38/I$42</f>
        <v>0.0</v>
      </c>
      <c r="I38" s="191">
        <f>0</f>
        <v>0.0</v>
      </c>
      <c r="J38" s="189">
        <f>K38/K$42</f>
        <v>1.0</v>
      </c>
      <c r="K38" s="190">
        <f>M38*'Data Komponen'!$D$20</f>
        <v>4.2858109726273375</v>
      </c>
      <c r="L38" s="189">
        <f>M38/M$42</f>
        <v>1.0</v>
      </c>
      <c r="M38" s="191">
        <f>$B$9/(1-$B$9)*((Q35+U35)*'Data Komponen'!$D$17+Q36*'Data Komponen'!$D$18+Q27*'Data Komponen'!$D$9+Q29*'Data Komponen'!$D$11+Q30*'Data Komponen'!$D$12)/'Data Komponen'!$D$20</f>
        <v>0.02642235069805515</v>
      </c>
      <c r="N38" s="189">
        <f>O38/O$42</f>
        <v>0.00020041581713338045</v>
      </c>
      <c r="O38" s="190">
        <f>Q38*'Data Komponen'!$D$20</f>
        <v>4.2858109726273375</v>
      </c>
      <c r="P38" s="189">
        <f>Q38/Q$42</f>
        <v>0.00012228903440276572</v>
      </c>
      <c r="Q38" s="191">
        <f>M38</f>
        <v>0.02642235069805515</v>
      </c>
      <c r="R38" s="189">
        <f>S38/S$42</f>
        <v>0.0</v>
      </c>
      <c r="S38" s="190">
        <f>U38*'Data Komponen'!$D$20</f>
        <v>0.0</v>
      </c>
      <c r="T38" s="189">
        <f>U38/U$42</f>
        <v>0.0</v>
      </c>
      <c r="U38" s="191">
        <f>0</f>
        <v>0.0</v>
      </c>
    </row>
    <row r="39">
      <c r="A39" s="188" t="inlineStr">
        <is>
          <t>C₂H₅Cl</t>
        </is>
      </c>
      <c r="B39" s="189">
        <f>C39/C$42</f>
        <v>0.0</v>
      </c>
      <c r="C39" s="190">
        <f>E39*'Data Komponen'!$D$21</f>
        <v>0.0</v>
      </c>
      <c r="D39" s="189">
        <f>E39/E$42</f>
        <v>0.0</v>
      </c>
      <c r="E39" s="191">
        <f>0</f>
        <v>0.0</v>
      </c>
      <c r="F39" s="189">
        <f>G39/G$42</f>
        <v>0.0</v>
      </c>
      <c r="G39" s="190">
        <f>I39*'Data Komponen'!$D$21</f>
        <v>0.0</v>
      </c>
      <c r="H39" s="189">
        <f>I39/I$42</f>
        <v>0.0</v>
      </c>
      <c r="I39" s="191">
        <f>0</f>
        <v>0.0</v>
      </c>
      <c r="J39" s="189">
        <f>K39/K$42</f>
        <v>0.0</v>
      </c>
      <c r="K39" s="190">
        <f>M39*'Data Komponen'!$D$21</f>
        <v>0.0</v>
      </c>
      <c r="L39" s="189">
        <f>M39/M$42</f>
        <v>0.0</v>
      </c>
      <c r="M39" s="191">
        <f>0</f>
        <v>0.0</v>
      </c>
      <c r="N39" s="189">
        <f>O39/O$42</f>
        <v>0.0</v>
      </c>
      <c r="O39" s="190">
        <f>Q39*'Data Komponen'!$D$21</f>
        <v>0.0</v>
      </c>
      <c r="P39" s="189">
        <f>Q39/Q$42</f>
        <v>0.0</v>
      </c>
      <c r="Q39" s="191">
        <f>0</f>
        <v>0.0</v>
      </c>
      <c r="R39" s="189">
        <f>S39/S$42</f>
        <v>0.0</v>
      </c>
      <c r="S39" s="190">
        <f>U39*'Data Komponen'!$D$21</f>
        <v>0.0</v>
      </c>
      <c r="T39" s="189">
        <f>U39/U$42</f>
        <v>0.0</v>
      </c>
      <c r="U39" s="191">
        <f>0</f>
        <v>0.0</v>
      </c>
    </row>
    <row r="40">
      <c r="A40" s="188" t="inlineStr">
        <is>
          <t>VCM</t>
        </is>
      </c>
      <c r="B40" s="189">
        <f>C40/C$42</f>
        <v>0.0</v>
      </c>
      <c r="C40" s="190">
        <f>E40*'Data Komponen'!$D$22</f>
        <v>0.0</v>
      </c>
      <c r="D40" s="189">
        <f>E40/E$42</f>
        <v>0.0</v>
      </c>
      <c r="E40" s="191">
        <f>0</f>
        <v>0.0</v>
      </c>
      <c r="F40" s="189">
        <f>G40/G$42</f>
        <v>0.0</v>
      </c>
      <c r="G40" s="190">
        <f>I40*'Data Komponen'!$D$22</f>
        <v>0.0</v>
      </c>
      <c r="H40" s="189">
        <f>I40/I$42</f>
        <v>0.0</v>
      </c>
      <c r="I40" s="191">
        <f>0</f>
        <v>0.0</v>
      </c>
      <c r="J40" s="189">
        <f>K40/K$42</f>
        <v>0.0</v>
      </c>
      <c r="K40" s="190">
        <f>M40*'Data Komponen'!$D$22</f>
        <v>0.0</v>
      </c>
      <c r="L40" s="189">
        <f>M40/M$42</f>
        <v>0.0</v>
      </c>
      <c r="M40" s="191">
        <f>0</f>
        <v>0.0</v>
      </c>
      <c r="N40" s="189">
        <f>O40/O$42</f>
        <v>0.0</v>
      </c>
      <c r="O40" s="190">
        <f>Q40*'Data Komponen'!$D$22</f>
        <v>0.0</v>
      </c>
      <c r="P40" s="189">
        <f>Q40/Q$42</f>
        <v>0.0</v>
      </c>
      <c r="Q40" s="191">
        <f>0</f>
        <v>0.0</v>
      </c>
      <c r="R40" s="189">
        <f>S40/S$42</f>
        <v>0.0</v>
      </c>
      <c r="S40" s="190">
        <f>U40*'Data Komponen'!$D$22</f>
        <v>0.0</v>
      </c>
      <c r="T40" s="189">
        <f>U40/U$42</f>
        <v>0.0</v>
      </c>
      <c r="U40" s="191">
        <f>0</f>
        <v>0.0</v>
      </c>
    </row>
    <row r="41">
      <c r="A41" s="188" t="inlineStr">
        <is>
          <t>C₄H₈Cl₂ (berat)</t>
        </is>
      </c>
      <c r="B41" s="189">
        <f>C41/C$42</f>
        <v>0.0</v>
      </c>
      <c r="C41" s="190">
        <f>E41*'Data Komponen'!$D$23</f>
        <v>0.0</v>
      </c>
      <c r="D41" s="189">
        <f>E41/E$42</f>
        <v>0.0</v>
      </c>
      <c r="E41" s="191">
        <f>0</f>
        <v>0.0</v>
      </c>
      <c r="F41" s="189">
        <f>G41/G$42</f>
        <v>0.0</v>
      </c>
      <c r="G41" s="190">
        <f>I41*'Data Komponen'!$D$23</f>
        <v>0.0</v>
      </c>
      <c r="H41" s="189">
        <f>I41/I$42</f>
        <v>0.0</v>
      </c>
      <c r="I41" s="191">
        <f>0</f>
        <v>0.0</v>
      </c>
      <c r="J41" s="189">
        <f>K41/K$42</f>
        <v>0.0</v>
      </c>
      <c r="K41" s="190">
        <f>M41*'Data Komponen'!$D$23</f>
        <v>0.0</v>
      </c>
      <c r="L41" s="189">
        <f>M41/M$42</f>
        <v>0.0</v>
      </c>
      <c r="M41" s="191">
        <f>0</f>
        <v>0.0</v>
      </c>
      <c r="N41" s="189">
        <f>O41/O$42</f>
        <v>0.0</v>
      </c>
      <c r="O41" s="190">
        <f>Q41*'Data Komponen'!$D$23</f>
        <v>0.0</v>
      </c>
      <c r="P41" s="189">
        <f>Q41/Q$42</f>
        <v>0.0</v>
      </c>
      <c r="Q41" s="191">
        <f>0</f>
        <v>0.0</v>
      </c>
      <c r="R41" s="189">
        <f>S41/S$42</f>
        <v>0.0</v>
      </c>
      <c r="S41" s="190">
        <f>U41*'Data Komponen'!$D$23</f>
        <v>0.0</v>
      </c>
      <c r="T41" s="189">
        <f>U41/U$42</f>
        <v>0.0</v>
      </c>
      <c r="U41" s="191">
        <f>0</f>
        <v>0.0</v>
      </c>
    </row>
    <row r="42">
      <c r="A42" s="182" t="inlineStr">
        <is>
          <t>Sub Total</t>
        </is>
      </c>
      <c r="B42" s="189">
        <f>SUM(B21:B41)</f>
        <v>1.0000000000000002</v>
      </c>
      <c r="C42" s="190">
        <f>SUM(C21:C41)</f>
        <v>15377.131878577646</v>
      </c>
      <c r="D42" s="189">
        <f>SUM(D21:D41)</f>
        <v>0.9999999999999999</v>
      </c>
      <c r="E42" s="191">
        <f>SUM(E21:E41)</f>
        <v>217.41802974233588</v>
      </c>
      <c r="F42" s="189">
        <f>SUM(F21:F41)</f>
        <v>1.0</v>
      </c>
      <c r="G42" s="190">
        <f>SUM(G21:G41)</f>
        <v>6100.572183061604</v>
      </c>
      <c r="H42" s="189">
        <f>SUM(H21:H41)</f>
        <v>1.0</v>
      </c>
      <c r="I42" s="191">
        <f>SUM(I21:I41)</f>
        <v>217.4957779331186</v>
      </c>
      <c r="J42" s="189">
        <f>SUM(J21:J41)</f>
        <v>1.0</v>
      </c>
      <c r="K42" s="190">
        <f>SUM(K21:K41)</f>
        <v>4.2858109726273375</v>
      </c>
      <c r="L42" s="189">
        <f>SUM(L21:L41)</f>
        <v>1.0</v>
      </c>
      <c r="M42" s="191">
        <f>SUM(M21:M41)</f>
        <v>0.02642235069805515</v>
      </c>
      <c r="N42" s="189">
        <f>SUM(N21:N41)</f>
        <v>1.0000000000000002</v>
      </c>
      <c r="O42" s="190">
        <f>SUM(O21:O41)</f>
        <v>21384.594459303833</v>
      </c>
      <c r="P42" s="189">
        <f>SUM(P21:P41)</f>
        <v>1.0</v>
      </c>
      <c r="Q42" s="191">
        <f>SUM(Q21:Q41)</f>
        <v>216.06475860322578</v>
      </c>
      <c r="R42" s="189">
        <f>SUM(R21:R41)</f>
        <v>1.0</v>
      </c>
      <c r="S42" s="190">
        <f>SUM(S21:S41)</f>
        <v>97.39541330820659</v>
      </c>
      <c r="T42" s="189">
        <f>SUM(T21:T41)</f>
        <v>1.0000000000000002</v>
      </c>
      <c r="U42" s="191">
        <f>SUM(U21:U41)</f>
        <v>2.407395801428002</v>
      </c>
    </row>
    <row r="43">
      <c r="A43" s="182" t="inlineStr">
        <is>
          <t>TOTAL MASSA</t>
        </is>
      </c>
      <c r="B43" s="190">
        <f>C42+G42+K42</f>
        <v>21481.989872611874</v>
      </c>
      <c r="C43" s="183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4" t="n"/>
      <c r="N43" s="190">
        <f>O42+S42</f>
        <v>21481.98987261204</v>
      </c>
      <c r="O43" s="183" t="n"/>
      <c r="P43" s="183" t="n"/>
      <c r="Q43" s="183" t="n"/>
      <c r="R43" s="183" t="n"/>
      <c r="S43" s="183" t="n"/>
      <c r="T43" s="183" t="n"/>
      <c r="U43" s="184" t="n"/>
    </row>
    <row r="44">
      <c r="A44" s="182" t="inlineStr">
        <is>
          <t>Selisih (Inlet − Outlet), kg/h</t>
        </is>
      </c>
      <c r="B44" s="190">
        <f>B43-N43</f>
        <v>-1.673470251262188e-10</v>
      </c>
      <c r="C44" s="183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4" t="n"/>
    </row>
    <row r="47">
      <c r="A47" s="172" t="inlineStr">
        <is>
          <t>Neraca Energi V-101: Valve Cl₂</t>
        </is>
      </c>
    </row>
    <row r="48">
      <c r="A48" s="174" t="inlineStr">
        <is>
          <t>Reference state: unsur pada 25 °C dan 1 atm (metode panas pembentukan)</t>
        </is>
      </c>
    </row>
    <row r="49">
      <c r="A49" s="182" t="inlineStr">
        <is>
          <t>No. aliran PFD</t>
        </is>
      </c>
      <c r="B49" s="182" t="n">
        <v>1</v>
      </c>
      <c r="C49" s="184" t="n"/>
      <c r="D49" s="182" t="n">
        <v>2</v>
      </c>
      <c r="E49" s="184" t="n"/>
    </row>
    <row r="50">
      <c r="A50" s="182" t="inlineStr">
        <is>
          <t>Dari</t>
        </is>
      </c>
      <c r="B50" s="192" t="inlineStr">
        <is>
          <t>T-101</t>
        </is>
      </c>
      <c r="C50" s="184" t="n"/>
      <c r="D50" s="192" t="inlineStr">
        <is>
          <t>V-101</t>
        </is>
      </c>
      <c r="E50" s="184" t="n"/>
    </row>
    <row r="51">
      <c r="A51" s="182" t="inlineStr">
        <is>
          <t>Ke</t>
        </is>
      </c>
      <c r="B51" s="192" t="inlineStr">
        <is>
          <t>V-101</t>
        </is>
      </c>
      <c r="C51" s="184" t="n"/>
      <c r="D51" s="192" t="inlineStr">
        <is>
          <t>E-101</t>
        </is>
      </c>
      <c r="E51" s="184" t="n"/>
    </row>
    <row r="52">
      <c r="A52" s="182" t="inlineStr">
        <is>
          <t>T (K)</t>
        </is>
      </c>
      <c r="B52" s="193">
        <f>B53+273.15</f>
        <v>303.15</v>
      </c>
      <c r="C52" s="184" t="n"/>
      <c r="D52" s="193">
        <f>'Data Termo'!$D$37</f>
        <v>239.12</v>
      </c>
      <c r="E52" s="184" t="n"/>
    </row>
    <row r="53">
      <c r="A53" s="182" t="inlineStr">
        <is>
          <t>T (°C)</t>
        </is>
      </c>
      <c r="B53" s="193" t="n">
        <v>30</v>
      </c>
      <c r="C53" s="184" t="n"/>
      <c r="D53" s="193">
        <f>IF(ISNUMBER(D52),D52-273.15,"-")</f>
        <v>-34.02999999999997</v>
      </c>
      <c r="E53" s="184" t="n"/>
    </row>
    <row r="54">
      <c r="A54" s="182" t="inlineStr">
        <is>
          <t>P (bar abs)</t>
        </is>
      </c>
      <c r="B54" s="194" t="n">
        <v>8.9</v>
      </c>
      <c r="C54" s="184" t="n"/>
      <c r="D54" s="194" t="n">
        <v>1.01325</v>
      </c>
      <c r="E54" s="184" t="n"/>
    </row>
    <row r="55">
      <c r="A55" s="182" t="inlineStr">
        <is>
          <t>Substance</t>
        </is>
      </c>
      <c r="B55" s="182" t="inlineStr">
        <is>
          <t>INLET</t>
        </is>
      </c>
      <c r="C55" s="184" t="n"/>
      <c r="D55" s="182" t="inlineStr">
        <is>
          <t>OUTLET</t>
        </is>
      </c>
      <c r="E55" s="184" t="n"/>
    </row>
    <row r="56">
      <c r="A56" s="185" t="n"/>
      <c r="B56" s="182" t="inlineStr">
        <is>
          <t>Aliran 1</t>
        </is>
      </c>
      <c r="C56" s="184" t="n"/>
      <c r="D56" s="182" t="inlineStr">
        <is>
          <t>Aliran 2</t>
        </is>
      </c>
      <c r="E56" s="184" t="n"/>
    </row>
    <row r="57">
      <c r="A57" s="186" t="n"/>
      <c r="B57" s="182" t="inlineStr">
        <is>
          <t>ṅᵢ (kmol/h)</t>
        </is>
      </c>
      <c r="C57" s="182" t="inlineStr">
        <is>
          <t>Ĥᵢ (kJ/kmol)</t>
        </is>
      </c>
      <c r="D57" s="182" t="inlineStr">
        <is>
          <t>ṅᵢ (kmol/h)</t>
        </is>
      </c>
      <c r="E57" s="182" t="inlineStr">
        <is>
          <t>Ĥᵢ (kJ/kmol)</t>
        </is>
      </c>
    </row>
    <row r="58">
      <c r="A58" s="188" t="inlineStr">
        <is>
          <t>Cl₂ (l / l+g)</t>
        </is>
      </c>
      <c r="B58" s="191">
        <f>E25</f>
        <v>216.5379062680412</v>
      </c>
      <c r="C58" s="195">
        <f>'Data Termo'!$X$10+('Data Termo'!$J$10*($B$52-298.15)+'Data Termo'!$K$10/2*($B$52^2-298.15^2)+'Data Termo'!$L$10/3*($B$52^3-298.15^3)+'Data Termo'!$M$10/4*($B$52^4-298.15^4))</f>
        <v>-16897.231352605704</v>
      </c>
      <c r="D58" s="191">
        <f>E25</f>
        <v>216.5379062680412</v>
      </c>
      <c r="E58" s="195">
        <f>C58</f>
        <v>-16897.231352605704</v>
      </c>
    </row>
    <row r="59">
      <c r="A59" s="188" t="inlineStr">
        <is>
          <t>CₙHₘ (g)</t>
        </is>
      </c>
      <c r="B59" s="191">
        <f>E26</f>
        <v>0.0038339791506769674</v>
      </c>
      <c r="C59" s="195">
        <f>'Data Termo'!$W$11+('Data Termo'!$E$11*($B$52-298.15)+'Data Termo'!$F$11/2*($B$52^2-298.15^2)+'Data Termo'!$G$11/3*($B$52^3-298.15^3)+'Data Termo'!$H$11/4*($B$52^4-298.15^4)+'Data Termo'!$I$11/5*($B$52^5-298.15^5))</f>
        <v>-74667.83936216985</v>
      </c>
      <c r="D59" s="191">
        <f>E26</f>
        <v>0.0038339791506769674</v>
      </c>
      <c r="E59" s="195">
        <f>C59</f>
        <v>-74667.83936216985</v>
      </c>
    </row>
    <row r="60">
      <c r="A60" s="188" t="inlineStr">
        <is>
          <t>H₂O (l / l+g)</t>
        </is>
      </c>
      <c r="B60" s="191">
        <f>E27</f>
        <v>0.010242885514456384</v>
      </c>
      <c r="C60" s="195">
        <f>'Data Termo'!$X$12+('Data Termo'!$J$12*($B$52-298.15)+'Data Termo'!$K$12/2*($B$52^2-298.15^2)+'Data Termo'!$L$12/3*($B$52^3-298.15^3)+'Data Termo'!$M$12/4*($B$52^4-298.15^4))</f>
        <v>-284115.49215514417</v>
      </c>
      <c r="D60" s="191">
        <f>E27</f>
        <v>0.010242885514456384</v>
      </c>
      <c r="E60" s="195">
        <f>C60</f>
        <v>-284115.49215514417</v>
      </c>
    </row>
    <row r="61">
      <c r="A61" s="188" t="inlineStr">
        <is>
          <t>CₓHᵧCl (g)</t>
        </is>
      </c>
      <c r="B61" s="191">
        <f>E28</f>
        <v>0.0024365602723146326</v>
      </c>
      <c r="C61" s="195">
        <f>'Data Termo'!$W$13+('Data Termo'!$E$13*($B$52-298.15)+'Data Termo'!$F$13/2*($B$52^2-298.15^2)+'Data Termo'!$G$13/3*($B$52^3-298.15^3)+'Data Termo'!$H$13/4*($B$52^4-298.15^4)+'Data Termo'!$I$13/5*($B$52^5-298.15^5))</f>
        <v>-86110.79524117187</v>
      </c>
      <c r="D61" s="191">
        <f>E28</f>
        <v>0.0024365602723146326</v>
      </c>
      <c r="E61" s="195">
        <f>C61</f>
        <v>-86110.79524117187</v>
      </c>
    </row>
    <row r="62">
      <c r="A62" s="188" t="inlineStr">
        <is>
          <t>Br₂ (l / l+g)</t>
        </is>
      </c>
      <c r="B62" s="191">
        <f>E29</f>
        <v>0.008660028716159318</v>
      </c>
      <c r="C62" s="195">
        <f>'Data Termo'!$X$14+('Data Termo'!$J$14*($B$52-298.15)+'Data Termo'!$K$14/2*($B$52^2-298.15^2)+'Data Termo'!$L$14/3*($B$52^3-298.15^3)+'Data Termo'!$M$14/4*($B$52^4-298.15^4))</f>
        <v>-184.5925062215137</v>
      </c>
      <c r="D62" s="191">
        <f>E29</f>
        <v>0.008660028716159318</v>
      </c>
      <c r="E62" s="195">
        <f>C62</f>
        <v>-184.5925062215137</v>
      </c>
    </row>
    <row r="63">
      <c r="A63" s="188" t="inlineStr">
        <is>
          <t>NCl₃ (l / l+g)</t>
        </is>
      </c>
      <c r="B63" s="191">
        <f>E30</f>
        <v>0.0006387709001195385</v>
      </c>
      <c r="C63" s="195">
        <f>'Data Termo'!$X$15+('Data Termo'!$J$15*($B$52-298.15)+'Data Termo'!$K$15/2*($B$52^2-298.15^2)+'Data Termo'!$L$15/3*($B$52^3-298.15^3)+'Data Termo'!$M$15/4*($B$52^4-298.15^4))</f>
        <v>230516.11912634983</v>
      </c>
      <c r="D63" s="191">
        <f>E30</f>
        <v>0.0006387709001195385</v>
      </c>
      <c r="E63" s="195">
        <f>C63</f>
        <v>230516.11912634983</v>
      </c>
    </row>
    <row r="64">
      <c r="A64" s="188" t="inlineStr">
        <is>
          <t>H₂ (g)</t>
        </is>
      </c>
      <c r="B64" s="191">
        <f>E31</f>
        <v>0.2288263672407388</v>
      </c>
      <c r="C64" s="195">
        <f>'Data Termo'!$W$16+('Data Termo'!$E$16*($B$52-298.15)+'Data Termo'!$F$16/2*($B$52^2-298.15^2)+'Data Termo'!$G$16/3*($B$52^3-298.15^3)+'Data Termo'!$H$16/4*($B$52^4-298.15^4)+'Data Termo'!$I$16/5*($B$52^5-298.15^5))</f>
        <v>143.87915687151903</v>
      </c>
      <c r="D64" s="191">
        <f>E31</f>
        <v>0.2288263672407388</v>
      </c>
      <c r="E64" s="195">
        <f>C64</f>
        <v>143.87915687151903</v>
      </c>
    </row>
    <row r="65">
      <c r="A65" s="188" t="inlineStr">
        <is>
          <t>O₂ (g)</t>
        </is>
      </c>
      <c r="B65" s="191">
        <f>E32</f>
        <v>0.08649906991293405</v>
      </c>
      <c r="C65" s="195">
        <f>'Data Termo'!$W$17+('Data Termo'!$E$17*($B$52-298.15)+'Data Termo'!$F$17/2*($B$52^2-298.15^2)+'Data Termo'!$G$17/3*($B$52^3-298.15^3)+'Data Termo'!$H$17/4*($B$52^4-298.15^4)+'Data Termo'!$I$17/5*($B$52^5-298.15^5))</f>
        <v>147.3914273715615</v>
      </c>
      <c r="D65" s="191">
        <f>E32</f>
        <v>0.08649906991293405</v>
      </c>
      <c r="E65" s="195">
        <f>C65</f>
        <v>147.3914273715615</v>
      </c>
    </row>
    <row r="66">
      <c r="A66" s="188" t="inlineStr">
        <is>
          <t>N₂ (g)</t>
        </is>
      </c>
      <c r="B66" s="191">
        <f>E33</f>
        <v>0.3293452961785746</v>
      </c>
      <c r="C66" s="195">
        <f>'Data Termo'!$W$18+('Data Termo'!$E$18*($B$52-298.15)+'Data Termo'!$F$18/2*($B$52^2-298.15^2)+'Data Termo'!$G$18/3*($B$52^3-298.15^3)+'Data Termo'!$H$18/4*($B$52^4-298.15^4)+'Data Termo'!$I$18/5*($B$52^5-298.15^5))</f>
        <v>145.36791939601756</v>
      </c>
      <c r="D66" s="191">
        <f>E33</f>
        <v>0.3293452961785746</v>
      </c>
      <c r="E66" s="195">
        <f>C66</f>
        <v>145.36791939601756</v>
      </c>
    </row>
    <row r="67">
      <c r="A67" s="188" t="inlineStr">
        <is>
          <t>CO₂ (g)</t>
        </is>
      </c>
      <c r="B67" s="191">
        <f>E34</f>
        <v>0.20964051640869322</v>
      </c>
      <c r="C67" s="195">
        <f>'Data Termo'!$W$19+('Data Termo'!$E$19*($B$52-298.15)+'Data Termo'!$F$19/2*($B$52^2-298.15^2)+'Data Termo'!$G$19/3*($B$52^3-298.15^3)+'Data Termo'!$H$19/4*($B$52^4-298.15^4)+'Data Termo'!$I$19/5*($B$52^5-298.15^5))</f>
        <v>-393307.51218819985</v>
      </c>
      <c r="D67" s="191">
        <f>E34</f>
        <v>0.20964051640869322</v>
      </c>
      <c r="E67" s="195">
        <f>C67</f>
        <v>-393307.51218819985</v>
      </c>
    </row>
    <row r="68">
      <c r="A68" s="196" t="inlineStr">
        <is>
          <t>Sub Total ṅᵢĤᵢ (kJ/h)</t>
        </is>
      </c>
      <c r="B68" s="197">
        <f>SUMPRODUCT(B58:B67,C58:C67)</f>
        <v>-3744511.3431044254</v>
      </c>
      <c r="C68" s="184" t="n"/>
      <c r="D68" s="197">
        <f>SUMPRODUCT(D58:D67,E58:E67)</f>
        <v>-3744511.3431044254</v>
      </c>
      <c r="E68" s="184" t="n"/>
    </row>
    <row r="69">
      <c r="A69" s="188" t="inlineStr">
        <is>
          <t>Heat of reaction / heat of mixing</t>
        </is>
      </c>
      <c r="B69" s="198" t="inlineStr">
        <is>
          <t>-</t>
        </is>
      </c>
      <c r="C69" s="183" t="n"/>
      <c r="D69" s="183" t="n"/>
      <c r="E69" s="184" t="n"/>
    </row>
    <row r="70">
      <c r="A70" s="196" t="inlineStr">
        <is>
          <t>Q (kJ/h)</t>
        </is>
      </c>
      <c r="B70" s="197" t="n">
        <v>0</v>
      </c>
      <c r="C70" s="183" t="n"/>
      <c r="D70" s="183" t="n"/>
      <c r="E70" s="184" t="n"/>
    </row>
    <row r="71">
      <c r="A71" s="196" t="inlineStr">
        <is>
          <t>W (kJ/h)</t>
        </is>
      </c>
      <c r="B71" s="197" t="n">
        <v>0</v>
      </c>
      <c r="C71" s="183" t="n"/>
      <c r="D71" s="183" t="n"/>
      <c r="E71" s="184" t="n"/>
    </row>
    <row r="72">
      <c r="A72" s="196" t="inlineStr">
        <is>
          <t>TOTAL (kJ/h)</t>
        </is>
      </c>
      <c r="B72" s="197">
        <f>B68+$B$70+$B$71</f>
        <v>-3744511.3431044254</v>
      </c>
      <c r="C72" s="184" t="n"/>
      <c r="D72" s="197">
        <f>D68</f>
        <v>-3744511.3431044254</v>
      </c>
      <c r="E72" s="184" t="n"/>
    </row>
    <row r="73">
      <c r="A73" s="188" t="inlineStr">
        <is>
          <t>Selisih masuk − keluar (kJ/h)</t>
        </is>
      </c>
      <c r="B73" s="195">
        <f>B72-D72</f>
        <v>0.0</v>
      </c>
      <c r="C73" s="183" t="n"/>
      <c r="D73" s="183" t="n"/>
      <c r="E73" s="184" t="n"/>
    </row>
    <row r="74">
      <c r="A74" s="188" t="inlineStr">
        <is>
          <t>Q (kW)</t>
        </is>
      </c>
      <c r="B74" s="195">
        <f>$B$70/3600</f>
        <v>0.0</v>
      </c>
      <c r="C74" s="183" t="n"/>
      <c r="D74" s="183" t="n"/>
      <c r="E74" s="184" t="n"/>
    </row>
    <row r="75">
      <c r="A75" s="188" t="inlineStr">
        <is>
          <t>W (kW)</t>
        </is>
      </c>
      <c r="B75" s="195">
        <f>$B$71/3600</f>
        <v>0.0</v>
      </c>
      <c r="C75" s="183" t="n"/>
      <c r="D75" s="183" t="n"/>
      <c r="E75" s="184" t="n"/>
    </row>
    <row r="78">
      <c r="A78" s="172" t="inlineStr">
        <is>
          <t>Neraca Energi E-101: Vaporizer Cl₂</t>
        </is>
      </c>
    </row>
    <row r="79">
      <c r="A79" s="174" t="inlineStr">
        <is>
          <t>Reference state: unsur pada 25 °C dan 1 atm (metode panas pembentukan)</t>
        </is>
      </c>
    </row>
    <row r="80">
      <c r="A80" s="182" t="inlineStr">
        <is>
          <t>No. aliran PFD</t>
        </is>
      </c>
      <c r="B80" s="182" t="n">
        <v>2</v>
      </c>
      <c r="C80" s="184" t="n"/>
      <c r="D80" s="182" t="n">
        <v>3</v>
      </c>
      <c r="E80" s="184" t="n"/>
    </row>
    <row r="81">
      <c r="A81" s="182" t="inlineStr">
        <is>
          <t>Dari</t>
        </is>
      </c>
      <c r="B81" s="192" t="inlineStr">
        <is>
          <t>V-101</t>
        </is>
      </c>
      <c r="C81" s="184" t="n"/>
      <c r="D81" s="192" t="inlineStr">
        <is>
          <t>E-101</t>
        </is>
      </c>
      <c r="E81" s="184" t="n"/>
    </row>
    <row r="82">
      <c r="A82" s="182" t="inlineStr">
        <is>
          <t>Ke</t>
        </is>
      </c>
      <c r="B82" s="192" t="inlineStr">
        <is>
          <t>E-101</t>
        </is>
      </c>
      <c r="C82" s="184" t="n"/>
      <c r="D82" s="192" t="inlineStr">
        <is>
          <t>R-01</t>
        </is>
      </c>
      <c r="E82" s="184" t="n"/>
    </row>
    <row r="83">
      <c r="A83" s="182" t="inlineStr">
        <is>
          <t>T (K)</t>
        </is>
      </c>
      <c r="B83" s="193">
        <f>$D$52</f>
        <v>239.12</v>
      </c>
      <c r="C83" s="184" t="n"/>
      <c r="D83" s="193">
        <f>'Data Termo'!$D$37+$B$11</f>
        <v>250.12</v>
      </c>
      <c r="E83" s="184" t="n"/>
    </row>
    <row r="84">
      <c r="A84" s="182" t="inlineStr">
        <is>
          <t>T (°C)</t>
        </is>
      </c>
      <c r="B84" s="193">
        <f>$D$53</f>
        <v>-34.02999999999997</v>
      </c>
      <c r="C84" s="184" t="n"/>
      <c r="D84" s="193">
        <f>IF(ISNUMBER(D83),D83-273.15,"-")</f>
        <v>-23.029999999999973</v>
      </c>
      <c r="E84" s="184" t="n"/>
    </row>
    <row r="85">
      <c r="A85" s="182" t="inlineStr">
        <is>
          <t>P (bar abs)</t>
        </is>
      </c>
      <c r="B85" s="194">
        <f>$D$54</f>
        <v>1.01325</v>
      </c>
      <c r="C85" s="184" t="n"/>
      <c r="D85" s="194" t="n">
        <v>1.01325</v>
      </c>
      <c r="E85" s="184" t="n"/>
    </row>
    <row r="86">
      <c r="A86" s="182" t="inlineStr">
        <is>
          <t>Substance</t>
        </is>
      </c>
      <c r="B86" s="182" t="inlineStr">
        <is>
          <t>INLET</t>
        </is>
      </c>
      <c r="C86" s="184" t="n"/>
      <c r="D86" s="182" t="inlineStr">
        <is>
          <t>OUTLET</t>
        </is>
      </c>
      <c r="E86" s="184" t="n"/>
    </row>
    <row r="87">
      <c r="A87" s="185" t="n"/>
      <c r="B87" s="182" t="inlineStr">
        <is>
          <t>Aliran 2</t>
        </is>
      </c>
      <c r="C87" s="184" t="n"/>
      <c r="D87" s="182" t="inlineStr">
        <is>
          <t>Aliran 3</t>
        </is>
      </c>
      <c r="E87" s="184" t="n"/>
    </row>
    <row r="88">
      <c r="A88" s="186" t="n"/>
      <c r="B88" s="182" t="inlineStr">
        <is>
          <t>ṅᵢ (kmol/h)</t>
        </is>
      </c>
      <c r="C88" s="182" t="inlineStr">
        <is>
          <t>Ĥᵢ (kJ/kmol)</t>
        </is>
      </c>
      <c r="D88" s="182" t="inlineStr">
        <is>
          <t>ṅᵢ (kmol/h)</t>
        </is>
      </c>
      <c r="E88" s="182" t="inlineStr">
        <is>
          <t>Ĥᵢ (kJ/kmol)</t>
        </is>
      </c>
    </row>
    <row r="89">
      <c r="A89" s="188" t="inlineStr">
        <is>
          <t>Cl₂ (l+g / g)</t>
        </is>
      </c>
      <c r="B89" s="191">
        <f>E25</f>
        <v>216.5379062680412</v>
      </c>
      <c r="C89" s="195">
        <f>$C$58</f>
        <v>-16897.231352605704</v>
      </c>
      <c r="D89" s="191">
        <f>E25</f>
        <v>216.5379062680412</v>
      </c>
      <c r="E89" s="195">
        <f>'Data Termo'!$W$10+('Data Termo'!$E$10*($D$83-298.15)+'Data Termo'!$F$10/2*($D$83^2-298.15^2)+'Data Termo'!$G$10/3*($D$83^3-298.15^3)+'Data Termo'!$H$10/4*($D$83^4-298.15^4)+'Data Termo'!$I$10/5*($D$83^5-298.15^5))</f>
        <v>-1602.1264870320567</v>
      </c>
    </row>
    <row r="90">
      <c r="A90" s="188" t="inlineStr">
        <is>
          <t>CₙHₘ (g)</t>
        </is>
      </c>
      <c r="B90" s="191">
        <f>E26</f>
        <v>0.0038339791506769674</v>
      </c>
      <c r="C90" s="195">
        <f>$C$59</f>
        <v>-74667.83936216985</v>
      </c>
      <c r="D90" s="191">
        <f>E26</f>
        <v>0.0038339791506769674</v>
      </c>
      <c r="E90" s="195">
        <f>'Data Termo'!$W$11+('Data Termo'!$E$11*($D$83-298.15)+'Data Termo'!$F$11/2*($D$83^2-298.15^2)+'Data Termo'!$G$11/3*($D$83^3-298.15^3)+'Data Termo'!$H$11/4*($D$83^4-298.15^4)+'Data Termo'!$I$11/5*($D$83^5-298.15^5))</f>
        <v>-76554.61916713568</v>
      </c>
    </row>
    <row r="91">
      <c r="A91" s="188" t="inlineStr">
        <is>
          <t>H₂O (l+g / g)</t>
        </is>
      </c>
      <c r="B91" s="191">
        <f>E27</f>
        <v>0.010242885514456384</v>
      </c>
      <c r="C91" s="195">
        <f>$C$60</f>
        <v>-284115.49215514417</v>
      </c>
      <c r="D91" s="191">
        <f>E27</f>
        <v>0.010242885514456384</v>
      </c>
      <c r="E91" s="195">
        <f>'Data Termo'!$W$12+('Data Termo'!$E$12*($D$83-298.15)+'Data Termo'!$F$12/2*($D$83^2-298.15^2)+'Data Termo'!$G$12/3*($D$83^3-298.15^3)+'Data Termo'!$H$12/4*($D$83^4-298.15^4)+'Data Termo'!$I$12/5*($D$83^5-298.15^5))</f>
        <v>-243410.42167912226</v>
      </c>
    </row>
    <row r="92">
      <c r="A92" s="188" t="inlineStr">
        <is>
          <t>CₓHᵧCl (g)</t>
        </is>
      </c>
      <c r="B92" s="191">
        <f>E28</f>
        <v>0.0024365602723146326</v>
      </c>
      <c r="C92" s="195">
        <f>$C$61</f>
        <v>-86110.79524117187</v>
      </c>
      <c r="D92" s="191">
        <f>E28</f>
        <v>0.0024365602723146326</v>
      </c>
      <c r="E92" s="195">
        <f>'Data Termo'!$W$13+('Data Termo'!$E$13*($D$83-298.15)+'Data Termo'!$F$13/2*($D$83^2-298.15^2)+'Data Termo'!$G$13/3*($D$83^3-298.15^3)+'Data Termo'!$H$13/4*($D$83^4-298.15^4)+'Data Termo'!$I$13/5*($D$83^5-298.15^5))</f>
        <v>-88251.72202049766</v>
      </c>
    </row>
    <row r="93">
      <c r="A93" s="188" t="inlineStr">
        <is>
          <t>Br₂ (l+g / g)</t>
        </is>
      </c>
      <c r="B93" s="191">
        <f>E29</f>
        <v>0.008660028716159318</v>
      </c>
      <c r="C93" s="195">
        <f>$C$62</f>
        <v>-184.5925062215137</v>
      </c>
      <c r="D93" s="191">
        <f>E29</f>
        <v>0.008660028716159318</v>
      </c>
      <c r="E93" s="195">
        <f>'Data Termo'!$W$14+('Data Termo'!$E$14*($D$83-298.15)+'Data Termo'!$F$14/2*($D$83^2-298.15^2)+'Data Termo'!$G$14/3*($D$83^3-298.15^3)+'Data Termo'!$H$14/4*($D$83^4-298.15^4)+'Data Termo'!$I$14/5*($D$83^5-298.15^5))</f>
        <v>29197.273632732045</v>
      </c>
    </row>
    <row r="94">
      <c r="A94" s="188" t="inlineStr">
        <is>
          <t>NCl₃ (l+g / g)</t>
        </is>
      </c>
      <c r="B94" s="191">
        <f>E30</f>
        <v>0.0006387709001195385</v>
      </c>
      <c r="C94" s="195">
        <f>$C$63</f>
        <v>230516.11912634983</v>
      </c>
      <c r="D94" s="191">
        <f>E30</f>
        <v>0.0006387709001195385</v>
      </c>
      <c r="E94" s="195">
        <f>'Data Termo'!$X$15+('Data Termo'!$J$15*($D$83-298.15)+'Data Termo'!$K$15/2*($D$83^2-298.15^2)+'Data Termo'!$L$15/3*($D$83^3-298.15^3)+'Data Termo'!$M$15/4*($D$83^4-298.15^4))+('Data Termo'!$Q$15*1000*MAX(0,1-$D$83/'Data Termo'!$R$15)^'Data Termo'!$S$15)</f>
        <v>259862.27337757195</v>
      </c>
    </row>
    <row r="95">
      <c r="A95" s="188" t="inlineStr">
        <is>
          <t>H₂ (g)</t>
        </is>
      </c>
      <c r="B95" s="191">
        <f>E31</f>
        <v>0.2288263672407388</v>
      </c>
      <c r="C95" s="195">
        <f>$C$64</f>
        <v>143.87915687151903</v>
      </c>
      <c r="D95" s="191">
        <f>E31</f>
        <v>0.2288263672407388</v>
      </c>
      <c r="E95" s="195">
        <f>'Data Termo'!$W$16+('Data Termo'!$E$16*($D$83-298.15)+'Data Termo'!$F$16/2*($D$83^2-298.15^2)+'Data Termo'!$G$16/3*($D$83^3-298.15^3)+'Data Termo'!$H$16/4*($D$83^4-298.15^4)+'Data Termo'!$I$16/5*($D$83^5-298.15^5))</f>
        <v>-1375.4693250940338</v>
      </c>
    </row>
    <row r="96">
      <c r="A96" s="188" t="inlineStr">
        <is>
          <t>O₂ (g)</t>
        </is>
      </c>
      <c r="B96" s="191">
        <f>E32</f>
        <v>0.08649906991293405</v>
      </c>
      <c r="C96" s="195">
        <f>$C$65</f>
        <v>147.3914273715615</v>
      </c>
      <c r="D96" s="191">
        <f>E32</f>
        <v>0.08649906991293405</v>
      </c>
      <c r="E96" s="195">
        <f>'Data Termo'!$W$17+('Data Termo'!$E$17*($D$83-298.15)+'Data Termo'!$F$17/2*($D$83^2-298.15^2)+'Data Termo'!$G$17/3*($D$83^3-298.15^3)+'Data Termo'!$H$17/4*($D$83^4-298.15^4)+'Data Termo'!$I$17/5*($D$83^5-298.15^5))</f>
        <v>-1408.6688626001057</v>
      </c>
    </row>
    <row r="97">
      <c r="A97" s="188" t="inlineStr">
        <is>
          <t>N₂ (g)</t>
        </is>
      </c>
      <c r="B97" s="191">
        <f>E33</f>
        <v>0.3293452961785746</v>
      </c>
      <c r="C97" s="195">
        <f>$C$66</f>
        <v>145.36791939601756</v>
      </c>
      <c r="D97" s="191">
        <f>E33</f>
        <v>0.3293452961785746</v>
      </c>
      <c r="E97" s="195">
        <f>'Data Termo'!$W$18+('Data Termo'!$E$18*($D$83-298.15)+'Data Termo'!$F$18/2*($D$83^2-298.15^2)+'Data Termo'!$G$18/3*($D$83^3-298.15^3)+'Data Termo'!$H$18/4*($D$83^4-298.15^4)+'Data Termo'!$I$18/5*($D$83^5-298.15^5))</f>
        <v>-1394.9270651533782</v>
      </c>
    </row>
    <row r="98">
      <c r="A98" s="188" t="inlineStr">
        <is>
          <t>CO₂ (g)</t>
        </is>
      </c>
      <c r="B98" s="191">
        <f>E34</f>
        <v>0.20964051640869322</v>
      </c>
      <c r="C98" s="195">
        <f>$C$67</f>
        <v>-393307.51218819985</v>
      </c>
      <c r="D98" s="191">
        <f>E34</f>
        <v>0.20964051640869322</v>
      </c>
      <c r="E98" s="195">
        <f>'Data Termo'!$W$19+('Data Termo'!$E$19*($D$83-298.15)+'Data Termo'!$F$19/2*($D$83^2-298.15^2)+'Data Termo'!$G$19/3*($D$83^3-298.15^3)+'Data Termo'!$H$19/4*($D$83^4-298.15^4)+'Data Termo'!$I$19/5*($D$83^5-298.15^5))</f>
        <v>-395308.0875757678</v>
      </c>
    </row>
    <row r="99">
      <c r="A99" s="196" t="inlineStr">
        <is>
          <t>Sub Total ṅᵢĤᵢ (kJ/h)</t>
        </is>
      </c>
      <c r="B99" s="197">
        <f>SUMPRODUCT(B89:B98,C89:C98)</f>
        <v>-3744511.3431044254</v>
      </c>
      <c r="C99" s="184" t="n"/>
      <c r="D99" s="197">
        <f>SUMPRODUCT(D89:D98,E89:E98)</f>
        <v>-433272.63441070623</v>
      </c>
      <c r="E99" s="184" t="n"/>
    </row>
    <row r="100">
      <c r="A100" s="188" t="inlineStr">
        <is>
          <t>Heat of reaction / heat of mixing</t>
        </is>
      </c>
      <c r="B100" s="198" t="inlineStr">
        <is>
          <t>-</t>
        </is>
      </c>
      <c r="C100" s="183" t="n"/>
      <c r="D100" s="183" t="n"/>
      <c r="E100" s="184" t="n"/>
    </row>
    <row r="101">
      <c r="A101" s="196" t="inlineStr">
        <is>
          <t>Q (kJ/h)</t>
        </is>
      </c>
      <c r="B101" s="197">
        <f>(D99)-(B99)</f>
        <v>3311238.708693719</v>
      </c>
      <c r="C101" s="183" t="n"/>
      <c r="D101" s="183" t="n"/>
      <c r="E101" s="184" t="n"/>
    </row>
    <row r="102">
      <c r="A102" s="196" t="inlineStr">
        <is>
          <t>W (kJ/h)</t>
        </is>
      </c>
      <c r="B102" s="197" t="n">
        <v>0</v>
      </c>
      <c r="C102" s="183" t="n"/>
      <c r="D102" s="183" t="n"/>
      <c r="E102" s="184" t="n"/>
    </row>
    <row r="103">
      <c r="A103" s="196" t="inlineStr">
        <is>
          <t>TOTAL (kJ/h)</t>
        </is>
      </c>
      <c r="B103" s="197">
        <f>B99+$B$101+$B$102</f>
        <v>-433272.63441070635</v>
      </c>
      <c r="C103" s="184" t="n"/>
      <c r="D103" s="197">
        <f>D99</f>
        <v>-433272.63441070623</v>
      </c>
      <c r="E103" s="184" t="n"/>
    </row>
    <row r="104">
      <c r="A104" s="188" t="inlineStr">
        <is>
          <t>Selisih masuk − keluar (kJ/h)</t>
        </is>
      </c>
      <c r="B104" s="195">
        <f>B103-D103</f>
        <v>-1.1641532182693481e-10</v>
      </c>
      <c r="C104" s="183" t="n"/>
      <c r="D104" s="183" t="n"/>
      <c r="E104" s="184" t="n"/>
    </row>
    <row r="105">
      <c r="A105" s="188" t="inlineStr">
        <is>
          <t>Q (kW)</t>
        </is>
      </c>
      <c r="B105" s="195">
        <f>$B$101/3600</f>
        <v>919.7885301926997</v>
      </c>
      <c r="C105" s="183" t="n"/>
      <c r="D105" s="183" t="n"/>
      <c r="E105" s="184" t="n"/>
    </row>
    <row r="106">
      <c r="A106" s="188" t="inlineStr">
        <is>
          <t>W (kW)</t>
        </is>
      </c>
      <c r="B106" s="195">
        <f>$B$102/3600</f>
        <v>0.0</v>
      </c>
      <c r="C106" s="183" t="n"/>
      <c r="D106" s="183" t="n"/>
      <c r="E106" s="184" t="n"/>
    </row>
    <row r="109">
      <c r="A109" s="172" t="inlineStr">
        <is>
          <t>Neraca Energi T-102: Tangki penyangga etilena</t>
        </is>
      </c>
    </row>
    <row r="110">
      <c r="A110" s="174" t="inlineStr">
        <is>
          <t>Reference state: unsur pada 25 °C dan 1 atm (metode panas pembentukan)</t>
        </is>
      </c>
    </row>
    <row r="111">
      <c r="A111" s="182" t="inlineStr">
        <is>
          <t>No. aliran PFD</t>
        </is>
      </c>
      <c r="B111" s="182" t="n">
        <v>4</v>
      </c>
      <c r="C111" s="184" t="n"/>
      <c r="D111" s="182" t="n">
        <v>5</v>
      </c>
      <c r="E111" s="184" t="n"/>
    </row>
    <row r="112">
      <c r="A112" s="182" t="inlineStr">
        <is>
          <t>Dari</t>
        </is>
      </c>
      <c r="B112" s="192" t="inlineStr">
        <is>
          <t>Pipa etilena</t>
        </is>
      </c>
      <c r="C112" s="184" t="n"/>
      <c r="D112" s="192" t="inlineStr">
        <is>
          <t>T-102</t>
        </is>
      </c>
      <c r="E112" s="184" t="n"/>
    </row>
    <row r="113">
      <c r="A113" s="182" t="inlineStr">
        <is>
          <t>Ke</t>
        </is>
      </c>
      <c r="B113" s="192" t="inlineStr">
        <is>
          <t>T-102</t>
        </is>
      </c>
      <c r="C113" s="184" t="n"/>
      <c r="D113" s="192" t="inlineStr">
        <is>
          <t>V-102</t>
        </is>
      </c>
      <c r="E113" s="184" t="n"/>
    </row>
    <row r="114">
      <c r="A114" s="182" t="inlineStr">
        <is>
          <t>T (K)</t>
        </is>
      </c>
      <c r="B114" s="193">
        <f>B115+273.15</f>
        <v>303.15</v>
      </c>
      <c r="C114" s="184" t="n"/>
      <c r="D114" s="193">
        <f>D115+273.15</f>
        <v>303.15</v>
      </c>
      <c r="E114" s="184" t="n"/>
    </row>
    <row r="115">
      <c r="A115" s="182" t="inlineStr">
        <is>
          <t>T (°C)</t>
        </is>
      </c>
      <c r="B115" s="193" t="n">
        <v>30</v>
      </c>
      <c r="C115" s="184" t="n"/>
      <c r="D115" s="193" t="n">
        <v>30</v>
      </c>
      <c r="E115" s="184" t="n"/>
    </row>
    <row r="116">
      <c r="A116" s="182" t="inlineStr">
        <is>
          <t>P (bar abs)</t>
        </is>
      </c>
      <c r="B116" s="194" t="n">
        <v>36.3</v>
      </c>
      <c r="C116" s="184" t="n"/>
      <c r="D116" s="194" t="n">
        <v>36.3</v>
      </c>
      <c r="E116" s="184" t="n"/>
    </row>
    <row r="117">
      <c r="A117" s="182" t="inlineStr">
        <is>
          <t>Substance</t>
        </is>
      </c>
      <c r="B117" s="182" t="inlineStr">
        <is>
          <t>INLET</t>
        </is>
      </c>
      <c r="C117" s="184" t="n"/>
      <c r="D117" s="182" t="inlineStr">
        <is>
          <t>OUTLET</t>
        </is>
      </c>
      <c r="E117" s="184" t="n"/>
    </row>
    <row r="118">
      <c r="A118" s="185" t="n"/>
      <c r="B118" s="182" t="inlineStr">
        <is>
          <t>Aliran 4</t>
        </is>
      </c>
      <c r="C118" s="184" t="n"/>
      <c r="D118" s="182" t="inlineStr">
        <is>
          <t>Aliran 5</t>
        </is>
      </c>
      <c r="E118" s="184" t="n"/>
    </row>
    <row r="119">
      <c r="A119" s="186" t="n"/>
      <c r="B119" s="182" t="inlineStr">
        <is>
          <t>ṅᵢ (kmol/h)</t>
        </is>
      </c>
      <c r="C119" s="182" t="inlineStr">
        <is>
          <t>Ĥᵢ (kJ/kmol)</t>
        </is>
      </c>
      <c r="D119" s="182" t="inlineStr">
        <is>
          <t>ṅᵢ (kmol/h)</t>
        </is>
      </c>
      <c r="E119" s="182" t="inlineStr">
        <is>
          <t>Ĥᵢ (kJ/kmol)</t>
        </is>
      </c>
    </row>
    <row r="120">
      <c r="A120" s="188" t="inlineStr">
        <is>
          <t>C₂H₄ (g)</t>
        </is>
      </c>
      <c r="B120" s="191">
        <f>I21+'NME-2 Oksiklorinasi'!E20</f>
        <v>420.6434440993977</v>
      </c>
      <c r="C120" s="195">
        <f>'Data Termo'!$W$6+('Data Termo'!$E$6*($B$114-298.15)+'Data Termo'!$F$6/2*($B$114^2-298.15^2)+'Data Termo'!$G$6/3*($B$114^3-298.15^3)+'Data Termo'!$H$6/4*($B$114^4-298.15^4)+'Data Termo'!$I$6/5*($B$114^5-298.15^5))</f>
        <v>52520.58368938839</v>
      </c>
      <c r="D120" s="191">
        <f>I21+'NME-2 Oksiklorinasi'!E20</f>
        <v>420.6434440993977</v>
      </c>
      <c r="E120" s="195">
        <f>'Data Termo'!$W$6+('Data Termo'!$E$6*($D$114-298.15)+'Data Termo'!$F$6/2*($D$114^2-298.15^2)+'Data Termo'!$G$6/3*($D$114^3-298.15^3)+'Data Termo'!$H$6/4*($D$114^4-298.15^4)+'Data Termo'!$I$6/5*($D$114^5-298.15^5))</f>
        <v>52520.58368938839</v>
      </c>
    </row>
    <row r="121">
      <c r="A121" s="188" t="inlineStr">
        <is>
          <t>CH₄ (g)</t>
        </is>
      </c>
      <c r="B121" s="191">
        <f>I22+'NME-2 Oksiklorinasi'!E21</f>
        <v>0.17031229265255882</v>
      </c>
      <c r="C121" s="195">
        <f>'Data Termo'!$W$7+('Data Termo'!$E$7*($B$114-298.15)+'Data Termo'!$F$7/2*($B$114^2-298.15^2)+'Data Termo'!$G$7/3*($B$114^3-298.15^3)+'Data Termo'!$H$7/4*($B$114^4-298.15^4)+'Data Termo'!$I$7/5*($B$114^5-298.15^5))</f>
        <v>-74667.83936216985</v>
      </c>
      <c r="D121" s="191">
        <f>I22+'NME-2 Oksiklorinasi'!E21</f>
        <v>0.17031229265255882</v>
      </c>
      <c r="E121" s="195">
        <f>'Data Termo'!$W$7+('Data Termo'!$E$7*($D$114-298.15)+'Data Termo'!$F$7/2*($D$114^2-298.15^2)+'Data Termo'!$G$7/3*($D$114^3-298.15^3)+'Data Termo'!$H$7/4*($D$114^4-298.15^4)+'Data Termo'!$I$7/5*($D$114^5-298.15^5))</f>
        <v>-74667.83936216985</v>
      </c>
    </row>
    <row r="122">
      <c r="A122" s="188" t="inlineStr">
        <is>
          <t>C₂H₆ (g)</t>
        </is>
      </c>
      <c r="B122" s="191">
        <f>I23+'NME-2 Oksiklorinasi'!E22</f>
        <v>0.0049586190845116096</v>
      </c>
      <c r="C122" s="195">
        <f>'Data Termo'!$W$8+('Data Termo'!$E$8*($B$114-298.15)+'Data Termo'!$F$8/2*($B$114^2-298.15^2)+'Data Termo'!$G$8/3*($B$114^3-298.15^3)+'Data Termo'!$H$8/4*($B$114^4-298.15^4)+'Data Termo'!$I$8/5*($B$114^5-298.15^5))</f>
        <v>-84412.08005455934</v>
      </c>
      <c r="D122" s="191">
        <f>I23+'NME-2 Oksiklorinasi'!E22</f>
        <v>0.0049586190845116096</v>
      </c>
      <c r="E122" s="195">
        <f>'Data Termo'!$W$8+('Data Termo'!$E$8*($D$114-298.15)+'Data Termo'!$F$8/2*($D$114^2-298.15^2)+'Data Termo'!$G$8/3*($D$114^3-298.15^3)+'Data Termo'!$H$8/4*($D$114^4-298.15^4)+'Data Termo'!$I$8/5*($D$114^5-298.15^5))</f>
        <v>-84412.08005455934</v>
      </c>
    </row>
    <row r="123">
      <c r="A123" s="188" t="inlineStr">
        <is>
          <t>C₂H₂ (g)</t>
        </is>
      </c>
      <c r="B123" s="191">
        <f>I24+'NME-2 Oksiklorinasi'!E23</f>
        <v>0.002193271289817931</v>
      </c>
      <c r="C123" s="195">
        <f>'Data Termo'!$W$9+('Data Termo'!$E$9*($B$114-298.15)+'Data Termo'!$F$9/2*($B$114^2-298.15^2)+'Data Termo'!$G$9/3*($B$114^3-298.15^3)+'Data Termo'!$H$9/4*($B$114^4-298.15^4)+'Data Termo'!$I$9/5*($B$114^5-298.15^5))</f>
        <v>226953.1899656809</v>
      </c>
      <c r="D123" s="191">
        <f>I24+'NME-2 Oksiklorinasi'!E23</f>
        <v>0.002193271289817931</v>
      </c>
      <c r="E123" s="195">
        <f>'Data Termo'!$W$9+('Data Termo'!$E$9*($D$114-298.15)+'Data Termo'!$F$9/2*($D$114^2-298.15^2)+'Data Termo'!$G$9/3*($D$114^3-298.15^3)+'Data Termo'!$H$9/4*($D$114^4-298.15^4)+'Data Termo'!$I$9/5*($D$114^5-298.15^5))</f>
        <v>226953.1899656809</v>
      </c>
    </row>
    <row r="124">
      <c r="A124" s="188" t="inlineStr">
        <is>
          <t>Koreksi gas nyata (kJ/h)</t>
        </is>
      </c>
      <c r="B124" s="195">
        <f>SUM(B120:B123)*('Data Termo'!$D$40*'Data Termo'!$D$30*($B$116/'Data Termo'!$D$31)*((0.083-0.422/($B$114/'Data Termo'!$D$30)^1.6)-($B$114/'Data Termo'!$D$30)*0.675/($B$114/'Data Termo'!$D$30)^2.6+'Data Termo'!$D$32*((0.139-0.172/($B$114/'Data Termo'!$D$30)^4.2)-($B$114/'Data Termo'!$D$30)*0.722/($B$114/'Data Termo'!$D$30)^5.2)))</f>
        <v>-670389.3432831898</v>
      </c>
      <c r="C124" s="184" t="n"/>
      <c r="D124" s="195">
        <f>SUM(D120:D123)*('Data Termo'!$D$40*'Data Termo'!$D$30*($D$116/'Data Termo'!$D$31)*((0.083-0.422/($D$114/'Data Termo'!$D$30)^1.6)-($D$114/'Data Termo'!$D$30)*0.675/($D$114/'Data Termo'!$D$30)^2.6+'Data Termo'!$D$32*((0.139-0.172/($D$114/'Data Termo'!$D$30)^4.2)-($D$114/'Data Termo'!$D$30)*0.722/($D$114/'Data Termo'!$D$30)^5.2)))</f>
        <v>-670389.3432831898</v>
      </c>
      <c r="E124" s="184" t="n"/>
    </row>
    <row r="125">
      <c r="A125" s="196" t="inlineStr">
        <is>
          <t>Sub Total ṅᵢĤᵢ (kJ/h)</t>
        </is>
      </c>
      <c r="B125" s="197">
        <f>SUMPRODUCT(B120:B123,C120:C123)+B124</f>
        <v>21409412.217587173</v>
      </c>
      <c r="C125" s="184" t="n"/>
      <c r="D125" s="197">
        <f>SUMPRODUCT(D120:D123,E120:E123)+D124</f>
        <v>21409412.217587173</v>
      </c>
      <c r="E125" s="184" t="n"/>
    </row>
    <row r="126">
      <c r="A126" s="188" t="inlineStr">
        <is>
          <t>Heat of reaction / heat of mixing</t>
        </is>
      </c>
      <c r="B126" s="198" t="inlineStr">
        <is>
          <t>-</t>
        </is>
      </c>
      <c r="C126" s="183" t="n"/>
      <c r="D126" s="183" t="n"/>
      <c r="E126" s="184" t="n"/>
    </row>
    <row r="127">
      <c r="A127" s="196" t="inlineStr">
        <is>
          <t>Q (kJ/h)</t>
        </is>
      </c>
      <c r="B127" s="197" t="n">
        <v>0</v>
      </c>
      <c r="C127" s="183" t="n"/>
      <c r="D127" s="183" t="n"/>
      <c r="E127" s="184" t="n"/>
    </row>
    <row r="128">
      <c r="A128" s="196" t="inlineStr">
        <is>
          <t>W (kJ/h)</t>
        </is>
      </c>
      <c r="B128" s="197" t="n">
        <v>0</v>
      </c>
      <c r="C128" s="183" t="n"/>
      <c r="D128" s="183" t="n"/>
      <c r="E128" s="184" t="n"/>
    </row>
    <row r="129">
      <c r="A129" s="196" t="inlineStr">
        <is>
          <t>TOTAL (kJ/h)</t>
        </is>
      </c>
      <c r="B129" s="197">
        <f>B125+$B$127+$B$128</f>
        <v>21409412.217587173</v>
      </c>
      <c r="C129" s="184" t="n"/>
      <c r="D129" s="197">
        <f>D125</f>
        <v>21409412.217587173</v>
      </c>
      <c r="E129" s="184" t="n"/>
    </row>
    <row r="130">
      <c r="A130" s="188" t="inlineStr">
        <is>
          <t>Selisih masuk − keluar (kJ/h)</t>
        </is>
      </c>
      <c r="B130" s="195">
        <f>B129-D129</f>
        <v>0.0</v>
      </c>
      <c r="C130" s="183" t="n"/>
      <c r="D130" s="183" t="n"/>
      <c r="E130" s="184" t="n"/>
    </row>
    <row r="131">
      <c r="A131" s="188" t="inlineStr">
        <is>
          <t>Q (kW)</t>
        </is>
      </c>
      <c r="B131" s="195">
        <f>$B$127/3600</f>
        <v>0.0</v>
      </c>
      <c r="C131" s="183" t="n"/>
      <c r="D131" s="183" t="n"/>
      <c r="E131" s="184" t="n"/>
    </row>
    <row r="132">
      <c r="A132" s="188" t="inlineStr">
        <is>
          <t>W (kW)</t>
        </is>
      </c>
      <c r="B132" s="195">
        <f>$B$128/3600</f>
        <v>0.0</v>
      </c>
      <c r="C132" s="183" t="n"/>
      <c r="D132" s="183" t="n"/>
      <c r="E132" s="184" t="n"/>
    </row>
    <row r="135">
      <c r="A135" s="172" t="inlineStr">
        <is>
          <t>Neraca Energi V-102: Valve penurun tekanan etilena</t>
        </is>
      </c>
    </row>
    <row r="136">
      <c r="A136" s="174" t="inlineStr">
        <is>
          <t>Reference state: unsur pada 25 °C dan 1 atm (metode panas pembentukan)</t>
        </is>
      </c>
    </row>
    <row r="137">
      <c r="A137" s="182" t="inlineStr">
        <is>
          <t>No. aliran PFD</t>
        </is>
      </c>
      <c r="B137" s="182" t="n">
        <v>5</v>
      </c>
      <c r="C137" s="184" t="n"/>
      <c r="D137" s="182" t="n">
        <v>6</v>
      </c>
      <c r="E137" s="184" t="n"/>
    </row>
    <row r="138">
      <c r="A138" s="182" t="inlineStr">
        <is>
          <t>Dari</t>
        </is>
      </c>
      <c r="B138" s="192" t="inlineStr">
        <is>
          <t>T-102</t>
        </is>
      </c>
      <c r="C138" s="184" t="n"/>
      <c r="D138" s="192" t="inlineStr">
        <is>
          <t>V-102</t>
        </is>
      </c>
      <c r="E138" s="184" t="n"/>
    </row>
    <row r="139">
      <c r="A139" s="182" t="inlineStr">
        <is>
          <t>Ke</t>
        </is>
      </c>
      <c r="B139" s="192" t="inlineStr">
        <is>
          <t>V-102</t>
        </is>
      </c>
      <c r="C139" s="184" t="n"/>
      <c r="D139" s="192" t="inlineStr">
        <is>
          <t>E-102</t>
        </is>
      </c>
      <c r="E139" s="184" t="n"/>
    </row>
    <row r="140">
      <c r="A140" s="182" t="inlineStr">
        <is>
          <t>T (K)</t>
        </is>
      </c>
      <c r="B140" s="193">
        <f>$D$114</f>
        <v>303.15</v>
      </c>
      <c r="C140" s="184" t="n"/>
      <c r="D140" s="193">
        <f>IFERROR(IF(D140&lt;100,$B$140,D140+(B155-D151)/(SUM(D146:D149)*('Data Termo'!$E$6+'Data Termo'!$F$6*D140+'Data Termo'!$G$6*D140^2+'Data Termo'!$H$6*D140^3+'Data Termo'!$I$6*D140^4))),$B$140)</f>
        <v>272.92078752736234</v>
      </c>
      <c r="E140" s="184" t="n"/>
    </row>
    <row r="141">
      <c r="A141" s="182" t="inlineStr">
        <is>
          <t>T (°C)</t>
        </is>
      </c>
      <c r="B141" s="193">
        <f>$D$115</f>
        <v>30.0</v>
      </c>
      <c r="C141" s="184" t="n"/>
      <c r="D141" s="193">
        <f>IF(ISNUMBER(D140),D140-273.15,"-")</f>
        <v>-0.22921247263764144</v>
      </c>
      <c r="E141" s="184" t="n"/>
    </row>
    <row r="142">
      <c r="A142" s="182" t="inlineStr">
        <is>
          <t>P (bar abs)</t>
        </is>
      </c>
      <c r="B142" s="194">
        <f>$D$116</f>
        <v>36.3</v>
      </c>
      <c r="C142" s="184" t="n"/>
      <c r="D142" s="194" t="n">
        <v>5.370225</v>
      </c>
      <c r="E142" s="184" t="n"/>
    </row>
    <row r="143">
      <c r="A143" s="182" t="inlineStr">
        <is>
          <t>Substance</t>
        </is>
      </c>
      <c r="B143" s="182" t="inlineStr">
        <is>
          <t>INLET</t>
        </is>
      </c>
      <c r="C143" s="184" t="n"/>
      <c r="D143" s="182" t="inlineStr">
        <is>
          <t>OUTLET</t>
        </is>
      </c>
      <c r="E143" s="184" t="n"/>
    </row>
    <row r="144">
      <c r="A144" s="185" t="n"/>
      <c r="B144" s="182" t="inlineStr">
        <is>
          <t>Aliran 5</t>
        </is>
      </c>
      <c r="C144" s="184" t="n"/>
      <c r="D144" s="182" t="inlineStr">
        <is>
          <t>Aliran 6</t>
        </is>
      </c>
      <c r="E144" s="184" t="n"/>
    </row>
    <row r="145">
      <c r="A145" s="186" t="n"/>
      <c r="B145" s="182" t="inlineStr">
        <is>
          <t>ṅᵢ (kmol/h)</t>
        </is>
      </c>
      <c r="C145" s="182" t="inlineStr">
        <is>
          <t>Ĥᵢ (kJ/kmol)</t>
        </is>
      </c>
      <c r="D145" s="182" t="inlineStr">
        <is>
          <t>ṅᵢ (kmol/h)</t>
        </is>
      </c>
      <c r="E145" s="182" t="inlineStr">
        <is>
          <t>Ĥᵢ (kJ/kmol)</t>
        </is>
      </c>
    </row>
    <row r="146">
      <c r="A146" s="188" t="inlineStr">
        <is>
          <t>C₂H₄ (g)</t>
        </is>
      </c>
      <c r="B146" s="191">
        <f>I21+'NME-2 Oksiklorinasi'!E20</f>
        <v>420.6434440993977</v>
      </c>
      <c r="C146" s="195">
        <f>'Data Termo'!$W$6+('Data Termo'!$E$6*($B$140-298.15)+'Data Termo'!$F$6/2*($B$140^2-298.15^2)+'Data Termo'!$G$6/3*($B$140^3-298.15^3)+'Data Termo'!$H$6/4*($B$140^4-298.15^4)+'Data Termo'!$I$6/5*($B$140^5-298.15^5))</f>
        <v>52520.58368938839</v>
      </c>
      <c r="D146" s="191">
        <f>I21+'NME-2 Oksiklorinasi'!E20</f>
        <v>420.6434440993977</v>
      </c>
      <c r="E146" s="195">
        <f>'Data Termo'!$W$6+('Data Termo'!$E$6*($D$140-298.15)+'Data Termo'!$F$6/2*($D$140^2-298.15^2)+'Data Termo'!$G$6/3*($D$140^3-298.15^3)+'Data Termo'!$H$6/4*($D$140^4-298.15^4)+'Data Termo'!$I$6/5*($D$140^5-298.15^5))</f>
        <v>51215.85426036065</v>
      </c>
    </row>
    <row r="147">
      <c r="A147" s="188" t="inlineStr">
        <is>
          <t>CH₄ (g)</t>
        </is>
      </c>
      <c r="B147" s="191">
        <f>I22+'NME-2 Oksiklorinasi'!E21</f>
        <v>0.17031229265255882</v>
      </c>
      <c r="C147" s="195">
        <f>'Data Termo'!$W$7+('Data Termo'!$E$7*($B$140-298.15)+'Data Termo'!$F$7/2*($B$140^2-298.15^2)+'Data Termo'!$G$7/3*($B$140^3-298.15^3)+'Data Termo'!$H$7/4*($B$140^4-298.15^4)+'Data Termo'!$I$7/5*($B$140^5-298.15^5))</f>
        <v>-74667.83936216985</v>
      </c>
      <c r="D147" s="191">
        <f>I22+'NME-2 Oksiklorinasi'!E21</f>
        <v>0.17031229265255882</v>
      </c>
      <c r="E147" s="195">
        <f>'Data Termo'!$W$7+('Data Termo'!$E$7*($D$140-298.15)+'Data Termo'!$F$7/2*($D$140^2-298.15^2)+'Data Termo'!$G$7/3*($D$140^3-298.15^3)+'Data Termo'!$H$7/4*($D$140^4-298.15^4)+'Data Termo'!$I$7/5*($D$140^5-298.15^5))</f>
        <v>-75755.14268832523</v>
      </c>
    </row>
    <row r="148">
      <c r="A148" s="188" t="inlineStr">
        <is>
          <t>C₂H₆ (g)</t>
        </is>
      </c>
      <c r="B148" s="191">
        <f>I23+'NME-2 Oksiklorinasi'!E22</f>
        <v>0.0049586190845116096</v>
      </c>
      <c r="C148" s="195">
        <f>'Data Termo'!$W$8+('Data Termo'!$E$8*($B$140-298.15)+'Data Termo'!$F$8/2*($B$140^2-298.15^2)+'Data Termo'!$G$8/3*($B$140^3-298.15^3)+'Data Termo'!$H$8/4*($B$140^4-298.15^4)+'Data Termo'!$I$8/5*($B$140^5-298.15^5))</f>
        <v>-84412.08005455934</v>
      </c>
      <c r="D148" s="191">
        <f>I23+'NME-2 Oksiklorinasi'!E22</f>
        <v>0.0049586190845116096</v>
      </c>
      <c r="E148" s="195">
        <f>'Data Termo'!$W$8+('Data Termo'!$E$8*($D$140-298.15)+'Data Termo'!$F$8/2*($D$140^2-298.15^2)+'Data Termo'!$G$8/3*($D$140^3-298.15^3)+'Data Termo'!$H$8/4*($D$140^4-298.15^4)+'Data Termo'!$I$8/5*($D$140^5-298.15^5))</f>
        <v>-85989.73788045511</v>
      </c>
    </row>
    <row r="149">
      <c r="A149" s="188" t="inlineStr">
        <is>
          <t>C₂H₂ (g)</t>
        </is>
      </c>
      <c r="B149" s="191">
        <f>I24+'NME-2 Oksiklorinasi'!E23</f>
        <v>0.002193271289817931</v>
      </c>
      <c r="C149" s="195">
        <f>'Data Termo'!$W$9+('Data Termo'!$E$9*($B$140-298.15)+'Data Termo'!$F$9/2*($B$140^2-298.15^2)+'Data Termo'!$G$9/3*($B$140^3-298.15^3)+'Data Termo'!$H$9/4*($B$140^4-298.15^4)+'Data Termo'!$I$9/5*($B$140^5-298.15^5))</f>
        <v>226953.1899656809</v>
      </c>
      <c r="D149" s="191">
        <f>I24+'NME-2 Oksiklorinasi'!E23</f>
        <v>0.002193271289817931</v>
      </c>
      <c r="E149" s="195">
        <f>'Data Termo'!$W$9+('Data Termo'!$E$9*($D$140-298.15)+'Data Termo'!$F$9/2*($D$140^2-298.15^2)+'Data Termo'!$G$9/3*($D$140^3-298.15^3)+'Data Termo'!$H$9/4*($D$140^4-298.15^4)+'Data Termo'!$I$9/5*($D$140^5-298.15^5))</f>
        <v>225626.65031876002</v>
      </c>
    </row>
    <row r="150">
      <c r="A150" s="188" t="inlineStr">
        <is>
          <t>Koreksi gas nyata (kJ/h)</t>
        </is>
      </c>
      <c r="B150" s="195">
        <f>SUM(B146:B149)*('Data Termo'!$D$40*'Data Termo'!$D$30*($B$142/'Data Termo'!$D$31)*((0.083-0.422/($B$140/'Data Termo'!$D$30)^1.6)-($B$140/'Data Termo'!$D$30)*0.675/($B$140/'Data Termo'!$D$30)^2.6+'Data Termo'!$D$32*((0.139-0.172/($B$140/'Data Termo'!$D$30)^4.2)-($B$140/'Data Termo'!$D$30)*0.722/($B$140/'Data Termo'!$D$30)^5.2)))</f>
        <v>-670389.3432831898</v>
      </c>
      <c r="C150" s="184" t="n"/>
      <c r="D150" s="195">
        <f>SUM(D146:D149)*('Data Termo'!$D$40*'Data Termo'!$D$30*($D$142/'Data Termo'!$D$31)*((0.083-0.422/($D$140/'Data Termo'!$D$30)^1.6)-($D$140/'Data Termo'!$D$30)*0.675/($D$140/'Data Termo'!$D$30)^2.6+'Data Termo'!$D$32*((0.139-0.172/($D$140/'Data Termo'!$D$30)^4.2)-($D$140/'Data Termo'!$D$30)*0.722/($D$140/'Data Termo'!$D$30)^5.2)))</f>
        <v>-121367.54905129455</v>
      </c>
      <c r="E150" s="184" t="n"/>
    </row>
    <row r="151">
      <c r="A151" s="196" t="inlineStr">
        <is>
          <t>Sub Total ṅᵢĤᵢ (kJ/h)</t>
        </is>
      </c>
      <c r="B151" s="197">
        <f>SUMPRODUCT(B146:B149,C146:C149)+B150</f>
        <v>21409412.217587173</v>
      </c>
      <c r="C151" s="184" t="n"/>
      <c r="D151" s="197">
        <f>SUMPRODUCT(D146:D149,E146:E149)+D150</f>
        <v>21409412.217587184</v>
      </c>
      <c r="E151" s="184" t="n"/>
    </row>
    <row r="152">
      <c r="A152" s="188" t="inlineStr">
        <is>
          <t>Heat of reaction / heat of mixing</t>
        </is>
      </c>
      <c r="B152" s="198" t="inlineStr">
        <is>
          <t>-</t>
        </is>
      </c>
      <c r="C152" s="183" t="n"/>
      <c r="D152" s="183" t="n"/>
      <c r="E152" s="184" t="n"/>
    </row>
    <row r="153">
      <c r="A153" s="196" t="inlineStr">
        <is>
          <t>Q (kJ/h)</t>
        </is>
      </c>
      <c r="B153" s="197" t="n">
        <v>0</v>
      </c>
      <c r="C153" s="183" t="n"/>
      <c r="D153" s="183" t="n"/>
      <c r="E153" s="184" t="n"/>
    </row>
    <row r="154">
      <c r="A154" s="196" t="inlineStr">
        <is>
          <t>W (kJ/h)</t>
        </is>
      </c>
      <c r="B154" s="197" t="n">
        <v>0</v>
      </c>
      <c r="C154" s="183" t="n"/>
      <c r="D154" s="183" t="n"/>
      <c r="E154" s="184" t="n"/>
    </row>
    <row r="155">
      <c r="A155" s="196" t="inlineStr">
        <is>
          <t>TOTAL (kJ/h)</t>
        </is>
      </c>
      <c r="B155" s="197">
        <f>B151+$B$153+$B$154</f>
        <v>21409412.217587173</v>
      </c>
      <c r="C155" s="184" t="n"/>
      <c r="D155" s="197">
        <f>D151</f>
        <v>21409412.217587184</v>
      </c>
      <c r="E155" s="184" t="n"/>
    </row>
    <row r="156">
      <c r="A156" s="188" t="inlineStr">
        <is>
          <t>Selisih masuk − keluar (kJ/h)</t>
        </is>
      </c>
      <c r="B156" s="195">
        <f>B155-D155</f>
        <v>-1.1175870895385742e-08</v>
      </c>
      <c r="C156" s="183" t="n"/>
      <c r="D156" s="183" t="n"/>
      <c r="E156" s="184" t="n"/>
    </row>
    <row r="157">
      <c r="A157" s="188" t="inlineStr">
        <is>
          <t>Q (kW)</t>
        </is>
      </c>
      <c r="B157" s="195">
        <f>$B$153/3600</f>
        <v>0.0</v>
      </c>
      <c r="C157" s="183" t="n"/>
      <c r="D157" s="183" t="n"/>
      <c r="E157" s="184" t="n"/>
    </row>
    <row r="158">
      <c r="A158" s="188" t="inlineStr">
        <is>
          <t>W (kW)</t>
        </is>
      </c>
      <c r="B158" s="195">
        <f>$B$154/3600</f>
        <v>0.0</v>
      </c>
      <c r="C158" s="183" t="n"/>
      <c r="D158" s="183" t="n"/>
      <c r="E158" s="184" t="n"/>
    </row>
    <row r="161">
      <c r="A161" s="172" t="inlineStr">
        <is>
          <t>Neraca Energi E-102: Pemanas etilena setelah ekspansi</t>
        </is>
      </c>
    </row>
    <row r="162">
      <c r="A162" s="174" t="inlineStr">
        <is>
          <t>Reference state: unsur pada 25 °C dan 1 atm (metode panas pembentukan)</t>
        </is>
      </c>
    </row>
    <row r="163">
      <c r="A163" s="182" t="inlineStr">
        <is>
          <t>No. aliran PFD</t>
        </is>
      </c>
      <c r="B163" s="182" t="n">
        <v>6</v>
      </c>
      <c r="C163" s="184" t="n"/>
      <c r="D163" s="182" t="n">
        <v>7</v>
      </c>
      <c r="E163" s="184" t="n"/>
      <c r="F163" s="182" t="n">
        <v>9</v>
      </c>
      <c r="G163" s="184" t="n"/>
    </row>
    <row r="164">
      <c r="A164" s="182" t="inlineStr">
        <is>
          <t>Dari</t>
        </is>
      </c>
      <c r="B164" s="192" t="inlineStr">
        <is>
          <t>V-102</t>
        </is>
      </c>
      <c r="C164" s="184" t="n"/>
      <c r="D164" s="192" t="inlineStr">
        <is>
          <t>E-102</t>
        </is>
      </c>
      <c r="E164" s="184" t="n"/>
      <c r="F164" s="192" t="inlineStr">
        <is>
          <t>E-102</t>
        </is>
      </c>
      <c r="G164" s="184" t="n"/>
    </row>
    <row r="165">
      <c r="A165" s="182" t="inlineStr">
        <is>
          <t>Ke</t>
        </is>
      </c>
      <c r="B165" s="192" t="inlineStr">
        <is>
          <t>E-102</t>
        </is>
      </c>
      <c r="C165" s="184" t="n"/>
      <c r="D165" s="192" t="inlineStr">
        <is>
          <t>V-103</t>
        </is>
      </c>
      <c r="E165" s="184" t="n"/>
      <c r="F165" s="192" t="inlineStr">
        <is>
          <t>R-02</t>
        </is>
      </c>
      <c r="G165" s="184" t="n"/>
    </row>
    <row r="166">
      <c r="A166" s="182" t="inlineStr">
        <is>
          <t>T (K)</t>
        </is>
      </c>
      <c r="B166" s="193">
        <f>$D$140</f>
        <v>272.92078752736234</v>
      </c>
      <c r="C166" s="184" t="n"/>
      <c r="D166" s="193">
        <f>D167+273.15</f>
        <v>303.15</v>
      </c>
      <c r="E166" s="184" t="n"/>
      <c r="F166" s="193">
        <f>F167+273.15</f>
        <v>303.15</v>
      </c>
      <c r="G166" s="184" t="n"/>
    </row>
    <row r="167">
      <c r="A167" s="182" t="inlineStr">
        <is>
          <t>T (°C)</t>
        </is>
      </c>
      <c r="B167" s="193">
        <f>$D$141</f>
        <v>-0.22921247263764144</v>
      </c>
      <c r="C167" s="184" t="n"/>
      <c r="D167" s="193" t="n">
        <v>30</v>
      </c>
      <c r="E167" s="184" t="n"/>
      <c r="F167" s="193" t="n">
        <v>30</v>
      </c>
      <c r="G167" s="184" t="n"/>
    </row>
    <row r="168">
      <c r="A168" s="182" t="inlineStr">
        <is>
          <t>P (bar abs)</t>
        </is>
      </c>
      <c r="B168" s="194">
        <f>$D$142</f>
        <v>5.370225</v>
      </c>
      <c r="C168" s="184" t="n"/>
      <c r="D168" s="194" t="n">
        <v>5.370225</v>
      </c>
      <c r="E168" s="184" t="n"/>
      <c r="F168" s="194" t="n">
        <v>5.370225</v>
      </c>
      <c r="G168" s="184" t="n"/>
    </row>
    <row r="169">
      <c r="A169" s="182" t="inlineStr">
        <is>
          <t>Substance</t>
        </is>
      </c>
      <c r="B169" s="182" t="inlineStr">
        <is>
          <t>INLET</t>
        </is>
      </c>
      <c r="C169" s="184" t="n"/>
      <c r="D169" s="182" t="inlineStr">
        <is>
          <t>OUTLET</t>
        </is>
      </c>
      <c r="E169" s="183" t="n"/>
      <c r="F169" s="183" t="n"/>
      <c r="G169" s="184" t="n"/>
    </row>
    <row r="170">
      <c r="A170" s="185" t="n"/>
      <c r="B170" s="182" t="inlineStr">
        <is>
          <t>Aliran 6</t>
        </is>
      </c>
      <c r="C170" s="184" t="n"/>
      <c r="D170" s="182" t="inlineStr">
        <is>
          <t>Aliran 7</t>
        </is>
      </c>
      <c r="E170" s="184" t="n"/>
      <c r="F170" s="182" t="inlineStr">
        <is>
          <t>Aliran 9</t>
        </is>
      </c>
      <c r="G170" s="184" t="n"/>
    </row>
    <row r="171">
      <c r="A171" s="186" t="n"/>
      <c r="B171" s="182" t="inlineStr">
        <is>
          <t>ṅᵢ (kmol/h)</t>
        </is>
      </c>
      <c r="C171" s="182" t="inlineStr">
        <is>
          <t>Ĥᵢ (kJ/kmol)</t>
        </is>
      </c>
      <c r="D171" s="182" t="inlineStr">
        <is>
          <t>ṅᵢ (kmol/h)</t>
        </is>
      </c>
      <c r="E171" s="182" t="inlineStr">
        <is>
          <t>Ĥᵢ (kJ/kmol)</t>
        </is>
      </c>
      <c r="F171" s="182" t="inlineStr">
        <is>
          <t>ṅᵢ (kmol/h)</t>
        </is>
      </c>
      <c r="G171" s="182" t="inlineStr">
        <is>
          <t>Ĥᵢ (kJ/kmol)</t>
        </is>
      </c>
    </row>
    <row r="172">
      <c r="A172" s="188" t="inlineStr">
        <is>
          <t>C₂H₄ (g)</t>
        </is>
      </c>
      <c r="B172" s="191">
        <f>I21+'NME-2 Oksiklorinasi'!E20</f>
        <v>420.6434440993977</v>
      </c>
      <c r="C172" s="195">
        <f>'Data Termo'!$W$6+('Data Termo'!$E$6*($B$166-298.15)+'Data Termo'!$F$6/2*($B$166^2-298.15^2)+'Data Termo'!$G$6/3*($B$166^3-298.15^3)+'Data Termo'!$H$6/4*($B$166^4-298.15^4)+'Data Termo'!$I$6/5*($B$166^5-298.15^5))</f>
        <v>51215.85426036065</v>
      </c>
      <c r="D172" s="191">
        <f>I21</f>
        <v>217.4040578931134</v>
      </c>
      <c r="E172" s="195">
        <f>'Data Termo'!$W$6+('Data Termo'!$E$6*($D$166-298.15)+'Data Termo'!$F$6/2*($D$166^2-298.15^2)+'Data Termo'!$G$6/3*($D$166^3-298.15^3)+'Data Termo'!$H$6/4*($D$166^4-298.15^4)+'Data Termo'!$I$6/5*($D$166^5-298.15^5))</f>
        <v>52520.58368938839</v>
      </c>
      <c r="F172" s="191">
        <f>'NME-2 Oksiklorinasi'!E20</f>
        <v>203.23938620628428</v>
      </c>
      <c r="G172" s="195">
        <f>'Data Termo'!$W$6+('Data Termo'!$E$6*($F$166-298.15)+'Data Termo'!$F$6/2*($F$166^2-298.15^2)+'Data Termo'!$G$6/3*($F$166^3-298.15^3)+'Data Termo'!$H$6/4*($F$166^4-298.15^4)+'Data Termo'!$I$6/5*($F$166^5-298.15^5))</f>
        <v>52520.58368938839</v>
      </c>
    </row>
    <row r="173">
      <c r="A173" s="188" t="inlineStr">
        <is>
          <t>CH₄ (g)</t>
        </is>
      </c>
      <c r="B173" s="191">
        <f>I22+'NME-2 Oksiklorinasi'!E21</f>
        <v>0.17031229265255882</v>
      </c>
      <c r="C173" s="195">
        <f>'Data Termo'!$W$7+('Data Termo'!$E$7*($B$166-298.15)+'Data Termo'!$F$7/2*($B$166^2-298.15^2)+'Data Termo'!$G$7/3*($B$166^3-298.15^3)+'Data Termo'!$H$7/4*($B$166^4-298.15^4)+'Data Termo'!$I$7/5*($B$166^5-298.15^5))</f>
        <v>-75755.14268832523</v>
      </c>
      <c r="D173" s="191">
        <f>I22</f>
        <v>0.0880236790829347</v>
      </c>
      <c r="E173" s="195">
        <f>'Data Termo'!$W$7+('Data Termo'!$E$7*($D$166-298.15)+'Data Termo'!$F$7/2*($D$166^2-298.15^2)+'Data Termo'!$G$7/3*($D$166^3-298.15^3)+'Data Termo'!$H$7/4*($D$166^4-298.15^4)+'Data Termo'!$I$7/5*($D$166^5-298.15^5))</f>
        <v>-74667.83936216985</v>
      </c>
      <c r="F173" s="191">
        <f>'NME-2 Oksiklorinasi'!E21</f>
        <v>0.08228861356962411</v>
      </c>
      <c r="G173" s="195">
        <f>'Data Termo'!$W$7+('Data Termo'!$E$7*($F$166-298.15)+'Data Termo'!$F$7/2*($F$166^2-298.15^2)+'Data Termo'!$G$7/3*($F$166^3-298.15^3)+'Data Termo'!$H$7/4*($F$166^4-298.15^4)+'Data Termo'!$I$7/5*($F$166^5-298.15^5))</f>
        <v>-74667.83936216985</v>
      </c>
    </row>
    <row r="174">
      <c r="A174" s="188" t="inlineStr">
        <is>
          <t>C₂H₆ (g)</t>
        </is>
      </c>
      <c r="B174" s="191">
        <f>I23+'NME-2 Oksiklorinasi'!E22</f>
        <v>0.0049586190845116096</v>
      </c>
      <c r="C174" s="195">
        <f>'Data Termo'!$W$8+('Data Termo'!$E$8*($B$166-298.15)+'Data Termo'!$F$8/2*($B$166^2-298.15^2)+'Data Termo'!$G$8/3*($B$166^3-298.15^3)+'Data Termo'!$H$8/4*($B$166^4-298.15^4)+'Data Termo'!$I$8/5*($B$166^5-298.15^5))</f>
        <v>-85989.73788045511</v>
      </c>
      <c r="D174" s="191">
        <f>I23</f>
        <v>0.0025627973658952897</v>
      </c>
      <c r="E174" s="195">
        <f>'Data Termo'!$W$8+('Data Termo'!$E$8*($D$166-298.15)+'Data Termo'!$F$8/2*($D$166^2-298.15^2)+'Data Termo'!$G$8/3*($D$166^3-298.15^3)+'Data Termo'!$H$8/4*($D$166^4-298.15^4)+'Data Termo'!$I$8/5*($D$166^5-298.15^5))</f>
        <v>-84412.08005455934</v>
      </c>
      <c r="F174" s="191">
        <f>'NME-2 Oksiklorinasi'!E22</f>
        <v>0.00239582171861632</v>
      </c>
      <c r="G174" s="195">
        <f>'Data Termo'!$W$8+('Data Termo'!$E$8*($F$166-298.15)+'Data Termo'!$F$8/2*($F$166^2-298.15^2)+'Data Termo'!$G$8/3*($F$166^3-298.15^3)+'Data Termo'!$H$8/4*($F$166^4-298.15^4)+'Data Termo'!$I$8/5*($F$166^5-298.15^5))</f>
        <v>-84412.08005455934</v>
      </c>
    </row>
    <row r="175">
      <c r="A175" s="188" t="inlineStr">
        <is>
          <t>C₂H₂ (g)</t>
        </is>
      </c>
      <c r="B175" s="191">
        <f>I24+'NME-2 Oksiklorinasi'!E23</f>
        <v>0.002193271289817931</v>
      </c>
      <c r="C175" s="195">
        <f>'Data Termo'!$W$9+('Data Termo'!$E$9*($B$166-298.15)+'Data Termo'!$F$9/2*($B$166^2-298.15^2)+'Data Termo'!$G$9/3*($B$166^3-298.15^3)+'Data Termo'!$H$9/4*($B$166^4-298.15^4)+'Data Termo'!$I$9/5*($B$166^5-298.15^5))</f>
        <v>225626.65031876002</v>
      </c>
      <c r="D175" s="191">
        <f>I24</f>
        <v>0.0011335635563933986</v>
      </c>
      <c r="E175" s="195">
        <f>'Data Termo'!$W$9+('Data Termo'!$E$9*($D$166-298.15)+'Data Termo'!$F$9/2*($D$166^2-298.15^2)+'Data Termo'!$G$9/3*($D$166^3-298.15^3)+'Data Termo'!$H$9/4*($D$166^4-298.15^4)+'Data Termo'!$I$9/5*($D$166^5-298.15^5))</f>
        <v>226953.1899656809</v>
      </c>
      <c r="F175" s="191">
        <f>'NME-2 Oksiklorinasi'!E23</f>
        <v>0.0010597077334245327</v>
      </c>
      <c r="G175" s="195">
        <f>'Data Termo'!$W$9+('Data Termo'!$E$9*($F$166-298.15)+'Data Termo'!$F$9/2*($F$166^2-298.15^2)+'Data Termo'!$G$9/3*($F$166^3-298.15^3)+'Data Termo'!$H$9/4*($F$166^4-298.15^4)+'Data Termo'!$I$9/5*($F$166^5-298.15^5))</f>
        <v>226953.1899656809</v>
      </c>
    </row>
    <row r="176">
      <c r="A176" s="188" t="inlineStr">
        <is>
          <t>Koreksi gas nyata (kJ/h)</t>
        </is>
      </c>
      <c r="B176" s="195">
        <f>SUM(B172:B175)*('Data Termo'!$D$40*'Data Termo'!$D$30*($B$168/'Data Termo'!$D$31)*((0.083-0.422/($B$166/'Data Termo'!$D$30)^1.6)-($B$166/'Data Termo'!$D$30)*0.675/($B$166/'Data Termo'!$D$30)^2.6+'Data Termo'!$D$32*((0.139-0.172/($B$166/'Data Termo'!$D$30)^4.2)-($B$166/'Data Termo'!$D$30)*0.722/($B$166/'Data Termo'!$D$30)^5.2)))</f>
        <v>-121367.54905129455</v>
      </c>
      <c r="C176" s="184" t="n"/>
      <c r="D176" s="195">
        <f>SUM(D172:D175)*('Data Termo'!$D$40*'Data Termo'!$D$30*($D$168/'Data Termo'!$D$31)*((0.083-0.422/($D$166/'Data Termo'!$D$30)^1.6)-($D$166/'Data Termo'!$D$30)*0.675/($D$166/'Data Termo'!$D$30)^2.6+'Data Termo'!$D$32*((0.139-0.172/($D$166/'Data Termo'!$D$30)^4.2)-($D$166/'Data Termo'!$D$30)*0.722/($D$166/'Data Termo'!$D$30)^5.2)))</f>
        <v>-51258.569313810825</v>
      </c>
      <c r="E176" s="184" t="n"/>
      <c r="F176" s="195">
        <f>SUM(F172:F175)*('Data Termo'!$D$40*'Data Termo'!$D$30*($F$168/'Data Termo'!$D$31)*((0.083-0.422/($F$166/'Data Termo'!$D$30)^1.6)-($F$166/'Data Termo'!$D$30)*0.675/($F$166/'Data Termo'!$D$30)^2.6+'Data Termo'!$D$32*((0.139-0.172/($F$166/'Data Termo'!$D$30)^4.2)-($F$166/'Data Termo'!$D$30)*0.722/($F$166/'Data Termo'!$D$30)^5.2)))</f>
        <v>-47918.88553558222</v>
      </c>
      <c r="G176" s="184" t="n"/>
    </row>
    <row r="177">
      <c r="A177" s="196" t="inlineStr">
        <is>
          <t>Sub Total ṅᵢĤᵢ (kJ/h)</t>
        </is>
      </c>
      <c r="B177" s="197">
        <f>SUMPRODUCT(B172:B175,C172:C175)+B176</f>
        <v>21409412.217587184</v>
      </c>
      <c r="C177" s="184" t="n"/>
      <c r="D177" s="197">
        <f>SUMPRODUCT(D172:D175,E172:E175)+D176</f>
        <v>11360397.844552997</v>
      </c>
      <c r="E177" s="184" t="n"/>
      <c r="F177" s="197">
        <f>SUMPRODUCT(F172:F175,G172:G175)+F176</f>
        <v>10620226.26146797</v>
      </c>
      <c r="G177" s="184" t="n"/>
    </row>
    <row r="178">
      <c r="A178" s="188" t="inlineStr">
        <is>
          <t>Heat of reaction / heat of mixing</t>
        </is>
      </c>
      <c r="B178" s="198" t="inlineStr">
        <is>
          <t>-</t>
        </is>
      </c>
      <c r="C178" s="183" t="n"/>
      <c r="D178" s="183" t="n"/>
      <c r="E178" s="183" t="n"/>
      <c r="F178" s="183" t="n"/>
      <c r="G178" s="184" t="n"/>
    </row>
    <row r="179">
      <c r="A179" s="196" t="inlineStr">
        <is>
          <t>Q (kJ/h)</t>
        </is>
      </c>
      <c r="B179" s="197">
        <f>(D177+F177)-(B177)</f>
        <v>571211.8884337842</v>
      </c>
      <c r="C179" s="183" t="n"/>
      <c r="D179" s="183" t="n"/>
      <c r="E179" s="183" t="n"/>
      <c r="F179" s="183" t="n"/>
      <c r="G179" s="184" t="n"/>
    </row>
    <row r="180">
      <c r="A180" s="196" t="inlineStr">
        <is>
          <t>W (kJ/h)</t>
        </is>
      </c>
      <c r="B180" s="197" t="n">
        <v>0</v>
      </c>
      <c r="C180" s="183" t="n"/>
      <c r="D180" s="183" t="n"/>
      <c r="E180" s="183" t="n"/>
      <c r="F180" s="183" t="n"/>
      <c r="G180" s="184" t="n"/>
    </row>
    <row r="181">
      <c r="A181" s="196" t="inlineStr">
        <is>
          <t>TOTAL (kJ/h)</t>
        </is>
      </c>
      <c r="B181" s="197">
        <f>B177+$B$179+$B$180</f>
        <v>21980624.10602097</v>
      </c>
      <c r="C181" s="184" t="n"/>
      <c r="D181" s="197">
        <f>D177+F177</f>
        <v>21980624.10602097</v>
      </c>
      <c r="E181" s="183" t="n"/>
      <c r="F181" s="183" t="n"/>
      <c r="G181" s="184" t="n"/>
    </row>
    <row r="182">
      <c r="A182" s="188" t="inlineStr">
        <is>
          <t>Selisih masuk − keluar (kJ/h)</t>
        </is>
      </c>
      <c r="B182" s="195">
        <f>B181-D181</f>
        <v>0.0</v>
      </c>
      <c r="C182" s="183" t="n"/>
      <c r="D182" s="183" t="n"/>
      <c r="E182" s="183" t="n"/>
      <c r="F182" s="183" t="n"/>
      <c r="G182" s="184" t="n"/>
    </row>
    <row r="183">
      <c r="A183" s="188" t="inlineStr">
        <is>
          <t>Q (kW)</t>
        </is>
      </c>
      <c r="B183" s="195">
        <f>$B$179/3600</f>
        <v>158.66996900938452</v>
      </c>
      <c r="C183" s="183" t="n"/>
      <c r="D183" s="183" t="n"/>
      <c r="E183" s="183" t="n"/>
      <c r="F183" s="183" t="n"/>
      <c r="G183" s="184" t="n"/>
    </row>
    <row r="184">
      <c r="A184" s="188" t="inlineStr">
        <is>
          <t>W (kW)</t>
        </is>
      </c>
      <c r="B184" s="195">
        <f>$B$180/3600</f>
        <v>0.0</v>
      </c>
      <c r="C184" s="183" t="n"/>
      <c r="D184" s="183" t="n"/>
      <c r="E184" s="183" t="n"/>
      <c r="F184" s="183" t="n"/>
      <c r="G184" s="184" t="n"/>
    </row>
    <row r="187">
      <c r="A187" s="172" t="inlineStr">
        <is>
          <t>Neraca Energi V-103: Valve etilena ke R-01</t>
        </is>
      </c>
    </row>
    <row r="188">
      <c r="A188" s="174" t="inlineStr">
        <is>
          <t>Reference state: unsur pada 25 °C dan 1 atm (metode panas pembentukan)</t>
        </is>
      </c>
    </row>
    <row r="189">
      <c r="A189" s="182" t="inlineStr">
        <is>
          <t>No. aliran PFD</t>
        </is>
      </c>
      <c r="B189" s="182" t="n">
        <v>7</v>
      </c>
      <c r="C189" s="184" t="n"/>
      <c r="D189" s="182" t="n">
        <v>8</v>
      </c>
      <c r="E189" s="184" t="n"/>
    </row>
    <row r="190">
      <c r="A190" s="182" t="inlineStr">
        <is>
          <t>Dari</t>
        </is>
      </c>
      <c r="B190" s="192" t="inlineStr">
        <is>
          <t>E-102</t>
        </is>
      </c>
      <c r="C190" s="184" t="n"/>
      <c r="D190" s="192" t="inlineStr">
        <is>
          <t>V-103</t>
        </is>
      </c>
      <c r="E190" s="184" t="n"/>
    </row>
    <row r="191">
      <c r="A191" s="182" t="inlineStr">
        <is>
          <t>Ke</t>
        </is>
      </c>
      <c r="B191" s="192" t="inlineStr">
        <is>
          <t>V-103</t>
        </is>
      </c>
      <c r="C191" s="184" t="n"/>
      <c r="D191" s="192" t="inlineStr">
        <is>
          <t>R-01</t>
        </is>
      </c>
      <c r="E191" s="184" t="n"/>
    </row>
    <row r="192">
      <c r="A192" s="182" t="inlineStr">
        <is>
          <t>T (K)</t>
        </is>
      </c>
      <c r="B192" s="193">
        <f>$D$166</f>
        <v>303.15</v>
      </c>
      <c r="C192" s="184" t="n"/>
      <c r="D192" s="193">
        <f>IFERROR(IF(D192&lt;100,$B$192,D192+(B207-D203)/(SUM(D198:D201)*('Data Termo'!$E$6+'Data Termo'!$F$6*D192+'Data Termo'!$G$6*D192^2+'Data Termo'!$H$6*D192^3+'Data Termo'!$I$6*D192^4))),$B$192)</f>
        <v>298.84618164316123</v>
      </c>
      <c r="E192" s="184" t="n"/>
    </row>
    <row r="193">
      <c r="A193" s="182" t="inlineStr">
        <is>
          <t>T (°C)</t>
        </is>
      </c>
      <c r="B193" s="193">
        <f>$D$167</f>
        <v>30.0</v>
      </c>
      <c r="C193" s="184" t="n"/>
      <c r="D193" s="193">
        <f>IF(ISNUMBER(D192),D192-273.15,"-")</f>
        <v>25.696181643161253</v>
      </c>
      <c r="E193" s="184" t="n"/>
    </row>
    <row r="194">
      <c r="A194" s="182" t="inlineStr">
        <is>
          <t>P (bar abs)</t>
        </is>
      </c>
      <c r="B194" s="194">
        <f>$D$168</f>
        <v>5.370225</v>
      </c>
      <c r="C194" s="184" t="n"/>
      <c r="D194" s="194" t="n">
        <v>1.01325</v>
      </c>
      <c r="E194" s="184" t="n"/>
    </row>
    <row r="195">
      <c r="A195" s="182" t="inlineStr">
        <is>
          <t>Substance</t>
        </is>
      </c>
      <c r="B195" s="182" t="inlineStr">
        <is>
          <t>INLET</t>
        </is>
      </c>
      <c r="C195" s="184" t="n"/>
      <c r="D195" s="182" t="inlineStr">
        <is>
          <t>OUTLET</t>
        </is>
      </c>
      <c r="E195" s="184" t="n"/>
    </row>
    <row r="196">
      <c r="A196" s="185" t="n"/>
      <c r="B196" s="182" t="inlineStr">
        <is>
          <t>Aliran 7</t>
        </is>
      </c>
      <c r="C196" s="184" t="n"/>
      <c r="D196" s="182" t="inlineStr">
        <is>
          <t>Aliran 8</t>
        </is>
      </c>
      <c r="E196" s="184" t="n"/>
    </row>
    <row r="197">
      <c r="A197" s="186" t="n"/>
      <c r="B197" s="182" t="inlineStr">
        <is>
          <t>ṅᵢ (kmol/h)</t>
        </is>
      </c>
      <c r="C197" s="182" t="inlineStr">
        <is>
          <t>Ĥᵢ (kJ/kmol)</t>
        </is>
      </c>
      <c r="D197" s="182" t="inlineStr">
        <is>
          <t>ṅᵢ (kmol/h)</t>
        </is>
      </c>
      <c r="E197" s="182" t="inlineStr">
        <is>
          <t>Ĥᵢ (kJ/kmol)</t>
        </is>
      </c>
    </row>
    <row r="198">
      <c r="A198" s="188" t="inlineStr">
        <is>
          <t>C₂H₄ (g)</t>
        </is>
      </c>
      <c r="B198" s="191">
        <f>I21</f>
        <v>217.4040578931134</v>
      </c>
      <c r="C198" s="195">
        <f>'Data Termo'!$W$6+('Data Termo'!$E$6*($B$192-298.15)+'Data Termo'!$F$6/2*($B$192^2-298.15^2)+'Data Termo'!$G$6/3*($B$192^3-298.15^3)+'Data Termo'!$H$6/4*($B$192^4-298.15^4)+'Data Termo'!$I$6/5*($B$192^5-298.15^5))</f>
        <v>52520.58368938839</v>
      </c>
      <c r="D198" s="191">
        <f>I21</f>
        <v>217.4040578931134</v>
      </c>
      <c r="E198" s="195">
        <f>'Data Termo'!$W$6+('Data Termo'!$E$6*($D$192-298.15)+'Data Termo'!$F$6/2*($D$192^2-298.15^2)+'Data Termo'!$G$6/3*($D$192^3-298.15^3)+'Data Termo'!$H$6/4*($D$192^4-298.15^4)+'Data Termo'!$I$6/5*($D$192^5-298.15^5))</f>
        <v>52330.59787083153</v>
      </c>
    </row>
    <row r="199">
      <c r="A199" s="188" t="inlineStr">
        <is>
          <t>CH₄ (g)</t>
        </is>
      </c>
      <c r="B199" s="191">
        <f>I22</f>
        <v>0.0880236790829347</v>
      </c>
      <c r="C199" s="195">
        <f>'Data Termo'!$W$7+('Data Termo'!$E$7*($B$192-298.15)+'Data Termo'!$F$7/2*($B$192^2-298.15^2)+'Data Termo'!$G$7/3*($B$192^3-298.15^3)+'Data Termo'!$H$7/4*($B$192^4-298.15^4)+'Data Termo'!$I$7/5*($B$192^5-298.15^5))</f>
        <v>-74667.83936216985</v>
      </c>
      <c r="D199" s="191">
        <f>I22</f>
        <v>0.0880236790829347</v>
      </c>
      <c r="E199" s="195">
        <f>'Data Termo'!$W$7+('Data Termo'!$E$7*($D$192-298.15)+'Data Termo'!$F$7/2*($D$192^2-298.15^2)+'Data Termo'!$G$7/3*($D$192^3-298.15^3)+'Data Termo'!$H$7/4*($D$192^4-298.15^4)+'Data Termo'!$I$7/5*($D$192^5-298.15^5))</f>
        <v>-74824.69367374251</v>
      </c>
    </row>
    <row r="200">
      <c r="A200" s="188" t="inlineStr">
        <is>
          <t>C₂H₆ (g)</t>
        </is>
      </c>
      <c r="B200" s="191">
        <f>I23</f>
        <v>0.0025627973658952897</v>
      </c>
      <c r="C200" s="195">
        <f>'Data Termo'!$W$8+('Data Termo'!$E$8*($B$192-298.15)+'Data Termo'!$F$8/2*($B$192^2-298.15^2)+'Data Termo'!$G$8/3*($B$192^3-298.15^3)+'Data Termo'!$H$8/4*($B$192^4-298.15^4)+'Data Termo'!$I$8/5*($B$192^5-298.15^5))</f>
        <v>-84412.08005455934</v>
      </c>
      <c r="D200" s="191">
        <f>I23</f>
        <v>0.0025627973658952897</v>
      </c>
      <c r="E200" s="195">
        <f>'Data Termo'!$W$8+('Data Termo'!$E$8*($D$192-298.15)+'Data Termo'!$F$8/2*($D$192^2-298.15^2)+'Data Termo'!$G$8/3*($D$192^3-298.15^3)+'Data Termo'!$H$8/4*($D$192^4-298.15^4)+'Data Termo'!$I$8/5*($D$192^5-298.15^5))</f>
        <v>-84642.86265206315</v>
      </c>
    </row>
    <row r="201">
      <c r="A201" s="188" t="inlineStr">
        <is>
          <t>C₂H₂ (g)</t>
        </is>
      </c>
      <c r="B201" s="191">
        <f>I24</f>
        <v>0.0011335635563933986</v>
      </c>
      <c r="C201" s="195">
        <f>'Data Termo'!$W$9+('Data Termo'!$E$9*($B$192-298.15)+'Data Termo'!$F$9/2*($B$192^2-298.15^2)+'Data Termo'!$G$9/3*($B$192^3-298.15^3)+'Data Termo'!$H$9/4*($B$192^4-298.15^4)+'Data Termo'!$I$9/5*($B$192^5-298.15^5))</f>
        <v>226953.1899656809</v>
      </c>
      <c r="D201" s="191">
        <f>I24</f>
        <v>0.0011335635563933986</v>
      </c>
      <c r="E201" s="195">
        <f>'Data Termo'!$W$9+('Data Termo'!$E$9*($D$192-298.15)+'Data Termo'!$F$9/2*($D$192^2-298.15^2)+'Data Termo'!$G$9/3*($D$192^3-298.15^3)+'Data Termo'!$H$9/4*($D$192^4-298.15^4)+'Data Termo'!$I$9/5*($D$192^5-298.15^5))</f>
        <v>226760.9882300793</v>
      </c>
    </row>
    <row r="202">
      <c r="A202" s="188" t="inlineStr">
        <is>
          <t>Koreksi gas nyata (kJ/h)</t>
        </is>
      </c>
      <c r="B202" s="195">
        <f>SUM(B198:B201)*('Data Termo'!$D$40*'Data Termo'!$D$30*($B$194/'Data Termo'!$D$31)*((0.083-0.422/($B$192/'Data Termo'!$D$30)^1.6)-($B$192/'Data Termo'!$D$30)*0.675/($B$192/'Data Termo'!$D$30)^2.6+'Data Termo'!$D$32*((0.139-0.172/($B$192/'Data Termo'!$D$30)^4.2)-($B$192/'Data Termo'!$D$30)*0.722/($B$192/'Data Termo'!$D$30)^5.2)))</f>
        <v>-51258.569313810825</v>
      </c>
      <c r="C202" s="184" t="n"/>
      <c r="D202" s="195">
        <f>SUM(D198:D201)*('Data Termo'!$D$40*'Data Termo'!$D$30*($D$194/'Data Termo'!$D$31)*((0.083-0.422/($D$192/'Data Termo'!$D$30)^1.6)-($D$192/'Data Termo'!$D$30)*0.675/($D$192/'Data Termo'!$D$30)^2.6+'Data Termo'!$D$32*((0.139-0.172/($D$192/'Data Termo'!$D$30)^4.2)-($D$192/'Data Termo'!$D$30)*0.722/($D$192/'Data Termo'!$D$30)^5.2)))</f>
        <v>-9940.265201903387</v>
      </c>
      <c r="E202" s="184" t="n"/>
    </row>
    <row r="203">
      <c r="A203" s="196" t="inlineStr">
        <is>
          <t>Sub Total ṅᵢĤᵢ (kJ/h)</t>
        </is>
      </c>
      <c r="B203" s="197">
        <f>SUMPRODUCT(B198:B201,C198:C201)+B202</f>
        <v>11360397.844552997</v>
      </c>
      <c r="C203" s="184" t="n"/>
      <c r="D203" s="197">
        <f>SUMPRODUCT(D198:D201,E198:E201)+D202</f>
        <v>11360397.844552997</v>
      </c>
      <c r="E203" s="184" t="n"/>
    </row>
    <row r="204">
      <c r="A204" s="188" t="inlineStr">
        <is>
          <t>Heat of reaction / heat of mixing</t>
        </is>
      </c>
      <c r="B204" s="198" t="inlineStr">
        <is>
          <t>-</t>
        </is>
      </c>
      <c r="C204" s="183" t="n"/>
      <c r="D204" s="183" t="n"/>
      <c r="E204" s="184" t="n"/>
    </row>
    <row r="205">
      <c r="A205" s="196" t="inlineStr">
        <is>
          <t>Q (kJ/h)</t>
        </is>
      </c>
      <c r="B205" s="197" t="n">
        <v>0</v>
      </c>
      <c r="C205" s="183" t="n"/>
      <c r="D205" s="183" t="n"/>
      <c r="E205" s="184" t="n"/>
    </row>
    <row r="206">
      <c r="A206" s="196" t="inlineStr">
        <is>
          <t>W (kJ/h)</t>
        </is>
      </c>
      <c r="B206" s="197" t="n">
        <v>0</v>
      </c>
      <c r="C206" s="183" t="n"/>
      <c r="D206" s="183" t="n"/>
      <c r="E206" s="184" t="n"/>
    </row>
    <row r="207">
      <c r="A207" s="196" t="inlineStr">
        <is>
          <t>TOTAL (kJ/h)</t>
        </is>
      </c>
      <c r="B207" s="197">
        <f>B203+$B$205+$B$206</f>
        <v>11360397.844552997</v>
      </c>
      <c r="C207" s="184" t="n"/>
      <c r="D207" s="197">
        <f>D203</f>
        <v>11360397.844552997</v>
      </c>
      <c r="E207" s="184" t="n"/>
    </row>
    <row r="208">
      <c r="A208" s="188" t="inlineStr">
        <is>
          <t>Selisih masuk − keluar (kJ/h)</t>
        </is>
      </c>
      <c r="B208" s="195">
        <f>B207-D207</f>
        <v>0.0</v>
      </c>
      <c r="C208" s="183" t="n"/>
      <c r="D208" s="183" t="n"/>
      <c r="E208" s="184" t="n"/>
    </row>
    <row r="209">
      <c r="A209" s="188" t="inlineStr">
        <is>
          <t>Q (kW)</t>
        </is>
      </c>
      <c r="B209" s="195">
        <f>$B$205/3600</f>
        <v>0.0</v>
      </c>
      <c r="C209" s="183" t="n"/>
      <c r="D209" s="183" t="n"/>
      <c r="E209" s="184" t="n"/>
    </row>
    <row r="210">
      <c r="A210" s="188" t="inlineStr">
        <is>
          <t>W (kW)</t>
        </is>
      </c>
      <c r="B210" s="195">
        <f>$B$206/3600</f>
        <v>0.0</v>
      </c>
      <c r="C210" s="183" t="n"/>
      <c r="D210" s="183" t="n"/>
      <c r="E210" s="184" t="n"/>
    </row>
    <row r="213">
      <c r="A213" s="172" t="inlineStr">
        <is>
          <t>Neraca Energi R-01 + E-103: Reaktor klorinasi langsung dan kondensor vent</t>
        </is>
      </c>
    </row>
    <row r="214">
      <c r="A214" s="174" t="inlineStr">
        <is>
          <t>Reference state: unsur pada 25 °C dan 1 atm (metode panas pembentukan)</t>
        </is>
      </c>
    </row>
    <row r="215">
      <c r="A215" s="182" t="inlineStr">
        <is>
          <t>No. aliran PFD</t>
        </is>
      </c>
      <c r="B215" s="182" t="n">
        <v>3</v>
      </c>
      <c r="C215" s="184" t="n"/>
      <c r="D215" s="182" t="n">
        <v>8</v>
      </c>
      <c r="E215" s="184" t="n"/>
      <c r="F215" s="182" t="n">
        <v>10</v>
      </c>
      <c r="G215" s="184" t="n"/>
      <c r="H215" s="182" t="n">
        <v>13</v>
      </c>
      <c r="I215" s="184" t="n"/>
      <c r="J215" s="182" t="n">
        <v>14</v>
      </c>
      <c r="K215" s="184" t="n"/>
    </row>
    <row r="216">
      <c r="A216" s="182" t="inlineStr">
        <is>
          <t>Dari</t>
        </is>
      </c>
      <c r="B216" s="192" t="inlineStr">
        <is>
          <t>E-101</t>
        </is>
      </c>
      <c r="C216" s="184" t="n"/>
      <c r="D216" s="192" t="inlineStr">
        <is>
          <t>V-103</t>
        </is>
      </c>
      <c r="E216" s="184" t="n"/>
      <c r="F216" s="192" t="inlineStr">
        <is>
          <t>Make-up</t>
        </is>
      </c>
      <c r="G216" s="184" t="n"/>
      <c r="H216" s="192" t="inlineStr">
        <is>
          <t>E-103</t>
        </is>
      </c>
      <c r="I216" s="184" t="n"/>
      <c r="J216" s="192" t="inlineStr">
        <is>
          <t>R-01</t>
        </is>
      </c>
      <c r="K216" s="184" t="n"/>
    </row>
    <row r="217">
      <c r="A217" s="182" t="inlineStr">
        <is>
          <t>Ke</t>
        </is>
      </c>
      <c r="B217" s="192" t="inlineStr">
        <is>
          <t>R-01</t>
        </is>
      </c>
      <c r="C217" s="184" t="n"/>
      <c r="D217" s="192" t="inlineStr">
        <is>
          <t>R-01</t>
        </is>
      </c>
      <c r="E217" s="184" t="n"/>
      <c r="F217" s="192" t="inlineStr">
        <is>
          <t>R-01</t>
        </is>
      </c>
      <c r="G217" s="184" t="n"/>
      <c r="H217" s="192" t="inlineStr">
        <is>
          <t>UPL</t>
        </is>
      </c>
      <c r="I217" s="184" t="n"/>
      <c r="J217" s="192" t="inlineStr">
        <is>
          <t>P-101</t>
        </is>
      </c>
      <c r="K217" s="184" t="n"/>
    </row>
    <row r="218">
      <c r="A218" s="182" t="inlineStr">
        <is>
          <t>T (K)</t>
        </is>
      </c>
      <c r="B218" s="193">
        <f>$D$83</f>
        <v>250.12</v>
      </c>
      <c r="C218" s="184" t="n"/>
      <c r="D218" s="193">
        <f>$D$192</f>
        <v>298.84618164316123</v>
      </c>
      <c r="E218" s="184" t="n"/>
      <c r="F218" s="193">
        <f>F219+273.15</f>
        <v>303.15</v>
      </c>
      <c r="G218" s="184" t="n"/>
      <c r="H218" s="193">
        <f>H219+273.15</f>
        <v>278.15</v>
      </c>
      <c r="I218" s="184" t="n"/>
      <c r="J218" s="193">
        <f>J219+273.15</f>
        <v>338.15</v>
      </c>
      <c r="K218" s="184" t="n"/>
    </row>
    <row r="219">
      <c r="A219" s="182" t="inlineStr">
        <is>
          <t>T (°C)</t>
        </is>
      </c>
      <c r="B219" s="193">
        <f>$D$84</f>
        <v>-23.029999999999973</v>
      </c>
      <c r="C219" s="184" t="n"/>
      <c r="D219" s="193">
        <f>$D$193</f>
        <v>25.696181643161253</v>
      </c>
      <c r="E219" s="184" t="n"/>
      <c r="F219" s="193" t="n">
        <v>30</v>
      </c>
      <c r="G219" s="184" t="n"/>
      <c r="H219" s="193" t="n">
        <v>5</v>
      </c>
      <c r="I219" s="184" t="n"/>
      <c r="J219" s="193" t="n">
        <v>65</v>
      </c>
      <c r="K219" s="184" t="n"/>
    </row>
    <row r="220">
      <c r="A220" s="182" t="inlineStr">
        <is>
          <t>P (bar abs)</t>
        </is>
      </c>
      <c r="B220" s="194">
        <f>$D$85</f>
        <v>1.01325</v>
      </c>
      <c r="C220" s="184" t="n"/>
      <c r="D220" s="194">
        <f>$D$194</f>
        <v>1.01325</v>
      </c>
      <c r="E220" s="184" t="n"/>
      <c r="F220" s="194" t="n">
        <v>1.01325</v>
      </c>
      <c r="G220" s="184" t="n"/>
      <c r="H220" s="194" t="n">
        <v>1.01325</v>
      </c>
      <c r="I220" s="184" t="n"/>
      <c r="J220" s="194" t="n">
        <v>1.01325</v>
      </c>
      <c r="K220" s="184" t="n"/>
    </row>
    <row r="221">
      <c r="A221" s="182" t="inlineStr">
        <is>
          <t>Substance</t>
        </is>
      </c>
      <c r="B221" s="182" t="inlineStr">
        <is>
          <t>INLET</t>
        </is>
      </c>
      <c r="C221" s="183" t="n"/>
      <c r="D221" s="183" t="n"/>
      <c r="E221" s="183" t="n"/>
      <c r="F221" s="183" t="n"/>
      <c r="G221" s="184" t="n"/>
      <c r="H221" s="182" t="inlineStr">
        <is>
          <t>OUTLET</t>
        </is>
      </c>
      <c r="I221" s="183" t="n"/>
      <c r="J221" s="183" t="n"/>
      <c r="K221" s="184" t="n"/>
    </row>
    <row r="222">
      <c r="A222" s="185" t="n"/>
      <c r="B222" s="182" t="inlineStr">
        <is>
          <t>Aliran 3</t>
        </is>
      </c>
      <c r="C222" s="184" t="n"/>
      <c r="D222" s="182" t="inlineStr">
        <is>
          <t>Aliran 8</t>
        </is>
      </c>
      <c r="E222" s="184" t="n"/>
      <c r="F222" s="182" t="inlineStr">
        <is>
          <t>Aliran 10</t>
        </is>
      </c>
      <c r="G222" s="184" t="n"/>
      <c r="H222" s="182" t="inlineStr">
        <is>
          <t>Aliran 13</t>
        </is>
      </c>
      <c r="I222" s="184" t="n"/>
      <c r="J222" s="182" t="inlineStr">
        <is>
          <t>Aliran 14</t>
        </is>
      </c>
      <c r="K222" s="184" t="n"/>
    </row>
    <row r="223">
      <c r="A223" s="186" t="n"/>
      <c r="B223" s="182" t="inlineStr">
        <is>
          <t>ṅᵢ (kmol/h)</t>
        </is>
      </c>
      <c r="C223" s="182" t="inlineStr">
        <is>
          <t>Ĥᵢ (kJ/kmol)</t>
        </is>
      </c>
      <c r="D223" s="182" t="inlineStr">
        <is>
          <t>ṅᵢ (kmol/h)</t>
        </is>
      </c>
      <c r="E223" s="182" t="inlineStr">
        <is>
          <t>Ĥᵢ (kJ/kmol)</t>
        </is>
      </c>
      <c r="F223" s="182" t="inlineStr">
        <is>
          <t>ṅᵢ (kmol/h)</t>
        </is>
      </c>
      <c r="G223" s="182" t="inlineStr">
        <is>
          <t>Ĥᵢ (kJ/kmol)</t>
        </is>
      </c>
      <c r="H223" s="182" t="inlineStr">
        <is>
          <t>ṅᵢ (kmol/h)</t>
        </is>
      </c>
      <c r="I223" s="182" t="inlineStr">
        <is>
          <t>Ĥᵢ (kJ/kmol)</t>
        </is>
      </c>
      <c r="J223" s="182" t="inlineStr">
        <is>
          <t>ṅᵢ (kmol/h)</t>
        </is>
      </c>
      <c r="K223" s="182" t="inlineStr">
        <is>
          <t>Ĥᵢ (kJ/kmol)</t>
        </is>
      </c>
    </row>
    <row r="224">
      <c r="A224" s="188" t="inlineStr">
        <is>
          <t>C₂H₄ (g)</t>
        </is>
      </c>
      <c r="B224" s="191">
        <f>E21</f>
        <v>0.0</v>
      </c>
      <c r="C224" s="195">
        <f>'Data Termo'!$W$6+('Data Termo'!$E$6*($B$218-298.15)+'Data Termo'!$F$6/2*($B$218^2-298.15^2)+'Data Termo'!$G$6/3*($B$218^3-298.15^3)+'Data Termo'!$H$6/4*($B$218^4-298.15^4)+'Data Termo'!$I$6/5*($B$218^5-298.15^5))</f>
        <v>50275.995349698154</v>
      </c>
      <c r="D224" s="191">
        <f>I21</f>
        <v>217.4040578931134</v>
      </c>
      <c r="E224" s="195">
        <f>'Data Termo'!$W$6+('Data Termo'!$E$6*($D$218-298.15)+'Data Termo'!$F$6/2*($D$218^2-298.15^2)+'Data Termo'!$G$6/3*($D$218^3-298.15^3)+'Data Termo'!$H$6/4*($D$218^4-298.15^4)+'Data Termo'!$I$6/5*($D$218^5-298.15^5))</f>
        <v>52330.59787083153</v>
      </c>
      <c r="F224" s="191">
        <f>M21</f>
        <v>0.0</v>
      </c>
      <c r="G224" s="195">
        <f>'Data Termo'!$W$6+('Data Termo'!$E$6*($F$218-298.15)+'Data Termo'!$F$6/2*($F$218^2-298.15^2)+'Data Termo'!$G$6/3*($F$218^3-298.15^3)+'Data Termo'!$H$6/4*($F$218^4-298.15^4)+'Data Termo'!$I$6/5*($F$218^5-298.15^5))</f>
        <v>52520.58368938839</v>
      </c>
      <c r="H224" s="191">
        <f>U21</f>
        <v>0.9359822716146198</v>
      </c>
      <c r="I224" s="195">
        <f>'Data Termo'!$W$6+('Data Termo'!$E$6*($H$218-298.15)+'Data Termo'!$F$6/2*($H$218^2-298.15^2)+'Data Termo'!$G$6/3*($H$218^3-298.15^3)+'Data Termo'!$H$6/4*($H$218^4-298.15^4)+'Data Termo'!$I$6/5*($H$218^5-298.15^5))</f>
        <v>51436.66869005366</v>
      </c>
      <c r="J224" s="191">
        <f>Q21</f>
        <v>0.0</v>
      </c>
      <c r="K224" s="195">
        <f>'Data Termo'!$W$6+('Data Termo'!$E$6*($J$218-298.15)+'Data Termo'!$F$6/2*($J$218^2-298.15^2)+'Data Termo'!$G$6/3*($J$218^3-298.15^3)+'Data Termo'!$H$6/4*($J$218^4-298.15^4)+'Data Termo'!$I$6/5*($J$218^5-298.15^5))</f>
        <v>54119.8028948268</v>
      </c>
    </row>
    <row r="225">
      <c r="A225" s="188" t="inlineStr">
        <is>
          <t>CH₄ (g)</t>
        </is>
      </c>
      <c r="B225" s="191">
        <f>E22</f>
        <v>0.0</v>
      </c>
      <c r="C225" s="195">
        <f>'Data Termo'!$W$7+('Data Termo'!$E$7*($B$218-298.15)+'Data Termo'!$F$7/2*($B$218^2-298.15^2)+'Data Termo'!$G$7/3*($B$218^3-298.15^3)+'Data Termo'!$H$7/4*($B$218^4-298.15^4)+'Data Termo'!$I$7/5*($B$218^5-298.15^5))</f>
        <v>-76554.61916713568</v>
      </c>
      <c r="D225" s="191">
        <f>I22</f>
        <v>0.0880236790829347</v>
      </c>
      <c r="E225" s="195">
        <f>'Data Termo'!$W$7+('Data Termo'!$E$7*($D$218-298.15)+'Data Termo'!$F$7/2*($D$218^2-298.15^2)+'Data Termo'!$G$7/3*($D$218^3-298.15^3)+'Data Termo'!$H$7/4*($D$218^4-298.15^4)+'Data Termo'!$I$7/5*($D$218^5-298.15^5))</f>
        <v>-74824.69367374251</v>
      </c>
      <c r="F225" s="191">
        <f>M22</f>
        <v>0.0</v>
      </c>
      <c r="G225" s="195">
        <f>'Data Termo'!$W$7+('Data Termo'!$E$7*($F$218-298.15)+'Data Termo'!$F$7/2*($F$218^2-298.15^2)+'Data Termo'!$G$7/3*($F$218^3-298.15^3)+'Data Termo'!$H$7/4*($F$218^4-298.15^4)+'Data Termo'!$I$7/5*($F$218^5-298.15^5))</f>
        <v>-74667.83936216985</v>
      </c>
      <c r="H225" s="191">
        <f>U22</f>
        <v>0.0880236790829347</v>
      </c>
      <c r="I225" s="195">
        <f>'Data Termo'!$W$7+('Data Termo'!$E$7*($H$218-298.15)+'Data Termo'!$F$7/2*($H$218^2-298.15^2)+'Data Termo'!$G$7/3*($H$218^3-298.15^3)+'Data Termo'!$H$7/4*($H$218^4-298.15^4)+'Data Termo'!$I$7/5*($H$218^5-298.15^5))</f>
        <v>-75569.3877999227</v>
      </c>
      <c r="J225" s="191">
        <f>Q22</f>
        <v>0.0</v>
      </c>
      <c r="K225" s="195">
        <f>'Data Termo'!$W$7+('Data Termo'!$E$7*($J$218-298.15)+'Data Termo'!$F$7/2*($J$218^2-298.15^2)+'Data Termo'!$G$7/3*($J$218^3-298.15^3)+'Data Termo'!$H$7/4*($J$218^4-298.15^4)+'Data Termo'!$I$7/5*($J$218^5-298.15^5))</f>
        <v>-73364.73027103057</v>
      </c>
    </row>
    <row r="226">
      <c r="A226" s="188" t="inlineStr">
        <is>
          <t>C₂H₆ (g)</t>
        </is>
      </c>
      <c r="B226" s="191">
        <f>E23</f>
        <v>0.0</v>
      </c>
      <c r="C226" s="195">
        <f>'Data Termo'!$W$8+('Data Termo'!$E$8*($B$218-298.15)+'Data Termo'!$F$8/2*($B$218^2-298.15^2)+'Data Termo'!$G$8/3*($B$218^3-298.15^3)+'Data Termo'!$H$8/4*($B$218^4-298.15^4)+'Data Termo'!$I$8/5*($B$218^5-298.15^5))</f>
        <v>-87113.93482029016</v>
      </c>
      <c r="D226" s="191">
        <f>I23</f>
        <v>0.0025627973658952897</v>
      </c>
      <c r="E226" s="195">
        <f>'Data Termo'!$W$8+('Data Termo'!$E$8*($D$218-298.15)+'Data Termo'!$F$8/2*($D$218^2-298.15^2)+'Data Termo'!$G$8/3*($D$218^3-298.15^3)+'Data Termo'!$H$8/4*($D$218^4-298.15^4)+'Data Termo'!$I$8/5*($D$218^5-298.15^5))</f>
        <v>-84642.86265206315</v>
      </c>
      <c r="F226" s="191">
        <f>M23</f>
        <v>0.0</v>
      </c>
      <c r="G226" s="195">
        <f>'Data Termo'!$W$8+('Data Termo'!$E$8*($F$218-298.15)+'Data Termo'!$F$8/2*($F$218^2-298.15^2)+'Data Termo'!$G$8/3*($F$218^3-298.15^3)+'Data Termo'!$H$8/4*($F$218^4-298.15^4)+'Data Termo'!$I$8/5*($F$218^5-298.15^5))</f>
        <v>-84412.08005455934</v>
      </c>
      <c r="H226" s="191">
        <f>U23</f>
        <v>0.0025627973658952897</v>
      </c>
      <c r="I226" s="195">
        <f>'Data Termo'!$W$8+('Data Termo'!$E$8*($H$218-298.15)+'Data Termo'!$F$8/2*($H$218^2-298.15^2)+'Data Termo'!$G$8/3*($H$218^3-298.15^3)+'Data Termo'!$H$8/4*($H$218^4-298.15^4)+'Data Termo'!$I$8/5*($H$218^5-298.15^5))</f>
        <v>-85724.00561486102</v>
      </c>
      <c r="J226" s="191">
        <f>Q23</f>
        <v>0.0</v>
      </c>
      <c r="K226" s="195">
        <f>'Data Termo'!$W$8+('Data Termo'!$E$8*($J$218-298.15)+'Data Termo'!$F$8/2*($J$218^2-298.15^2)+'Data Termo'!$G$8/3*($J$218^3-298.15^3)+'Data Termo'!$H$8/4*($J$218^4-298.15^4)+'Data Termo'!$I$8/5*($J$218^5-298.15^5))</f>
        <v>-82457.8957710311</v>
      </c>
    </row>
    <row r="227">
      <c r="A227" s="188" t="inlineStr">
        <is>
          <t>C₂H₂ (g)</t>
        </is>
      </c>
      <c r="B227" s="191">
        <f>E24</f>
        <v>0.0</v>
      </c>
      <c r="C227" s="195">
        <f>'Data Termo'!$W$9+('Data Termo'!$E$9*($B$218-298.15)+'Data Termo'!$F$9/2*($B$218^2-298.15^2)+'Data Termo'!$G$9/3*($B$218^3-298.15^3)+'Data Termo'!$H$9/4*($B$218^4-298.15^4)+'Data Termo'!$I$9/5*($B$218^5-298.15^5))</f>
        <v>224663.654095546</v>
      </c>
      <c r="D227" s="191">
        <f>I24</f>
        <v>0.0011335635563933986</v>
      </c>
      <c r="E227" s="195">
        <f>'Data Termo'!$W$9+('Data Termo'!$E$9*($D$218-298.15)+'Data Termo'!$F$9/2*($D$218^2-298.15^2)+'Data Termo'!$G$9/3*($D$218^3-298.15^3)+'Data Termo'!$H$9/4*($D$218^4-298.15^4)+'Data Termo'!$I$9/5*($D$218^5-298.15^5))</f>
        <v>226760.9882300793</v>
      </c>
      <c r="F227" s="191">
        <f>M24</f>
        <v>0.0</v>
      </c>
      <c r="G227" s="195">
        <f>'Data Termo'!$W$9+('Data Termo'!$E$9*($F$218-298.15)+'Data Termo'!$F$9/2*($F$218^2-298.15^2)+'Data Termo'!$G$9/3*($F$218^3-298.15^3)+'Data Termo'!$H$9/4*($F$218^4-298.15^4)+'Data Termo'!$I$9/5*($F$218^5-298.15^5))</f>
        <v>226953.1899656809</v>
      </c>
      <c r="H227" s="191">
        <f>U24</f>
        <v>0.0011335635563933986</v>
      </c>
      <c r="I227" s="195">
        <f>'Data Termo'!$W$9+('Data Termo'!$E$9*($H$218-298.15)+'Data Termo'!$F$9/2*($H$218^2-298.15^2)+'Data Termo'!$G$9/3*($H$218^3-298.15^3)+'Data Termo'!$H$9/4*($H$218^4-298.15^4)+'Data Termo'!$I$9/5*($H$218^5-298.15^5))</f>
        <v>225852.148104819</v>
      </c>
      <c r="J227" s="191">
        <f>Q24</f>
        <v>0.0</v>
      </c>
      <c r="K227" s="195">
        <f>'Data Termo'!$W$9+('Data Termo'!$E$9*($J$218-298.15)+'Data Termo'!$F$9/2*($J$218^2-298.15^2)+'Data Termo'!$G$9/3*($J$218^3-298.15^3)+'Data Termo'!$H$9/4*($J$218^4-298.15^4)+'Data Termo'!$I$9/5*($J$218^5-298.15^5))</f>
        <v>228555.38927334163</v>
      </c>
    </row>
    <row r="228">
      <c r="A228" s="188" t="inlineStr">
        <is>
          <t>Cl₂ (g / g / l / g / l)</t>
        </is>
      </c>
      <c r="B228" s="191">
        <f>E25</f>
        <v>216.5379062680412</v>
      </c>
      <c r="C228" s="195">
        <f>'Data Termo'!$W$10+('Data Termo'!$E$10*($B$218-298.15)+'Data Termo'!$F$10/2*($B$218^2-298.15^2)+'Data Termo'!$G$10/3*($B$218^3-298.15^3)+'Data Termo'!$H$10/4*($B$218^4-298.15^4)+'Data Termo'!$I$10/5*($B$218^5-298.15^5))</f>
        <v>-1602.1264870320567</v>
      </c>
      <c r="D228" s="191">
        <f>I25</f>
        <v>0.0</v>
      </c>
      <c r="E228" s="195">
        <f>'Data Termo'!$W$10+('Data Termo'!$E$10*($D$218-298.15)+'Data Termo'!$F$10/2*($D$218^2-298.15^2)+'Data Termo'!$G$10/3*($D$218^3-298.15^3)+'Data Termo'!$H$10/4*($D$218^4-298.15^4)+'Data Termo'!$I$10/5*($D$218^5-298.15^5))</f>
        <v>23.47967806758914</v>
      </c>
      <c r="F228" s="191">
        <f>M25</f>
        <v>0.0</v>
      </c>
      <c r="G228" s="195">
        <f>'Data Termo'!$X$10+('Data Termo'!$J$10*($F$218-298.15)+'Data Termo'!$K$10/2*($F$218^2-298.15^2)+'Data Termo'!$L$10/3*($F$218^3-298.15^3)+'Data Termo'!$M$10/4*($F$218^4-298.15^4))</f>
        <v>-16897.231352605704</v>
      </c>
      <c r="H228" s="191">
        <f>U25</f>
        <v>0.021653790626801735</v>
      </c>
      <c r="I228" s="195">
        <f>'Data Termo'!$W$10+('Data Termo'!$E$10*($H$218-298.15)+'Data Termo'!$F$10/2*($H$218^2-298.15^2)+'Data Termo'!$G$10/3*($H$218^3-298.15^3)+'Data Termo'!$H$10/4*($H$218^4-298.15^4)+'Data Termo'!$I$10/5*($H$218^5-298.15^5))</f>
        <v>-671.4696690458113</v>
      </c>
      <c r="J228" s="191">
        <f>Q25</f>
        <v>0.0</v>
      </c>
      <c r="K228" s="195">
        <f>'Data Termo'!$X$10+('Data Termo'!$J$10*($J$218-298.15)+'Data Termo'!$K$10/2*($J$218^2-298.15^2)+'Data Termo'!$L$10/3*($J$218^3-298.15^3)+'Data Termo'!$M$10/4*($J$218^4-298.15^4))</f>
        <v>-14120.752379369109</v>
      </c>
    </row>
    <row r="229">
      <c r="A229" s="188" t="inlineStr">
        <is>
          <t>CₙHₘ (g)</t>
        </is>
      </c>
      <c r="B229" s="191">
        <f>E26</f>
        <v>0.0038339791506769674</v>
      </c>
      <c r="C229" s="195">
        <f>'Data Termo'!$W$11+('Data Termo'!$E$11*($B$218-298.15)+'Data Termo'!$F$11/2*($B$218^2-298.15^2)+'Data Termo'!$G$11/3*($B$218^3-298.15^3)+'Data Termo'!$H$11/4*($B$218^4-298.15^4)+'Data Termo'!$I$11/5*($B$218^5-298.15^5))</f>
        <v>-76554.61916713568</v>
      </c>
      <c r="D229" s="191">
        <f>I26</f>
        <v>0.0</v>
      </c>
      <c r="E229" s="195">
        <f>'Data Termo'!$W$11+('Data Termo'!$E$11*($D$218-298.15)+'Data Termo'!$F$11/2*($D$218^2-298.15^2)+'Data Termo'!$G$11/3*($D$218^3-298.15^3)+'Data Termo'!$H$11/4*($D$218^4-298.15^4)+'Data Termo'!$I$11/5*($D$218^5-298.15^5))</f>
        <v>-74824.69367374251</v>
      </c>
      <c r="F229" s="191">
        <f>M26</f>
        <v>0.0</v>
      </c>
      <c r="G229" s="195">
        <f>'Data Termo'!$W$11+('Data Termo'!$E$11*($F$218-298.15)+'Data Termo'!$F$11/2*($F$218^2-298.15^2)+'Data Termo'!$G$11/3*($F$218^3-298.15^3)+'Data Termo'!$H$11/4*($F$218^4-298.15^4)+'Data Termo'!$I$11/5*($F$218^5-298.15^5))</f>
        <v>-74667.83936216985</v>
      </c>
      <c r="H229" s="191">
        <f>U26</f>
        <v>0.0038339791506769674</v>
      </c>
      <c r="I229" s="195">
        <f>'Data Termo'!$W$11+('Data Termo'!$E$11*($H$218-298.15)+'Data Termo'!$F$11/2*($H$218^2-298.15^2)+'Data Termo'!$G$11/3*($H$218^3-298.15^3)+'Data Termo'!$H$11/4*($H$218^4-298.15^4)+'Data Termo'!$I$11/5*($H$218^5-298.15^5))</f>
        <v>-75569.3877999227</v>
      </c>
      <c r="J229" s="191">
        <f>Q26</f>
        <v>0.0</v>
      </c>
      <c r="K229" s="195">
        <f>'Data Termo'!$W$11+('Data Termo'!$E$11*($J$218-298.15)+'Data Termo'!$F$11/2*($J$218^2-298.15^2)+'Data Termo'!$G$11/3*($J$218^3-298.15^3)+'Data Termo'!$H$11/4*($J$218^4-298.15^4)+'Data Termo'!$I$11/5*($J$218^5-298.15^5))</f>
        <v>-73364.73027103057</v>
      </c>
    </row>
    <row r="230">
      <c r="A230" s="188" t="inlineStr">
        <is>
          <t>H₂O (g / g / l / g / l)</t>
        </is>
      </c>
      <c r="B230" s="191">
        <f>E27</f>
        <v>0.010242885514456384</v>
      </c>
      <c r="C230" s="195">
        <f>'Data Termo'!$W$12+('Data Termo'!$E$12*($B$218-298.15)+'Data Termo'!$F$12/2*($B$218^2-298.15^2)+'Data Termo'!$G$12/3*($B$218^3-298.15^3)+'Data Termo'!$H$12/4*($B$218^4-298.15^4)+'Data Termo'!$I$12/5*($B$218^5-298.15^5))</f>
        <v>-243410.42167912226</v>
      </c>
      <c r="D230" s="191">
        <f>I27</f>
        <v>0.0</v>
      </c>
      <c r="E230" s="195">
        <f>'Data Termo'!$W$12+('Data Termo'!$E$12*($D$218-298.15)+'Data Termo'!$F$12/2*($D$218^2-298.15^2)+'Data Termo'!$G$12/3*($D$218^3-298.15^3)+'Data Termo'!$H$12/4*($D$218^4-298.15^4)+'Data Termo'!$I$12/5*($D$218^5-298.15^5))</f>
        <v>-241776.58047630222</v>
      </c>
      <c r="F230" s="191">
        <f>M27</f>
        <v>0.0</v>
      </c>
      <c r="G230" s="195">
        <f>'Data Termo'!$X$12+('Data Termo'!$J$12*($F$218-298.15)+'Data Termo'!$K$12/2*($F$218^2-298.15^2)+'Data Termo'!$L$12/3*($F$218^3-298.15^3)+'Data Termo'!$M$12/4*($F$218^4-298.15^4))</f>
        <v>-284115.49215514417</v>
      </c>
      <c r="H230" s="191">
        <f>U27</f>
        <v>0.0</v>
      </c>
      <c r="I230" s="195">
        <f>'Data Termo'!$W$12+('Data Termo'!$E$12*($H$218-298.15)+'Data Termo'!$F$12/2*($H$218^2-298.15^2)+'Data Termo'!$G$12/3*($H$218^3-298.15^3)+'Data Termo'!$H$12/4*($H$218^4-298.15^4)+'Data Termo'!$I$12/5*($H$218^5-298.15^5))</f>
        <v>-242471.7965662705</v>
      </c>
      <c r="J230" s="191">
        <f>Q27</f>
        <v>0.010242885514456384</v>
      </c>
      <c r="K230" s="195">
        <f>'Data Termo'!$X$12+('Data Termo'!$J$12*($J$218-298.15)+'Data Termo'!$K$12/2*($J$218^2-298.15^2)+'Data Termo'!$L$12/3*($J$218^3-298.15^3)+'Data Termo'!$M$12/4*($J$218^4-298.15^4))</f>
        <v>-281483.37349964835</v>
      </c>
    </row>
    <row r="231">
      <c r="A231" s="188" t="inlineStr">
        <is>
          <t>CₓHᵧCl (g)</t>
        </is>
      </c>
      <c r="B231" s="191">
        <f>E28</f>
        <v>0.0024365602723146326</v>
      </c>
      <c r="C231" s="195">
        <f>'Data Termo'!$W$13+('Data Termo'!$E$13*($B$218-298.15)+'Data Termo'!$F$13/2*($B$218^2-298.15^2)+'Data Termo'!$G$13/3*($B$218^3-298.15^3)+'Data Termo'!$H$13/4*($B$218^4-298.15^4)+'Data Termo'!$I$13/5*($B$218^5-298.15^5))</f>
        <v>-88251.72202049766</v>
      </c>
      <c r="D231" s="191">
        <f>I28</f>
        <v>0.0</v>
      </c>
      <c r="E231" s="195">
        <f>'Data Termo'!$W$13+('Data Termo'!$E$13*($D$218-298.15)+'Data Termo'!$F$13/2*($D$218^2-298.15^2)+'Data Termo'!$G$13/3*($D$218^3-298.15^3)+'Data Termo'!$H$13/4*($D$218^4-298.15^4)+'Data Termo'!$I$13/5*($D$218^5-298.15^5))</f>
        <v>-86290.96395142851</v>
      </c>
      <c r="F231" s="191">
        <f>M28</f>
        <v>0.0</v>
      </c>
      <c r="G231" s="195">
        <f>'Data Termo'!$W$13+('Data Termo'!$E$13*($F$218-298.15)+'Data Termo'!$F$13/2*($F$218^2-298.15^2)+'Data Termo'!$G$13/3*($F$218^3-298.15^3)+'Data Termo'!$H$13/4*($F$218^4-298.15^4)+'Data Termo'!$I$13/5*($F$218^5-298.15^5))</f>
        <v>-86110.79524117187</v>
      </c>
      <c r="H231" s="191">
        <f>U28</f>
        <v>0.0024365602723146326</v>
      </c>
      <c r="I231" s="195">
        <f>'Data Termo'!$W$13+('Data Termo'!$E$13*($H$218-298.15)+'Data Termo'!$F$13/2*($H$218^2-298.15^2)+'Data Termo'!$G$13/3*($H$218^3-298.15^3)+'Data Termo'!$H$13/4*($H$218^4-298.15^4)+'Data Termo'!$I$13/5*($H$218^5-298.15^5))</f>
        <v>-87141.40489394401</v>
      </c>
      <c r="J231" s="191">
        <f>Q28</f>
        <v>0.0</v>
      </c>
      <c r="K231" s="195">
        <f>'Data Termo'!$W$13+('Data Termo'!$E$13*($J$218-298.15)+'Data Termo'!$F$13/2*($J$218^2-298.15^2)+'Data Termo'!$G$13/3*($J$218^3-298.15^3)+'Data Termo'!$H$13/4*($J$218^4-298.15^4)+'Data Termo'!$I$13/5*($J$218^5-298.15^5))</f>
        <v>-84602.6034353802</v>
      </c>
    </row>
    <row r="232">
      <c r="A232" s="188" t="inlineStr">
        <is>
          <t>Br₂ (g / g / l / g / l)</t>
        </is>
      </c>
      <c r="B232" s="191">
        <f>E29</f>
        <v>0.008660028716159318</v>
      </c>
      <c r="C232" s="195">
        <f>'Data Termo'!$W$14+('Data Termo'!$E$14*($B$218-298.15)+'Data Termo'!$F$14/2*($B$218^2-298.15^2)+'Data Termo'!$G$14/3*($B$218^3-298.15^3)+'Data Termo'!$H$14/4*($B$218^4-298.15^4)+'Data Termo'!$I$14/5*($B$218^5-298.15^5))</f>
        <v>29197.273632732045</v>
      </c>
      <c r="D232" s="191">
        <f>I29</f>
        <v>0.0</v>
      </c>
      <c r="E232" s="195">
        <f>'Data Termo'!$W$14+('Data Termo'!$E$14*($D$218-298.15)+'Data Termo'!$F$14/2*($D$218^2-298.15^2)+'Data Termo'!$G$14/3*($D$218^3-298.15^3)+'Data Termo'!$H$14/4*($D$218^4-298.15^4)+'Data Termo'!$I$14/5*($D$218^5-298.15^5))</f>
        <v>30924.929890660947</v>
      </c>
      <c r="F232" s="191">
        <f>M29</f>
        <v>0.0</v>
      </c>
      <c r="G232" s="195">
        <f>'Data Termo'!$X$14+('Data Termo'!$J$14*($F$218-298.15)+'Data Termo'!$K$14/2*($F$218^2-298.15^2)+'Data Termo'!$L$14/3*($F$218^3-298.15^3)+'Data Termo'!$M$14/4*($F$218^4-298.15^4))</f>
        <v>-184.5925062215137</v>
      </c>
      <c r="H232" s="191">
        <f>U29</f>
        <v>0.0</v>
      </c>
      <c r="I232" s="195">
        <f>'Data Termo'!$W$14+('Data Termo'!$E$14*($H$218-298.15)+'Data Termo'!$F$14/2*($H$218^2-298.15^2)+'Data Termo'!$G$14/3*($H$218^3-298.15^3)+'Data Termo'!$H$14/4*($H$218^4-298.15^4)+'Data Termo'!$I$14/5*($H$218^5-298.15^5))</f>
        <v>30186.698913881737</v>
      </c>
      <c r="J232" s="191">
        <f>Q29</f>
        <v>0.008660028716159318</v>
      </c>
      <c r="K232" s="195">
        <f>'Data Termo'!$X$14+('Data Termo'!$J$14*($J$218-298.15)+'Data Termo'!$K$14/2*($J$218^2-298.15^2)+'Data Termo'!$L$14/3*($J$218^3-298.15^3)+'Data Termo'!$M$14/4*($J$218^4-298.15^4))</f>
        <v>2519.5019285526705</v>
      </c>
    </row>
    <row r="233">
      <c r="A233" s="188" t="inlineStr">
        <is>
          <t>NCl₃ (g / g / l / g / l)</t>
        </is>
      </c>
      <c r="B233" s="191">
        <f>E30</f>
        <v>0.0006387709001195385</v>
      </c>
      <c r="C233" s="195">
        <f>'Data Termo'!$X$15+('Data Termo'!$J$15*($B$218-298.15)+'Data Termo'!$K$15/2*($B$218^2-298.15^2)+'Data Termo'!$L$15/3*($B$218^3-298.15^3)+'Data Termo'!$M$15/4*($B$218^4-298.15^4))+('Data Termo'!$Q$15*1000*MAX(0,1-$B$218/'Data Termo'!$R$15)^'Data Termo'!$S$15)</f>
        <v>259862.27337757195</v>
      </c>
      <c r="D233" s="191">
        <f>I30</f>
        <v>0.0</v>
      </c>
      <c r="E233" s="195">
        <f>'Data Termo'!$X$15+('Data Termo'!$J$15*($D$218-298.15)+'Data Termo'!$K$15/2*($D$218^2-298.15^2)+'Data Termo'!$L$15/3*($D$218^3-298.15^3)+'Data Termo'!$M$15/4*($D$218^4-298.15^4))+('Data Termo'!$Q$15*1000*MAX(0,1-$D$218/'Data Termo'!$R$15)^'Data Termo'!$S$15)</f>
        <v>262758.5783784804</v>
      </c>
      <c r="F233" s="191">
        <f>M30</f>
        <v>0.0</v>
      </c>
      <c r="G233" s="195">
        <f>'Data Termo'!$X$15+('Data Termo'!$J$15*($F$218-298.15)+'Data Termo'!$K$15/2*($F$218^2-298.15^2)+'Data Termo'!$L$15/3*($F$218^3-298.15^3)+'Data Termo'!$M$15/4*($F$218^4-298.15^4))</f>
        <v>230516.11912634983</v>
      </c>
      <c r="H233" s="191">
        <f>U30</f>
        <v>0.0</v>
      </c>
      <c r="I233" s="195">
        <f>'Data Termo'!$X$15+('Data Termo'!$J$15*($H$218-298.15)+'Data Termo'!$K$15/2*($H$218^2-298.15^2)+'Data Termo'!$L$15/3*($H$218^3-298.15^3)+'Data Termo'!$M$15/4*($H$218^4-298.15^4))+('Data Termo'!$Q$15*1000*MAX(0,1-$H$218/'Data Termo'!$R$15)^'Data Termo'!$S$15)</f>
        <v>261567.91489460587</v>
      </c>
      <c r="J233" s="191">
        <f>Q30</f>
        <v>0.0006387709001195385</v>
      </c>
      <c r="K233" s="195">
        <f>'Data Termo'!$X$15+('Data Termo'!$J$15*($J$218-298.15)+'Data Termo'!$K$15/2*($J$218^2-298.15^2)+'Data Termo'!$L$15/3*($J$218^3-298.15^3)+'Data Termo'!$M$15/4*($J$218^4-298.15^4))</f>
        <v>234153.31534308888</v>
      </c>
    </row>
    <row r="234">
      <c r="A234" s="188" t="inlineStr">
        <is>
          <t>H₂ (g)</t>
        </is>
      </c>
      <c r="B234" s="191">
        <f>E31</f>
        <v>0.2288263672407388</v>
      </c>
      <c r="C234" s="195">
        <f>'Data Termo'!$W$16+('Data Termo'!$E$16*($B$218-298.15)+'Data Termo'!$F$16/2*($B$218^2-298.15^2)+'Data Termo'!$G$16/3*($B$218^3-298.15^3)+'Data Termo'!$H$16/4*($B$218^4-298.15^4)+'Data Termo'!$I$16/5*($B$218^5-298.15^5))</f>
        <v>-1375.4693250940338</v>
      </c>
      <c r="D234" s="191">
        <f>I31</f>
        <v>0.0</v>
      </c>
      <c r="E234" s="195">
        <f>'Data Termo'!$W$16+('Data Termo'!$E$16*($D$218-298.15)+'Data Termo'!$F$16/2*($D$218^2-298.15^2)+'Data Termo'!$G$16/3*($D$218^3-298.15^3)+'Data Termo'!$H$16/4*($D$218^4-298.15^4)+'Data Termo'!$I$16/5*($D$218^5-298.15^5))</f>
        <v>20.02615101541964</v>
      </c>
      <c r="F234" s="191">
        <f>M31</f>
        <v>0.0</v>
      </c>
      <c r="G234" s="195">
        <f>'Data Termo'!$W$16+('Data Termo'!$E$16*($F$218-298.15)+'Data Termo'!$F$16/2*($F$218^2-298.15^2)+'Data Termo'!$G$16/3*($F$218^3-298.15^3)+'Data Termo'!$H$16/4*($F$218^4-298.15^4)+'Data Termo'!$I$16/5*($F$218^5-298.15^5))</f>
        <v>143.87915687151903</v>
      </c>
      <c r="H234" s="191">
        <f>U31</f>
        <v>0.2288263672407388</v>
      </c>
      <c r="I234" s="195">
        <f>'Data Termo'!$W$16+('Data Termo'!$E$16*($H$218-298.15)+'Data Termo'!$F$16/2*($H$218^2-298.15^2)+'Data Termo'!$G$16/3*($H$218^3-298.15^3)+'Data Termo'!$H$16/4*($H$218^4-298.15^4)+'Data Termo'!$I$16/5*($H$218^5-298.15^5))</f>
        <v>-574.2878696859578</v>
      </c>
      <c r="J234" s="191">
        <f>Q31</f>
        <v>0.0</v>
      </c>
      <c r="K234" s="195">
        <f>'Data Termo'!$W$16+('Data Termo'!$E$16*($J$218-298.15)+'Data Termo'!$F$16/2*($J$218^2-298.15^2)+'Data Termo'!$G$16/3*($J$218^3-298.15^3)+'Data Termo'!$H$16/4*($J$218^4-298.15^4)+'Data Termo'!$I$16/5*($J$218^5-298.15^5))</f>
        <v>1154.0730845971636</v>
      </c>
    </row>
    <row r="235">
      <c r="A235" s="188" t="inlineStr">
        <is>
          <t>O₂ (g)</t>
        </is>
      </c>
      <c r="B235" s="191">
        <f>E32</f>
        <v>0.08649906991293405</v>
      </c>
      <c r="C235" s="195">
        <f>'Data Termo'!$W$17+('Data Termo'!$E$17*($B$218-298.15)+'Data Termo'!$F$17/2*($B$218^2-298.15^2)+'Data Termo'!$G$17/3*($B$218^3-298.15^3)+'Data Termo'!$H$17/4*($B$218^4-298.15^4)+'Data Termo'!$I$17/5*($B$218^5-298.15^5))</f>
        <v>-1408.6688626001057</v>
      </c>
      <c r="D235" s="191">
        <f>I32</f>
        <v>0.0</v>
      </c>
      <c r="E235" s="195">
        <f>'Data Termo'!$W$17+('Data Termo'!$E$17*($D$218-298.15)+'Data Termo'!$F$17/2*($D$218^2-298.15^2)+'Data Termo'!$G$17/3*($D$218^3-298.15^3)+'Data Termo'!$H$17/4*($D$218^4-298.15^4)+'Data Termo'!$I$17/5*($D$218^5-298.15^5))</f>
        <v>20.513105294929208</v>
      </c>
      <c r="F235" s="191">
        <f>M32</f>
        <v>0.0</v>
      </c>
      <c r="G235" s="195">
        <f>'Data Termo'!$W$17+('Data Termo'!$E$17*($F$218-298.15)+'Data Termo'!$F$17/2*($F$218^2-298.15^2)+'Data Termo'!$G$17/3*($F$218^3-298.15^3)+'Data Termo'!$H$17/4*($F$218^4-298.15^4)+'Data Termo'!$I$17/5*($F$218^5-298.15^5))</f>
        <v>147.3914273715615</v>
      </c>
      <c r="H235" s="191">
        <f>U32</f>
        <v>0.08649906991293405</v>
      </c>
      <c r="I235" s="195">
        <f>'Data Termo'!$W$17+('Data Termo'!$E$17*($H$218-298.15)+'Data Termo'!$F$17/2*($H$218^2-298.15^2)+'Data Termo'!$G$17/3*($H$218^3-298.15^3)+'Data Termo'!$H$17/4*($H$218^4-298.15^4)+'Data Termo'!$I$17/5*($H$218^5-298.15^5))</f>
        <v>-588.0889604089421</v>
      </c>
      <c r="J235" s="191">
        <f>Q32</f>
        <v>0.0</v>
      </c>
      <c r="K235" s="195">
        <f>'Data Termo'!$W$17+('Data Termo'!$E$17*($J$218-298.15)+'Data Termo'!$F$17/2*($J$218^2-298.15^2)+'Data Termo'!$G$17/3*($J$218^3-298.15^3)+'Data Termo'!$H$17/4*($J$218^4-298.15^4)+'Data Termo'!$I$17/5*($J$218^5-298.15^5))</f>
        <v>1183.6364015022941</v>
      </c>
    </row>
    <row r="236">
      <c r="A236" s="188" t="inlineStr">
        <is>
          <t>N₂ (g)</t>
        </is>
      </c>
      <c r="B236" s="191">
        <f>E33</f>
        <v>0.3293452961785746</v>
      </c>
      <c r="C236" s="195">
        <f>'Data Termo'!$W$18+('Data Termo'!$E$18*($B$218-298.15)+'Data Termo'!$F$18/2*($B$218^2-298.15^2)+'Data Termo'!$G$18/3*($B$218^3-298.15^3)+'Data Termo'!$H$18/4*($B$218^4-298.15^4)+'Data Termo'!$I$18/5*($B$218^5-298.15^5))</f>
        <v>-1394.9270651533782</v>
      </c>
      <c r="D236" s="191">
        <f>I33</f>
        <v>0.0</v>
      </c>
      <c r="E236" s="195">
        <f>'Data Termo'!$W$18+('Data Termo'!$E$18*($D$218-298.15)+'Data Termo'!$F$18/2*($D$218^2-298.15^2)+'Data Termo'!$G$18/3*($D$218^3-298.15^3)+'Data Termo'!$H$18/4*($D$218^4-298.15^4)+'Data Termo'!$I$18/5*($D$218^5-298.15^5))</f>
        <v>20.238442103954668</v>
      </c>
      <c r="F236" s="191">
        <f>M33</f>
        <v>0.0</v>
      </c>
      <c r="G236" s="195">
        <f>'Data Termo'!$W$18+('Data Termo'!$E$18*($F$218-298.15)+'Data Termo'!$F$18/2*($F$218^2-298.15^2)+'Data Termo'!$G$18/3*($F$218^3-298.15^3)+'Data Termo'!$H$18/4*($F$218^4-298.15^4)+'Data Termo'!$I$18/5*($F$218^5-298.15^5))</f>
        <v>145.36791939601756</v>
      </c>
      <c r="H236" s="191">
        <f>U33</f>
        <v>0.3293452961785746</v>
      </c>
      <c r="I236" s="195">
        <f>'Data Termo'!$W$18+('Data Termo'!$E$18*($H$218-298.15)+'Data Termo'!$F$18/2*($H$218^2-298.15^2)+'Data Termo'!$G$18/3*($H$218^3-298.15^3)+'Data Termo'!$H$18/4*($H$218^4-298.15^4)+'Data Termo'!$I$18/5*($H$218^5-298.15^5))</f>
        <v>-581.1511111423398</v>
      </c>
      <c r="J236" s="191">
        <f>Q33</f>
        <v>0.0</v>
      </c>
      <c r="K236" s="195">
        <f>'Data Termo'!$W$18+('Data Termo'!$E$18*($J$218-298.15)+'Data Termo'!$F$18/2*($J$218^2-298.15^2)+'Data Termo'!$G$18/3*($J$218^3-298.15^3)+'Data Termo'!$H$18/4*($J$218^4-298.15^4)+'Data Termo'!$I$18/5*($J$218^5-298.15^5))</f>
        <v>1164.0168646312147</v>
      </c>
    </row>
    <row r="237">
      <c r="A237" s="188" t="inlineStr">
        <is>
          <t>CO₂ (g)</t>
        </is>
      </c>
      <c r="B237" s="191">
        <f>E34</f>
        <v>0.20964051640869322</v>
      </c>
      <c r="C237" s="195">
        <f>'Data Termo'!$W$19+('Data Termo'!$E$19*($B$218-298.15)+'Data Termo'!$F$19/2*($B$218^2-298.15^2)+'Data Termo'!$G$19/3*($B$218^3-298.15^3)+'Data Termo'!$H$19/4*($B$218^4-298.15^4)+'Data Termo'!$I$19/5*($B$218^5-298.15^5))</f>
        <v>-395308.0875757678</v>
      </c>
      <c r="D237" s="191">
        <f>I34</f>
        <v>0.0</v>
      </c>
      <c r="E237" s="195">
        <f>'Data Termo'!$W$19+('Data Termo'!$E$19*($D$218-298.15)+'Data Termo'!$F$19/2*($D$218^2-298.15^2)+'Data Termo'!$G$19/3*($D$218^3-298.15^3)+'Data Termo'!$H$19/4*($D$218^4-298.15^4)+'Data Termo'!$I$19/5*($D$218^5-298.15^5))</f>
        <v>-393473.2460852837</v>
      </c>
      <c r="F237" s="191">
        <f>M34</f>
        <v>0.0</v>
      </c>
      <c r="G237" s="195">
        <f>'Data Termo'!$W$19+('Data Termo'!$E$19*($F$218-298.15)+'Data Termo'!$F$19/2*($F$218^2-298.15^2)+'Data Termo'!$G$19/3*($F$218^3-298.15^3)+'Data Termo'!$H$19/4*($F$218^4-298.15^4)+'Data Termo'!$I$19/5*($F$218^5-298.15^5))</f>
        <v>-393307.51218819985</v>
      </c>
      <c r="H237" s="191">
        <f>U34</f>
        <v>0.20964051640869322</v>
      </c>
      <c r="I237" s="195">
        <f>'Data Termo'!$W$19+('Data Termo'!$E$19*($H$218-298.15)+'Data Termo'!$F$19/2*($H$218^2-298.15^2)+'Data Termo'!$G$19/3*($H$218^3-298.15^3)+'Data Termo'!$H$19/4*($H$218^4-298.15^4)+'Data Termo'!$I$19/5*($H$218^5-298.15^5))</f>
        <v>-394261.98861249303</v>
      </c>
      <c r="J237" s="191">
        <f>Q34</f>
        <v>0.0</v>
      </c>
      <c r="K237" s="195">
        <f>'Data Termo'!$W$19+('Data Termo'!$E$19*($J$218-298.15)+'Data Termo'!$F$19/2*($J$218^2-298.15^2)+'Data Termo'!$G$19/3*($J$218^3-298.15^3)+'Data Termo'!$H$19/4*($J$218^4-298.15^4)+'Data Termo'!$I$19/5*($J$218^5-298.15^5))</f>
        <v>-391938.2521266357</v>
      </c>
    </row>
    <row r="238">
      <c r="A238" s="188" t="inlineStr">
        <is>
          <t>EDC (g / g / l / g / l)</t>
        </is>
      </c>
      <c r="B238" s="191">
        <f>E35</f>
        <v>0.0</v>
      </c>
      <c r="C238" s="195">
        <f>'Data Termo'!$W$20+('Data Termo'!$E$20*($B$218-298.15)+'Data Termo'!$F$20/2*($B$218^2-298.15^2)+'Data Termo'!$G$20/3*($B$218^3-298.15^3)+'Data Termo'!$H$20/4*($B$218^4-298.15^4)+'Data Termo'!$I$20/5*($B$218^5-298.15^5))</f>
        <v>-133348.75119827205</v>
      </c>
      <c r="D238" s="191">
        <f>I35</f>
        <v>0.0</v>
      </c>
      <c r="E238" s="195">
        <f>'Data Termo'!$W$20+('Data Termo'!$E$20*($D$218-298.15)+'Data Termo'!$F$20/2*($D$218^2-298.15^2)+'Data Termo'!$G$20/3*($D$218^3-298.15^3)+'Data Termo'!$H$20/4*($D$218^4-298.15^4)+'Data Termo'!$I$20/5*($D$218^5-298.15^5))</f>
        <v>-129644.85088470802</v>
      </c>
      <c r="F238" s="191">
        <f>M35</f>
        <v>0.0</v>
      </c>
      <c r="G238" s="195">
        <f>'Data Termo'!$X$20+('Data Termo'!$J$20*($F$218-298.15)+'Data Termo'!$K$20/2*($F$218^2-298.15^2)+'Data Termo'!$L$20/3*($F$218^3-298.15^3)+'Data Termo'!$M$20/4*($F$218^4-298.15^4))</f>
        <v>-164105.29056479066</v>
      </c>
      <c r="H238" s="191">
        <f>U35</f>
        <v>0.4492810541017718</v>
      </c>
      <c r="I238" s="195">
        <f>'Data Termo'!$W$20+('Data Termo'!$E$20*($H$218-298.15)+'Data Termo'!$F$20/2*($H$218^2-298.15^2)+'Data Termo'!$G$20/3*($H$218^3-298.15^3)+'Data Termo'!$H$20/4*($H$218^4-298.15^4)+'Data Termo'!$I$20/5*($H$218^5-298.15^5))</f>
        <v>-131256.89885584722</v>
      </c>
      <c r="J238" s="191">
        <f>Q35</f>
        <v>215.97061771148134</v>
      </c>
      <c r="K238" s="195">
        <f>'Data Termo'!$X$20+('Data Termo'!$J$20*($J$218-298.15)+'Data Termo'!$K$20/2*($J$218^2-298.15^2)+'Data Termo'!$L$20/3*($J$218^3-298.15^3)+'Data Termo'!$M$20/4*($J$218^4-298.15^4))</f>
        <v>-159481.33323725834</v>
      </c>
    </row>
    <row r="239">
      <c r="A239" s="188" t="inlineStr">
        <is>
          <t>TCE (g / g / l / g / l)</t>
        </is>
      </c>
      <c r="B239" s="191">
        <f>E36</f>
        <v>0.0</v>
      </c>
      <c r="C239" s="195">
        <f>'Data Termo'!$W$21+('Data Termo'!$E$21*($B$218-298.15)+'Data Termo'!$F$21/2*($B$218^2-298.15^2)+'Data Termo'!$G$21/3*($B$218^3-298.15^3)+'Data Termo'!$H$21/4*($B$218^4-298.15^4)+'Data Termo'!$I$21/5*($B$218^5-298.15^5))</f>
        <v>-142567.9372436675</v>
      </c>
      <c r="D239" s="191">
        <f>I36</f>
        <v>0.0</v>
      </c>
      <c r="E239" s="195">
        <f>'Data Termo'!$W$21+('Data Termo'!$E$21*($D$218-298.15)+'Data Termo'!$F$21/2*($D$218^2-298.15^2)+'Data Termo'!$G$21/3*($D$218^3-298.15^3)+'Data Termo'!$H$21/4*($D$218^4-298.15^4)+'Data Termo'!$I$21/5*($D$218^5-298.15^5))</f>
        <v>-138428.1504637418</v>
      </c>
      <c r="F239" s="191">
        <f>M36</f>
        <v>0.0</v>
      </c>
      <c r="G239" s="195">
        <f>'Data Termo'!$X$21+('Data Termo'!$J$21*($F$218-298.15)+'Data Termo'!$K$21/2*($F$218^2-298.15^2)+'Data Termo'!$L$21/3*($F$218^3-298.15^3)+'Data Termo'!$M$21/4*($F$218^4-298.15^4))</f>
        <v>-176061.5104953496</v>
      </c>
      <c r="H239" s="191">
        <f>U36</f>
        <v>0.0</v>
      </c>
      <c r="I239" s="195">
        <f>'Data Termo'!$W$21+('Data Termo'!$E$21*($H$218-298.15)+'Data Termo'!$F$21/2*($H$218^2-298.15^2)+'Data Termo'!$G$21/3*($H$218^3-298.15^3)+'Data Termo'!$H$21/4*($H$218^4-298.15^4)+'Data Termo'!$I$21/5*($H$218^5-298.15^5))</f>
        <v>-140233.89326483844</v>
      </c>
      <c r="J239" s="191">
        <f>Q36</f>
        <v>0.04817685591565345</v>
      </c>
      <c r="K239" s="195">
        <f>'Data Termo'!$X$21+('Data Termo'!$J$21*($J$218-298.15)+'Data Termo'!$K$21/2*($J$218^2-298.15^2)+'Data Termo'!$L$21/3*($J$218^3-298.15^3)+'Data Termo'!$M$21/4*($J$218^4-298.15^4))</f>
        <v>-170626.8981616397</v>
      </c>
    </row>
    <row r="240">
      <c r="A240" s="188" t="inlineStr">
        <is>
          <t>HCl (g / g / l / g / l)</t>
        </is>
      </c>
      <c r="B240" s="191">
        <f>E37</f>
        <v>0.0</v>
      </c>
      <c r="C240" s="195">
        <f>'Data Termo'!$W$22+('Data Termo'!$E$22*($B$218-298.15)+'Data Termo'!$F$22/2*($B$218^2-298.15^2)+'Data Termo'!$G$22/3*($B$218^3-298.15^3)+'Data Termo'!$H$22/4*($B$218^4-298.15^4)+'Data Termo'!$I$22/5*($B$218^5-298.15^5))</f>
        <v>-93696.3015996979</v>
      </c>
      <c r="D240" s="191">
        <f>I37</f>
        <v>0.0</v>
      </c>
      <c r="E240" s="195">
        <f>'Data Termo'!$W$22+('Data Termo'!$E$22*($D$218-298.15)+'Data Termo'!$F$22/2*($D$218^2-298.15^2)+'Data Termo'!$G$22/3*($D$218^3-298.15^3)+'Data Termo'!$H$22/4*($D$218^4-298.15^4)+'Data Termo'!$I$22/5*($D$218^5-298.15^5))</f>
        <v>-92279.75529550276</v>
      </c>
      <c r="F240" s="191">
        <f>M37</f>
        <v>0.0</v>
      </c>
      <c r="G240" s="195">
        <f>'Data Termo'!$X$22+('Data Termo'!$J$22*($F$218-298.15)+'Data Termo'!$K$22/2*($F$218^2-298.15^2)+'Data Termo'!$L$22/3*($F$218^3-298.15^3)+'Data Termo'!$M$22/4*($F$218^4-298.15^4))</f>
        <v>-97838.50316756786</v>
      </c>
      <c r="H240" s="191">
        <f>U37</f>
        <v>0.04817685591565345</v>
      </c>
      <c r="I240" s="195">
        <f>'Data Termo'!$W$22+('Data Termo'!$E$22*($H$218-298.15)+'Data Termo'!$F$22/2*($H$218^2-298.15^2)+'Data Termo'!$G$22/3*($H$218^3-298.15^3)+'Data Termo'!$H$22/4*($H$218^4-298.15^4)+'Data Termo'!$I$22/5*($H$218^5-298.15^5))</f>
        <v>-92881.5071242494</v>
      </c>
      <c r="J240" s="191">
        <f>Q37</f>
        <v>0.0</v>
      </c>
      <c r="K240" s="195">
        <f>'Data Termo'!$X$22+('Data Termo'!$J$22*($J$218-298.15)+'Data Termo'!$K$22/2*($J$218^2-298.15^2)+'Data Termo'!$L$22/3*($J$218^3-298.15^3)+'Data Termo'!$M$22/4*($J$218^4-298.15^4))</f>
        <v>-93929.77669207708</v>
      </c>
    </row>
    <row r="241">
      <c r="A241" s="188" t="inlineStr">
        <is>
          <t>FeCl₃ (s)</t>
        </is>
      </c>
      <c r="B241" s="191">
        <f>E38</f>
        <v>0.0</v>
      </c>
      <c r="C241" s="195">
        <f>'Data Termo'!$T$23*1000+('Data Termo'!$N$23*($B$218-298.15)+'Data Termo'!$O$23/2*($B$218^2-298.15^2)+'Data Termo'!$P$23/3*($B$218^3-298.15^3))</f>
        <v>-404000.15185118094</v>
      </c>
      <c r="D241" s="191">
        <f>I38</f>
        <v>0.0</v>
      </c>
      <c r="E241" s="195">
        <f>'Data Termo'!$T$23*1000+('Data Termo'!$N$23*($D$218-298.15)+'Data Termo'!$O$23/2*($D$218^2-298.15^2)+'Data Termo'!$P$23/3*($D$218^3-298.15^3))</f>
        <v>-399432.2098906674</v>
      </c>
      <c r="F241" s="191">
        <f>M38</f>
        <v>0.02642235069805515</v>
      </c>
      <c r="G241" s="195">
        <f>'Data Termo'!$T$23*1000+('Data Termo'!$N$23*($F$218-298.15)+'Data Termo'!$O$23/2*($F$218^2-298.15^2)+'Data Termo'!$P$23/3*($F$218^3-298.15^3))</f>
        <v>-399011.5830079227</v>
      </c>
      <c r="H241" s="191">
        <f>U38</f>
        <v>0.0</v>
      </c>
      <c r="I241" s="195">
        <f>'Data Termo'!$T$23*1000+('Data Termo'!$N$23*($H$218-298.15)+'Data Termo'!$O$23/2*($H$218^2-298.15^2)+'Data Termo'!$P$23/3*($H$218^3-298.15^3))</f>
        <v>-401417.0277945592</v>
      </c>
      <c r="J241" s="191">
        <f>Q38</f>
        <v>0.02642235069805515</v>
      </c>
      <c r="K241" s="195">
        <f>'Data Termo'!$T$23*1000+('Data Termo'!$N$23*($J$218-298.15)+'Data Termo'!$O$23/2*($J$218^2-298.15^2)+'Data Termo'!$P$23/3*($J$218^3-298.15^3))</f>
        <v>-395495.87737688166</v>
      </c>
    </row>
    <row r="242">
      <c r="A242" s="188" t="inlineStr">
        <is>
          <t>Koreksi gas nyata (kJ/h)</t>
        </is>
      </c>
      <c r="B242" s="195" t="n">
        <v>0</v>
      </c>
      <c r="C242" s="184" t="n"/>
      <c r="D242" s="195">
        <f>SUM(D224:D241)*('Data Termo'!$D$40*'Data Termo'!$D$30*($D$220/'Data Termo'!$D$31)*((0.083-0.422/($D$218/'Data Termo'!$D$30)^1.6)-($D$218/'Data Termo'!$D$30)*0.675/($D$218/'Data Termo'!$D$30)^2.6+'Data Termo'!$D$32*((0.139-0.172/($D$218/'Data Termo'!$D$30)^4.2)-($D$218/'Data Termo'!$D$30)*0.722/($D$218/'Data Termo'!$D$30)^5.2)))</f>
        <v>-9940.265201903387</v>
      </c>
      <c r="E242" s="184" t="n"/>
      <c r="F242" s="195" t="n">
        <v>0</v>
      </c>
      <c r="G242" s="184" t="n"/>
      <c r="H242" s="195" t="n">
        <v>0</v>
      </c>
      <c r="I242" s="184" t="n"/>
      <c r="J242" s="195" t="n">
        <v>0</v>
      </c>
      <c r="K242" s="184" t="n"/>
    </row>
    <row r="243">
      <c r="A243" s="196" t="inlineStr">
        <is>
          <t>Sub Total ṅᵢĤᵢ (kJ/h)</t>
        </is>
      </c>
      <c r="B243" s="197">
        <f>SUMPRODUCT(B224:B241,C224:C241)+B242</f>
        <v>-433272.63441070623</v>
      </c>
      <c r="C243" s="184" t="n"/>
      <c r="D243" s="197">
        <f>SUMPRODUCT(D224:D241,E224:E241)+D242</f>
        <v>11360397.844552997</v>
      </c>
      <c r="E243" s="184" t="n"/>
      <c r="F243" s="197">
        <f>SUMPRODUCT(F224:F241,G224:G241)+F242</f>
        <v>-10542.823978821476</v>
      </c>
      <c r="G243" s="184" t="n"/>
      <c r="H243" s="197">
        <f>SUMPRODUCT(H224:H241,I224:I241)+H242</f>
        <v>-105461.3021280421</v>
      </c>
      <c r="I243" s="184" t="n"/>
      <c r="J243" s="197">
        <f>SUMPRODUCT(J224:J241,K224:K241)+J242</f>
        <v>-34464664.063646965</v>
      </c>
      <c r="K243" s="184" t="n"/>
    </row>
    <row r="244">
      <c r="A244" s="188" t="inlineStr">
        <is>
          <t>Heat of reaction / heat of mixing</t>
        </is>
      </c>
      <c r="B244" s="198" t="inlineStr">
        <is>
          <t>Sudah termasuk dalam Ĥᵢ (metode panas pembentukan)</t>
        </is>
      </c>
      <c r="C244" s="183" t="n"/>
      <c r="D244" s="183" t="n"/>
      <c r="E244" s="183" t="n"/>
      <c r="F244" s="183" t="n"/>
      <c r="G244" s="183" t="n"/>
      <c r="H244" s="183" t="n"/>
      <c r="I244" s="183" t="n"/>
      <c r="J244" s="183" t="n"/>
      <c r="K244" s="184" t="n"/>
    </row>
    <row r="245">
      <c r="A245" s="196" t="inlineStr">
        <is>
          <t>Q (kJ/h)</t>
        </is>
      </c>
      <c r="B245" s="197">
        <f>(H243+J243)-(B243+D243+F243)</f>
        <v>-45486707.75193848</v>
      </c>
      <c r="C245" s="183" t="n"/>
      <c r="D245" s="183" t="n"/>
      <c r="E245" s="183" t="n"/>
      <c r="F245" s="183" t="n"/>
      <c r="G245" s="183" t="n"/>
      <c r="H245" s="183" t="n"/>
      <c r="I245" s="183" t="n"/>
      <c r="J245" s="183" t="n"/>
      <c r="K245" s="184" t="n"/>
    </row>
    <row r="246">
      <c r="A246" s="196" t="inlineStr">
        <is>
          <t>W (kJ/h)</t>
        </is>
      </c>
      <c r="B246" s="197" t="n">
        <v>0</v>
      </c>
      <c r="C246" s="183" t="n"/>
      <c r="D246" s="183" t="n"/>
      <c r="E246" s="183" t="n"/>
      <c r="F246" s="183" t="n"/>
      <c r="G246" s="183" t="n"/>
      <c r="H246" s="183" t="n"/>
      <c r="I246" s="183" t="n"/>
      <c r="J246" s="183" t="n"/>
      <c r="K246" s="184" t="n"/>
    </row>
    <row r="247">
      <c r="A247" s="196" t="inlineStr">
        <is>
          <t>TOTAL (kJ/h)</t>
        </is>
      </c>
      <c r="B247" s="197">
        <f>B243+D243+F243+$B$245+$B$246</f>
        <v>-34570125.365775004</v>
      </c>
      <c r="C247" s="183" t="n"/>
      <c r="D247" s="183" t="n"/>
      <c r="E247" s="183" t="n"/>
      <c r="F247" s="183" t="n"/>
      <c r="G247" s="184" t="n"/>
      <c r="H247" s="197">
        <f>H243+J243</f>
        <v>-34570125.365775004</v>
      </c>
      <c r="I247" s="183" t="n"/>
      <c r="J247" s="183" t="n"/>
      <c r="K247" s="184" t="n"/>
    </row>
    <row r="248">
      <c r="A248" s="188" t="inlineStr">
        <is>
          <t>Selisih masuk − keluar (kJ/h)</t>
        </is>
      </c>
      <c r="B248" s="195">
        <f>B247-H247</f>
        <v>0.0</v>
      </c>
      <c r="C248" s="183" t="n"/>
      <c r="D248" s="183" t="n"/>
      <c r="E248" s="183" t="n"/>
      <c r="F248" s="183" t="n"/>
      <c r="G248" s="183" t="n"/>
      <c r="H248" s="183" t="n"/>
      <c r="I248" s="183" t="n"/>
      <c r="J248" s="183" t="n"/>
      <c r="K248" s="184" t="n"/>
    </row>
    <row r="249">
      <c r="A249" s="188" t="inlineStr">
        <is>
          <t>Q (kW)</t>
        </is>
      </c>
      <c r="B249" s="195">
        <f>$B$245/3600</f>
        <v>-12635.196597760689</v>
      </c>
      <c r="C249" s="183" t="n"/>
      <c r="D249" s="183" t="n"/>
      <c r="E249" s="183" t="n"/>
      <c r="F249" s="183" t="n"/>
      <c r="G249" s="183" t="n"/>
      <c r="H249" s="183" t="n"/>
      <c r="I249" s="183" t="n"/>
      <c r="J249" s="183" t="n"/>
      <c r="K249" s="184" t="n"/>
    </row>
    <row r="250">
      <c r="A250" s="188" t="inlineStr">
        <is>
          <t>W (kW)</t>
        </is>
      </c>
      <c r="B250" s="195">
        <f>$B$246/3600</f>
        <v>0.0</v>
      </c>
      <c r="C250" s="183" t="n"/>
      <c r="D250" s="183" t="n"/>
      <c r="E250" s="183" t="n"/>
      <c r="F250" s="183" t="n"/>
      <c r="G250" s="183" t="n"/>
      <c r="H250" s="183" t="n"/>
      <c r="I250" s="183" t="n"/>
      <c r="J250" s="183" t="n"/>
      <c r="K250" s="184" t="n"/>
    </row>
  </sheetData>
  <mergeCells count="257">
    <mergeCell ref="B165:C165"/>
    <mergeCell ref="B74:E74"/>
    <mergeCell ref="B141:C141"/>
    <mergeCell ref="C7:L7"/>
    <mergeCell ref="D84:E84"/>
    <mergeCell ref="B115:C115"/>
    <mergeCell ref="B155:C155"/>
    <mergeCell ref="D155:E155"/>
    <mergeCell ref="F168:G168"/>
    <mergeCell ref="B193:C193"/>
    <mergeCell ref="B215:C215"/>
    <mergeCell ref="B86:C86"/>
    <mergeCell ref="D86:E86"/>
    <mergeCell ref="B151:C151"/>
    <mergeCell ref="D151:E151"/>
    <mergeCell ref="B100:E100"/>
    <mergeCell ref="D141:E141"/>
    <mergeCell ref="J216:K216"/>
    <mergeCell ref="D150:E150"/>
    <mergeCell ref="H221:K221"/>
    <mergeCell ref="N18:U18"/>
    <mergeCell ref="J19:M19"/>
    <mergeCell ref="D215:E215"/>
    <mergeCell ref="F215:G215"/>
    <mergeCell ref="B102:E102"/>
    <mergeCell ref="D125:E125"/>
    <mergeCell ref="B191:C191"/>
    <mergeCell ref="D72:E72"/>
    <mergeCell ref="B112:C112"/>
    <mergeCell ref="B243:C243"/>
    <mergeCell ref="H218:I218"/>
    <mergeCell ref="D112:E112"/>
    <mergeCell ref="B221:G221"/>
    <mergeCell ref="J218:K218"/>
    <mergeCell ref="D56:E56"/>
    <mergeCell ref="D193:E193"/>
    <mergeCell ref="A221:A223"/>
    <mergeCell ref="B49:C49"/>
    <mergeCell ref="J242:K242"/>
    <mergeCell ref="B101:E101"/>
    <mergeCell ref="D176:E176"/>
    <mergeCell ref="D114:E114"/>
    <mergeCell ref="F176:G176"/>
    <mergeCell ref="B55:C55"/>
    <mergeCell ref="F170:G170"/>
    <mergeCell ref="B177:C177"/>
    <mergeCell ref="D177:E177"/>
    <mergeCell ref="B51:C51"/>
    <mergeCell ref="B69:E69"/>
    <mergeCell ref="B164:C164"/>
    <mergeCell ref="D51:E51"/>
    <mergeCell ref="D164:E164"/>
    <mergeCell ref="D113:E113"/>
    <mergeCell ref="B205:E205"/>
    <mergeCell ref="B43:M43"/>
    <mergeCell ref="B129:C129"/>
    <mergeCell ref="D115:E115"/>
    <mergeCell ref="B138:C138"/>
    <mergeCell ref="D138:E138"/>
    <mergeCell ref="J243:K243"/>
    <mergeCell ref="D203:E203"/>
    <mergeCell ref="D243:E243"/>
    <mergeCell ref="D99:E99"/>
    <mergeCell ref="B104:E104"/>
    <mergeCell ref="B182:G182"/>
    <mergeCell ref="B140:C140"/>
    <mergeCell ref="H220:I220"/>
    <mergeCell ref="D140:E140"/>
    <mergeCell ref="J220:K220"/>
    <mergeCell ref="B220:C220"/>
    <mergeCell ref="C13:L13"/>
    <mergeCell ref="B178:G178"/>
    <mergeCell ref="B154:E154"/>
    <mergeCell ref="B195:C195"/>
    <mergeCell ref="D124:E124"/>
    <mergeCell ref="B106:E106"/>
    <mergeCell ref="D195:E195"/>
    <mergeCell ref="B206:E206"/>
    <mergeCell ref="B117:C117"/>
    <mergeCell ref="D189:E189"/>
    <mergeCell ref="H222:I222"/>
    <mergeCell ref="J222:K222"/>
    <mergeCell ref="B209:E209"/>
    <mergeCell ref="C15:L15"/>
    <mergeCell ref="B156:E156"/>
    <mergeCell ref="F19:I19"/>
    <mergeCell ref="B128:E128"/>
    <mergeCell ref="B183:G183"/>
    <mergeCell ref="B53:C53"/>
    <mergeCell ref="B166:C166"/>
    <mergeCell ref="D53:E53"/>
    <mergeCell ref="B131:E131"/>
    <mergeCell ref="R19:U19"/>
    <mergeCell ref="D166:E166"/>
    <mergeCell ref="B116:C116"/>
    <mergeCell ref="B103:C103"/>
    <mergeCell ref="B196:C196"/>
    <mergeCell ref="D103:E103"/>
    <mergeCell ref="B130:E130"/>
    <mergeCell ref="B168:C168"/>
    <mergeCell ref="D168:E168"/>
    <mergeCell ref="B84:C84"/>
    <mergeCell ref="C10:L10"/>
    <mergeCell ref="C16:L16"/>
    <mergeCell ref="B118:C118"/>
    <mergeCell ref="D118:E118"/>
    <mergeCell ref="D165:E165"/>
    <mergeCell ref="B244:K244"/>
    <mergeCell ref="D167:E167"/>
    <mergeCell ref="F167:G167"/>
    <mergeCell ref="B132:E132"/>
    <mergeCell ref="H247:K247"/>
    <mergeCell ref="B142:C142"/>
    <mergeCell ref="C9:L9"/>
    <mergeCell ref="B80:C80"/>
    <mergeCell ref="D142:E142"/>
    <mergeCell ref="B169:C169"/>
    <mergeCell ref="A55:A57"/>
    <mergeCell ref="D129:E129"/>
    <mergeCell ref="B180:G180"/>
    <mergeCell ref="D181:G181"/>
    <mergeCell ref="D216:E216"/>
    <mergeCell ref="F216:G216"/>
    <mergeCell ref="H216:I216"/>
    <mergeCell ref="B247:G247"/>
    <mergeCell ref="B249:K249"/>
    <mergeCell ref="B245:K245"/>
    <mergeCell ref="A18:A20"/>
    <mergeCell ref="C11:L11"/>
    <mergeCell ref="B144:C144"/>
    <mergeCell ref="D144:E144"/>
    <mergeCell ref="B242:C242"/>
    <mergeCell ref="J219:K219"/>
    <mergeCell ref="B54:C54"/>
    <mergeCell ref="D218:E218"/>
    <mergeCell ref="B125:C125"/>
    <mergeCell ref="B72:C72"/>
    <mergeCell ref="B127:E127"/>
    <mergeCell ref="B158:E158"/>
    <mergeCell ref="F218:G218"/>
    <mergeCell ref="B81:C81"/>
    <mergeCell ref="B179:G179"/>
    <mergeCell ref="B194:C194"/>
    <mergeCell ref="D81:E81"/>
    <mergeCell ref="D217:E217"/>
    <mergeCell ref="B56:C56"/>
    <mergeCell ref="F217:G217"/>
    <mergeCell ref="B176:C176"/>
    <mergeCell ref="D169:G169"/>
    <mergeCell ref="B52:C52"/>
    <mergeCell ref="D139:E139"/>
    <mergeCell ref="D52:E52"/>
    <mergeCell ref="F164:G164"/>
    <mergeCell ref="D170:E170"/>
    <mergeCell ref="D49:E49"/>
    <mergeCell ref="A143:A145"/>
    <mergeCell ref="B153:E153"/>
    <mergeCell ref="D242:E242"/>
    <mergeCell ref="F242:G242"/>
    <mergeCell ref="D194:E194"/>
    <mergeCell ref="B203:C203"/>
    <mergeCell ref="D163:E163"/>
    <mergeCell ref="D116:E116"/>
    <mergeCell ref="C6:L6"/>
    <mergeCell ref="F163:G163"/>
    <mergeCell ref="B170:C170"/>
    <mergeCell ref="B208:E208"/>
    <mergeCell ref="B82:C82"/>
    <mergeCell ref="C14:L14"/>
    <mergeCell ref="B71:E71"/>
    <mergeCell ref="B105:E105"/>
    <mergeCell ref="F165:G165"/>
    <mergeCell ref="B44:U44"/>
    <mergeCell ref="B210:E210"/>
    <mergeCell ref="A169:A171"/>
    <mergeCell ref="B99:C99"/>
    <mergeCell ref="D220:E220"/>
    <mergeCell ref="B248:K248"/>
    <mergeCell ref="F220:G220"/>
    <mergeCell ref="B83:C83"/>
    <mergeCell ref="B143:C143"/>
    <mergeCell ref="D83:E83"/>
    <mergeCell ref="D196:E196"/>
    <mergeCell ref="D143:E143"/>
    <mergeCell ref="D117:E117"/>
    <mergeCell ref="D55:E55"/>
    <mergeCell ref="B124:C124"/>
    <mergeCell ref="B157:E157"/>
    <mergeCell ref="F166:G166"/>
    <mergeCell ref="B189:C189"/>
    <mergeCell ref="F222:G222"/>
    <mergeCell ref="B184:G184"/>
    <mergeCell ref="B5:L5"/>
    <mergeCell ref="B85:C85"/>
    <mergeCell ref="B216:C216"/>
    <mergeCell ref="D85:E85"/>
    <mergeCell ref="D207:E207"/>
    <mergeCell ref="B19:E19"/>
    <mergeCell ref="D54:E54"/>
    <mergeCell ref="N19:Q19"/>
    <mergeCell ref="H215:I215"/>
    <mergeCell ref="D222:E222"/>
    <mergeCell ref="J215:K215"/>
    <mergeCell ref="D191:E191"/>
    <mergeCell ref="B218:C218"/>
    <mergeCell ref="B246:K246"/>
    <mergeCell ref="C8:L8"/>
    <mergeCell ref="B150:C150"/>
    <mergeCell ref="B190:C190"/>
    <mergeCell ref="B202:C202"/>
    <mergeCell ref="D190:E190"/>
    <mergeCell ref="D80:E80"/>
    <mergeCell ref="D111:E111"/>
    <mergeCell ref="B204:E204"/>
    <mergeCell ref="B167:C167"/>
    <mergeCell ref="B219:C219"/>
    <mergeCell ref="B126:E126"/>
    <mergeCell ref="N43:U43"/>
    <mergeCell ref="B75:E75"/>
    <mergeCell ref="F177:G177"/>
    <mergeCell ref="D219:E219"/>
    <mergeCell ref="B111:C111"/>
    <mergeCell ref="A117:A119"/>
    <mergeCell ref="B181:C181"/>
    <mergeCell ref="F219:G219"/>
    <mergeCell ref="H219:I219"/>
    <mergeCell ref="B87:C87"/>
    <mergeCell ref="D87:E87"/>
    <mergeCell ref="B152:E152"/>
    <mergeCell ref="B70:E70"/>
    <mergeCell ref="F243:G243"/>
    <mergeCell ref="H243:I243"/>
    <mergeCell ref="B137:C137"/>
    <mergeCell ref="H217:I217"/>
    <mergeCell ref="D137:E137"/>
    <mergeCell ref="D202:E202"/>
    <mergeCell ref="J217:K217"/>
    <mergeCell ref="B217:C217"/>
    <mergeCell ref="B192:C192"/>
    <mergeCell ref="D192:E192"/>
    <mergeCell ref="B68:C68"/>
    <mergeCell ref="B139:C139"/>
    <mergeCell ref="D68:E68"/>
    <mergeCell ref="B222:C222"/>
    <mergeCell ref="D82:E82"/>
    <mergeCell ref="B73:E73"/>
    <mergeCell ref="H242:I242"/>
    <mergeCell ref="B250:K250"/>
    <mergeCell ref="B114:C114"/>
    <mergeCell ref="A86:A88"/>
    <mergeCell ref="B207:C207"/>
    <mergeCell ref="B50:C50"/>
    <mergeCell ref="B18:M18"/>
    <mergeCell ref="B163:C163"/>
    <mergeCell ref="D50:E50"/>
    <mergeCell ref="A195:A197"/>
    <mergeCell ref="B113:C1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Q150"/>
  <sheetViews>
    <sheetView tabSelected="0" zoomScale="85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3">
      <c r="A3" s="172" t="inlineStr">
        <is>
          <t>Neraca Massa dan Energi</t>
        </is>
      </c>
    </row>
    <row r="4">
      <c r="A4" s="172" t="inlineStr">
        <is>
          <t>NM Blok 2: Oksiklorinasi (R-02)</t>
        </is>
      </c>
    </row>
    <row r="5">
      <c r="A5" s="173" t="inlineStr">
        <is>
          <t>Tujuan:</t>
        </is>
      </c>
      <c r="B5" s="174" t="inlineStr">
        <is>
          <t>Mereaksikan etilena, HCl daur ulang, dan oksigen (udara) menjadi EDC</t>
        </is>
      </c>
    </row>
    <row r="6">
      <c r="A6" s="173" t="inlineStr">
        <is>
          <t>Unjuk Kerja</t>
        </is>
      </c>
      <c r="B6" s="199" t="n">
        <v>2</v>
      </c>
      <c r="C6" s="174" t="inlineStr">
        <is>
          <t>Rasio mol HCl/C₂H₄</t>
        </is>
      </c>
    </row>
    <row r="7">
      <c r="B7" s="199" t="n">
        <v>0.8</v>
      </c>
      <c r="C7" s="174" t="inlineStr">
        <is>
          <t>Rasio mol O₂/C₂H₄</t>
        </is>
      </c>
    </row>
    <row r="8">
      <c r="B8" s="200" t="n">
        <v>0.995</v>
      </c>
      <c r="C8" s="174" t="inlineStr">
        <is>
          <t>Konversi C₂H₄</t>
        </is>
      </c>
    </row>
    <row r="9">
      <c r="B9" s="200" t="n">
        <v>0.982</v>
      </c>
      <c r="C9" s="174" t="inlineStr">
        <is>
          <t>Efisiensi C₂H₄ menjadi EDC (mol EDC/mol C₂H₄ umpan)</t>
        </is>
      </c>
    </row>
    <row r="10">
      <c r="B10" s="200" t="n">
        <v>0.986</v>
      </c>
      <c r="C10" s="174" t="inlineStr">
        <is>
          <t>Konversi HCl</t>
        </is>
      </c>
    </row>
    <row r="11">
      <c r="B11" s="201" t="n">
        <v>0.21</v>
      </c>
      <c r="C11" s="174" t="inlineStr">
        <is>
          <t>Fraksi mol O₂ dalam udara</t>
        </is>
      </c>
    </row>
    <row r="12">
      <c r="B12" s="201" t="n">
        <v>0.75</v>
      </c>
      <c r="C12" s="174" t="inlineStr">
        <is>
          <t>Efisiensi isentropik kompresor K-101</t>
        </is>
      </c>
    </row>
    <row r="13">
      <c r="B13" s="179" t="n">
        <v>11</v>
      </c>
      <c r="C13" s="174" t="inlineStr">
        <is>
          <t>Superheat uap HCl keluar E-109 (K)</t>
        </is>
      </c>
    </row>
    <row r="15">
      <c r="A15" s="173" t="inlineStr">
        <is>
          <t>Basis Perhitungan</t>
        </is>
      </c>
      <c r="B15" s="181">
        <f>'NME-1 Klorinasi Langsung'!$B$16</f>
        <v>6100.572183061604</v>
      </c>
      <c r="C15" s="174" t="inlineStr">
        <is>
          <t>kg/h aliran etilena ke R-01 (NME-1)</t>
        </is>
      </c>
    </row>
    <row r="17">
      <c r="A17" s="182" t="inlineStr">
        <is>
          <t>Substance</t>
        </is>
      </c>
      <c r="B17" s="182" t="inlineStr">
        <is>
          <t>Inlet</t>
        </is>
      </c>
      <c r="C17" s="183" t="n"/>
      <c r="D17" s="183" t="n"/>
      <c r="E17" s="183" t="n"/>
      <c r="F17" s="183" t="n"/>
      <c r="G17" s="183" t="n"/>
      <c r="H17" s="183" t="n"/>
      <c r="I17" s="183" t="n"/>
      <c r="J17" s="183" t="n"/>
      <c r="K17" s="183" t="n"/>
      <c r="L17" s="183" t="n"/>
      <c r="M17" s="184" t="n"/>
      <c r="N17" s="182" t="inlineStr">
        <is>
          <t>Outlet</t>
        </is>
      </c>
      <c r="O17" s="183" t="n"/>
      <c r="P17" s="183" t="n"/>
      <c r="Q17" s="184" t="n"/>
    </row>
    <row r="18">
      <c r="A18" s="185" t="n"/>
      <c r="B18" s="182" t="inlineStr">
        <is>
          <t>Aliran 9</t>
        </is>
      </c>
      <c r="C18" s="183" t="n"/>
      <c r="D18" s="183" t="n"/>
      <c r="E18" s="184" t="n"/>
      <c r="F18" s="182" t="inlineStr">
        <is>
          <t>Aliran 44</t>
        </is>
      </c>
      <c r="G18" s="183" t="n"/>
      <c r="H18" s="183" t="n"/>
      <c r="I18" s="184" t="n"/>
      <c r="J18" s="182" t="inlineStr">
        <is>
          <t>Aliran 17</t>
        </is>
      </c>
      <c r="K18" s="183" t="n"/>
      <c r="L18" s="183" t="n"/>
      <c r="M18" s="184" t="n"/>
      <c r="N18" s="182" t="inlineStr">
        <is>
          <t>Aliran 18</t>
        </is>
      </c>
      <c r="O18" s="183" t="n"/>
      <c r="P18" s="183" t="n"/>
      <c r="Q18" s="184" t="n"/>
    </row>
    <row r="19">
      <c r="A19" s="186" t="n"/>
      <c r="B19" s="187" t="inlineStr">
        <is>
          <t>ẋᵢ</t>
        </is>
      </c>
      <c r="C19" s="187" t="inlineStr">
        <is>
          <t>ṁᵢ (kg/h)</t>
        </is>
      </c>
      <c r="D19" s="187" t="inlineStr">
        <is>
          <t>ẏᵢ</t>
        </is>
      </c>
      <c r="E19" s="187" t="inlineStr">
        <is>
          <t>ṅᵢ (kmol/h)</t>
        </is>
      </c>
      <c r="F19" s="187" t="inlineStr">
        <is>
          <t>ẋᵢ</t>
        </is>
      </c>
      <c r="G19" s="187" t="inlineStr">
        <is>
          <t>ṁᵢ (kg/h)</t>
        </is>
      </c>
      <c r="H19" s="187" t="inlineStr">
        <is>
          <t>ẏᵢ</t>
        </is>
      </c>
      <c r="I19" s="187" t="inlineStr">
        <is>
          <t>ṅᵢ (kmol/h)</t>
        </is>
      </c>
      <c r="J19" s="187" t="inlineStr">
        <is>
          <t>ẋᵢ</t>
        </is>
      </c>
      <c r="K19" s="187" t="inlineStr">
        <is>
          <t>ṁᵢ (kg/h)</t>
        </is>
      </c>
      <c r="L19" s="187" t="inlineStr">
        <is>
          <t>ẏᵢ</t>
        </is>
      </c>
      <c r="M19" s="187" t="inlineStr">
        <is>
          <t>ṅᵢ (kmol/h)</t>
        </is>
      </c>
      <c r="N19" s="187" t="inlineStr">
        <is>
          <t>ẋᵢ</t>
        </is>
      </c>
      <c r="O19" s="187" t="inlineStr">
        <is>
          <t>ṁᵢ (kg/h)</t>
        </is>
      </c>
      <c r="P19" s="187" t="inlineStr">
        <is>
          <t>ẏᵢ</t>
        </is>
      </c>
      <c r="Q19" s="187" t="inlineStr">
        <is>
          <t>ṅᵢ (kmol/h)</t>
        </is>
      </c>
    </row>
    <row r="20">
      <c r="A20" s="188" t="inlineStr">
        <is>
          <t>C₂H₄</t>
        </is>
      </c>
      <c r="B20" s="189">
        <f>C20/C$41</f>
        <v>0.9997510491011944</v>
      </c>
      <c r="C20" s="190">
        <f>E20*'Data Komponen'!$D$3</f>
        <v>5701.6777406310985</v>
      </c>
      <c r="D20" s="189">
        <f>E20/E$41</f>
        <v>0.9995782904805011</v>
      </c>
      <c r="E20" s="191">
        <f>I36/$B$6</f>
        <v>203.23938620628428</v>
      </c>
      <c r="F20" s="189">
        <f>G20/G$41</f>
        <v>0.0</v>
      </c>
      <c r="G20" s="190">
        <f>I20*'Data Komponen'!$D$3</f>
        <v>0.0</v>
      </c>
      <c r="H20" s="189">
        <f>I20/I$41</f>
        <v>0.0</v>
      </c>
      <c r="I20" s="191">
        <f>'NME-7 Kolom HCl'!I15</f>
        <v>0.0</v>
      </c>
      <c r="J20" s="189">
        <f>K20/K$41</f>
        <v>0.0</v>
      </c>
      <c r="K20" s="190">
        <f>M20*'Data Komponen'!$D$3</f>
        <v>0.0</v>
      </c>
      <c r="L20" s="189">
        <f>M20/M$41</f>
        <v>0.0</v>
      </c>
      <c r="M20" s="191">
        <f>0</f>
        <v>0.0</v>
      </c>
      <c r="N20" s="189">
        <f>O20/O$41</f>
        <v>0.0006617075120989801</v>
      </c>
      <c r="O20" s="190">
        <f>Q20*'Data Komponen'!$D$3</f>
        <v>28.508388703155518</v>
      </c>
      <c r="P20" s="189">
        <f>Q20/Q$41</f>
        <v>0.0009355629731163276</v>
      </c>
      <c r="Q20" s="191">
        <f>E20*(1-$B$8)</f>
        <v>1.0161969310314223</v>
      </c>
    </row>
    <row r="21">
      <c r="A21" s="188" t="inlineStr">
        <is>
          <t>CH₄</t>
        </is>
      </c>
      <c r="B21" s="189">
        <f>C21/C$41</f>
        <v>0.0002314805629951287</v>
      </c>
      <c r="C21" s="190">
        <f>E21*'Data Komponen'!$D$4</f>
        <v>1.3201562274974794</v>
      </c>
      <c r="D21" s="189">
        <f>E21/E$41</f>
        <v>0.0004047144267324701</v>
      </c>
      <c r="E21" s="191">
        <f>(E20*'Data Komponen'!$D$3/'T-102'!$X$3)*'T-102'!$X$4/'Data Komponen'!$D$4</f>
        <v>0.08228861356962411</v>
      </c>
      <c r="F21" s="189">
        <f>G21/G$41</f>
        <v>0.0</v>
      </c>
      <c r="G21" s="190">
        <f>I21*'Data Komponen'!$D$4</f>
        <v>0.0</v>
      </c>
      <c r="H21" s="189">
        <f>I21/I$41</f>
        <v>0.0</v>
      </c>
      <c r="I21" s="191">
        <f>'NME-7 Kolom HCl'!I16</f>
        <v>0.0</v>
      </c>
      <c r="J21" s="189">
        <f>K21/K$41</f>
        <v>0.0</v>
      </c>
      <c r="K21" s="190">
        <f>M21*'Data Komponen'!$D$4</f>
        <v>0.0</v>
      </c>
      <c r="L21" s="189">
        <f>M21/M$41</f>
        <v>0.0</v>
      </c>
      <c r="M21" s="191">
        <f>0</f>
        <v>0.0</v>
      </c>
      <c r="N21" s="189">
        <f>O21/O$41</f>
        <v>3.064211386954467e-05</v>
      </c>
      <c r="O21" s="190">
        <f>Q21*'Data Komponen'!$D$4</f>
        <v>1.3201562274974794</v>
      </c>
      <c r="P21" s="189">
        <f>Q21/Q$41</f>
        <v>7.575911480728293e-05</v>
      </c>
      <c r="Q21" s="191">
        <f>E21+I21+M21</f>
        <v>0.08228861356962411</v>
      </c>
    </row>
    <row r="22">
      <c r="A22" s="188" t="inlineStr">
        <is>
          <t>C₂H₆</t>
        </is>
      </c>
      <c r="B22" s="189">
        <f>C22/C$41</f>
        <v>1.2632145720107967e-05</v>
      </c>
      <c r="C22" s="190">
        <f>E22*'Data Komponen'!$D$5</f>
        <v>0.07204235907879274</v>
      </c>
      <c r="D22" s="189">
        <f>E22/E$41</f>
        <v>1.1783205128162842e-05</v>
      </c>
      <c r="E22" s="191">
        <f>(E20*'Data Komponen'!$D$3/'T-102'!$X$3)*'T-102'!$X$5/'Data Komponen'!$D$5</f>
        <v>0.00239582171861632</v>
      </c>
      <c r="F22" s="189">
        <f>G22/G$41</f>
        <v>0.0</v>
      </c>
      <c r="G22" s="190">
        <f>I22*'Data Komponen'!$D$5</f>
        <v>0.0</v>
      </c>
      <c r="H22" s="189">
        <f>I22/I$41</f>
        <v>0.0</v>
      </c>
      <c r="I22" s="191">
        <f>'NME-7 Kolom HCl'!I17</f>
        <v>0.0</v>
      </c>
      <c r="J22" s="189">
        <f>K22/K$41</f>
        <v>0.0</v>
      </c>
      <c r="K22" s="190">
        <f>M22*'Data Komponen'!$D$5</f>
        <v>0.0</v>
      </c>
      <c r="L22" s="189">
        <f>M22/M$41</f>
        <v>0.0</v>
      </c>
      <c r="M22" s="191">
        <f>0</f>
        <v>0.0</v>
      </c>
      <c r="N22" s="189">
        <f>O22/O$41</f>
        <v>1.6721734324638537e-06</v>
      </c>
      <c r="O22" s="190">
        <f>Q22*'Data Komponen'!$D$5</f>
        <v>0.07204235907879274</v>
      </c>
      <c r="P22" s="189">
        <f>Q22/Q$41</f>
        <v>2.2057162560512053e-06</v>
      </c>
      <c r="Q22" s="191">
        <f>E22+I22+M22</f>
        <v>0.00239582171861632</v>
      </c>
    </row>
    <row r="23">
      <c r="A23" s="188" t="inlineStr">
        <is>
          <t>C₂H₂</t>
        </is>
      </c>
      <c r="B23" s="189">
        <f>C23/C$41</f>
        <v>4.8381900903201335e-06</v>
      </c>
      <c r="C23" s="190">
        <f>E23*'Data Komponen'!$D$6</f>
        <v>0.027592669962907983</v>
      </c>
      <c r="D23" s="189">
        <f>E23/E$41</f>
        <v>5.2118876383061426e-06</v>
      </c>
      <c r="E23" s="191">
        <f>(E20*'Data Komponen'!$D$3/'T-102'!$X$3)*'T-102'!$X$6/'Data Komponen'!$D$6</f>
        <v>0.0010597077334245327</v>
      </c>
      <c r="F23" s="189">
        <f>G23/G$41</f>
        <v>0.0</v>
      </c>
      <c r="G23" s="190">
        <f>I23*'Data Komponen'!$D$6</f>
        <v>0.0</v>
      </c>
      <c r="H23" s="189">
        <f>I23/I$41</f>
        <v>0.0</v>
      </c>
      <c r="I23" s="191">
        <f>'NME-7 Kolom HCl'!I18</f>
        <v>0.0</v>
      </c>
      <c r="J23" s="189">
        <f>K23/K$41</f>
        <v>0.0</v>
      </c>
      <c r="K23" s="190">
        <f>M23*'Data Komponen'!$D$6</f>
        <v>0.0</v>
      </c>
      <c r="L23" s="189">
        <f>M23/M$41</f>
        <v>0.0</v>
      </c>
      <c r="M23" s="191">
        <f>0</f>
        <v>0.0</v>
      </c>
      <c r="N23" s="189">
        <f>O23/O$41</f>
        <v>6.404527868424615e-07</v>
      </c>
      <c r="O23" s="190">
        <f>Q23*'Data Komponen'!$D$6</f>
        <v>0.027592669962907983</v>
      </c>
      <c r="P23" s="189">
        <f>Q23/Q$41</f>
        <v>9.756212476559469e-07</v>
      </c>
      <c r="Q23" s="191">
        <f>E23+I23+M23</f>
        <v>0.0010597077334245327</v>
      </c>
    </row>
    <row r="24">
      <c r="A24" s="188" t="inlineStr">
        <is>
          <t>Cl₂</t>
        </is>
      </c>
      <c r="B24" s="189">
        <f>C24/C$41</f>
        <v>0.0</v>
      </c>
      <c r="C24" s="190">
        <f>E24*'Data Komponen'!$D$7</f>
        <v>0.0</v>
      </c>
      <c r="D24" s="189">
        <f>E24/E$41</f>
        <v>0.0</v>
      </c>
      <c r="E24" s="191">
        <f>0</f>
        <v>0.0</v>
      </c>
      <c r="F24" s="189">
        <f>G24/G$41</f>
        <v>0.014588687507313361</v>
      </c>
      <c r="G24" s="190">
        <f>I24*'Data Komponen'!$D$7</f>
        <v>219.45229882203654</v>
      </c>
      <c r="H24" s="189">
        <f>I24/I$41</f>
        <v>0.007555925784002804</v>
      </c>
      <c r="I24" s="191">
        <f>'NME-7 Kolom HCl'!I19</f>
        <v>3.095018670362267</v>
      </c>
      <c r="J24" s="189">
        <f>K24/K$41</f>
        <v>0.0</v>
      </c>
      <c r="K24" s="190">
        <f>M24*'Data Komponen'!$D$7</f>
        <v>0.0</v>
      </c>
      <c r="L24" s="189">
        <f>M24/M$41</f>
        <v>0.0</v>
      </c>
      <c r="M24" s="191">
        <f>0</f>
        <v>0.0</v>
      </c>
      <c r="N24" s="189">
        <f>O24/O$41</f>
        <v>0.005093701934190987</v>
      </c>
      <c r="O24" s="190">
        <f>Q24*'Data Komponen'!$D$7</f>
        <v>219.45229882203654</v>
      </c>
      <c r="P24" s="189">
        <f>Q24/Q$41</f>
        <v>0.002849432802513679</v>
      </c>
      <c r="Q24" s="191">
        <f>E24+I24+M24</f>
        <v>3.095018670362267</v>
      </c>
    </row>
    <row r="25">
      <c r="A25" s="188" t="inlineStr">
        <is>
          <t>CₙHₘ</t>
        </is>
      </c>
      <c r="B25" s="189">
        <f>C25/C$41</f>
        <v>0.0</v>
      </c>
      <c r="C25" s="190">
        <f>E25*'Data Komponen'!$D$8</f>
        <v>0.0</v>
      </c>
      <c r="D25" s="189">
        <f>E25/E$41</f>
        <v>0.0</v>
      </c>
      <c r="E25" s="191">
        <f>0</f>
        <v>0.0</v>
      </c>
      <c r="F25" s="189">
        <f>G25/G$41</f>
        <v>0.0</v>
      </c>
      <c r="G25" s="190">
        <f>I25*'Data Komponen'!$D$8</f>
        <v>0.0</v>
      </c>
      <c r="H25" s="189">
        <f>I25/I$41</f>
        <v>0.0</v>
      </c>
      <c r="I25" s="191">
        <f>'NME-7 Kolom HCl'!I20</f>
        <v>0.0</v>
      </c>
      <c r="J25" s="189">
        <f>K25/K$41</f>
        <v>0.0</v>
      </c>
      <c r="K25" s="190">
        <f>M25*'Data Komponen'!$D$8</f>
        <v>0.0</v>
      </c>
      <c r="L25" s="189">
        <f>M25/M$41</f>
        <v>0.0</v>
      </c>
      <c r="M25" s="191">
        <f>0</f>
        <v>0.0</v>
      </c>
      <c r="N25" s="189">
        <f>O25/O$41</f>
        <v>0.0</v>
      </c>
      <c r="O25" s="190">
        <f>Q25*'Data Komponen'!$D$8</f>
        <v>0.0</v>
      </c>
      <c r="P25" s="189">
        <f>Q25/Q$41</f>
        <v>0.0</v>
      </c>
      <c r="Q25" s="191">
        <f>0</f>
        <v>0.0</v>
      </c>
    </row>
    <row r="26">
      <c r="A26" s="188" t="inlineStr">
        <is>
          <t>H₂O</t>
        </is>
      </c>
      <c r="B26" s="189">
        <f>C26/C$41</f>
        <v>0.0</v>
      </c>
      <c r="C26" s="190">
        <f>E26*'Data Komponen'!$D$9</f>
        <v>0.0</v>
      </c>
      <c r="D26" s="189">
        <f>E26/E$41</f>
        <v>0.0</v>
      </c>
      <c r="E26" s="191">
        <f>0</f>
        <v>0.0</v>
      </c>
      <c r="F26" s="189">
        <f>G26/G$41</f>
        <v>0.0</v>
      </c>
      <c r="G26" s="190">
        <f>I26*'Data Komponen'!$D$9</f>
        <v>0.0</v>
      </c>
      <c r="H26" s="189">
        <f>I26/I$41</f>
        <v>0.0</v>
      </c>
      <c r="I26" s="191">
        <f>'NME-7 Kolom HCl'!I21</f>
        <v>0.0</v>
      </c>
      <c r="J26" s="189">
        <f>K26/K$41</f>
        <v>0.0</v>
      </c>
      <c r="K26" s="190">
        <f>M26*'Data Komponen'!$D$9</f>
        <v>0.0</v>
      </c>
      <c r="L26" s="189">
        <f>M26/M$41</f>
        <v>0.0</v>
      </c>
      <c r="M26" s="191">
        <f>0</f>
        <v>0.0</v>
      </c>
      <c r="N26" s="189">
        <f>O26/O$41</f>
        <v>0.08430381082070455</v>
      </c>
      <c r="O26" s="190">
        <f>Q26*'Data Komponen'!$D$9</f>
        <v>3632.0666821664117</v>
      </c>
      <c r="P26" s="189">
        <f>Q26/Q$41</f>
        <v>0.18561569386629198</v>
      </c>
      <c r="Q26" s="191">
        <f>Q34+Q33</f>
        <v>201.61347111664787</v>
      </c>
    </row>
    <row r="27">
      <c r="A27" s="188" t="inlineStr">
        <is>
          <t>CₓHᵧCl</t>
        </is>
      </c>
      <c r="B27" s="189">
        <f>C27/C$41</f>
        <v>0.0</v>
      </c>
      <c r="C27" s="190">
        <f>E27*'Data Komponen'!$D$10</f>
        <v>0.0</v>
      </c>
      <c r="D27" s="189">
        <f>E27/E$41</f>
        <v>0.0</v>
      </c>
      <c r="E27" s="191">
        <f>0</f>
        <v>0.0</v>
      </c>
      <c r="F27" s="189">
        <f>G27/G$41</f>
        <v>0.0</v>
      </c>
      <c r="G27" s="190">
        <f>I27*'Data Komponen'!$D$10</f>
        <v>0.0</v>
      </c>
      <c r="H27" s="189">
        <f>I27/I$41</f>
        <v>0.0</v>
      </c>
      <c r="I27" s="191">
        <f>'NME-7 Kolom HCl'!I22</f>
        <v>0.0</v>
      </c>
      <c r="J27" s="189">
        <f>K27/K$41</f>
        <v>0.0</v>
      </c>
      <c r="K27" s="190">
        <f>M27*'Data Komponen'!$D$10</f>
        <v>0.0</v>
      </c>
      <c r="L27" s="189">
        <f>M27/M$41</f>
        <v>0.0</v>
      </c>
      <c r="M27" s="191">
        <f>0</f>
        <v>0.0</v>
      </c>
      <c r="N27" s="189">
        <f>O27/O$41</f>
        <v>0.0</v>
      </c>
      <c r="O27" s="190">
        <f>Q27*'Data Komponen'!$D$10</f>
        <v>0.0</v>
      </c>
      <c r="P27" s="189">
        <f>Q27/Q$41</f>
        <v>0.0</v>
      </c>
      <c r="Q27" s="191">
        <f>0</f>
        <v>0.0</v>
      </c>
    </row>
    <row r="28">
      <c r="A28" s="188" t="inlineStr">
        <is>
          <t>Br₂</t>
        </is>
      </c>
      <c r="B28" s="189">
        <f>C28/C$41</f>
        <v>0.0</v>
      </c>
      <c r="C28" s="190">
        <f>E28*'Data Komponen'!$D$11</f>
        <v>0.0</v>
      </c>
      <c r="D28" s="189">
        <f>E28/E$41</f>
        <v>0.0</v>
      </c>
      <c r="E28" s="191">
        <f>0</f>
        <v>0.0</v>
      </c>
      <c r="F28" s="189">
        <f>G28/G$41</f>
        <v>0.0</v>
      </c>
      <c r="G28" s="190">
        <f>I28*'Data Komponen'!$D$11</f>
        <v>0.0</v>
      </c>
      <c r="H28" s="189">
        <f>I28/I$41</f>
        <v>0.0</v>
      </c>
      <c r="I28" s="191">
        <f>'NME-7 Kolom HCl'!I23</f>
        <v>0.0</v>
      </c>
      <c r="J28" s="189">
        <f>K28/K$41</f>
        <v>0.0</v>
      </c>
      <c r="K28" s="190">
        <f>M28*'Data Komponen'!$D$11</f>
        <v>0.0</v>
      </c>
      <c r="L28" s="189">
        <f>M28/M$41</f>
        <v>0.0</v>
      </c>
      <c r="M28" s="191">
        <f>0</f>
        <v>0.0</v>
      </c>
      <c r="N28" s="189">
        <f>O28/O$41</f>
        <v>0.0</v>
      </c>
      <c r="O28" s="190">
        <f>Q28*'Data Komponen'!$D$11</f>
        <v>0.0</v>
      </c>
      <c r="P28" s="189">
        <f>Q28/Q$41</f>
        <v>0.0</v>
      </c>
      <c r="Q28" s="191">
        <f>0</f>
        <v>0.0</v>
      </c>
    </row>
    <row r="29">
      <c r="A29" s="188" t="inlineStr">
        <is>
          <t>NCl₃</t>
        </is>
      </c>
      <c r="B29" s="189">
        <f>C29/C$41</f>
        <v>0.0</v>
      </c>
      <c r="C29" s="190">
        <f>E29*'Data Komponen'!$D$12</f>
        <v>0.0</v>
      </c>
      <c r="D29" s="189">
        <f>E29/E$41</f>
        <v>0.0</v>
      </c>
      <c r="E29" s="191">
        <f>0</f>
        <v>0.0</v>
      </c>
      <c r="F29" s="189">
        <f>G29/G$41</f>
        <v>0.0</v>
      </c>
      <c r="G29" s="190">
        <f>I29*'Data Komponen'!$D$12</f>
        <v>0.0</v>
      </c>
      <c r="H29" s="189">
        <f>I29/I$41</f>
        <v>0.0</v>
      </c>
      <c r="I29" s="191">
        <f>'NME-7 Kolom HCl'!I24</f>
        <v>0.0</v>
      </c>
      <c r="J29" s="189">
        <f>K29/K$41</f>
        <v>0.0</v>
      </c>
      <c r="K29" s="190">
        <f>M29*'Data Komponen'!$D$12</f>
        <v>0.0</v>
      </c>
      <c r="L29" s="189">
        <f>M29/M$41</f>
        <v>0.0</v>
      </c>
      <c r="M29" s="191">
        <f>0</f>
        <v>0.0</v>
      </c>
      <c r="N29" s="189">
        <f>O29/O$41</f>
        <v>0.0</v>
      </c>
      <c r="O29" s="190">
        <f>Q29*'Data Komponen'!$D$12</f>
        <v>0.0</v>
      </c>
      <c r="P29" s="189">
        <f>Q29/Q$41</f>
        <v>0.0</v>
      </c>
      <c r="Q29" s="191">
        <f>0</f>
        <v>0.0</v>
      </c>
    </row>
    <row r="30">
      <c r="A30" s="188" t="inlineStr">
        <is>
          <t>H₂</t>
        </is>
      </c>
      <c r="B30" s="189">
        <f>C30/C$41</f>
        <v>0.0</v>
      </c>
      <c r="C30" s="190">
        <f>E30*'Data Komponen'!$D$13</f>
        <v>0.0</v>
      </c>
      <c r="D30" s="189">
        <f>E30/E$41</f>
        <v>0.0</v>
      </c>
      <c r="E30" s="191">
        <f>0</f>
        <v>0.0</v>
      </c>
      <c r="F30" s="189">
        <f>G30/G$41</f>
        <v>0.0</v>
      </c>
      <c r="G30" s="190">
        <f>I30*'Data Komponen'!$D$13</f>
        <v>0.0</v>
      </c>
      <c r="H30" s="189">
        <f>I30/I$41</f>
        <v>0.0</v>
      </c>
      <c r="I30" s="191">
        <f>'NME-7 Kolom HCl'!I25</f>
        <v>0.0</v>
      </c>
      <c r="J30" s="189">
        <f>K30/K$41</f>
        <v>0.0</v>
      </c>
      <c r="K30" s="190">
        <f>M30*'Data Komponen'!$D$13</f>
        <v>0.0</v>
      </c>
      <c r="L30" s="189">
        <f>M30/M$41</f>
        <v>0.0</v>
      </c>
      <c r="M30" s="191">
        <f>0</f>
        <v>0.0</v>
      </c>
      <c r="N30" s="189">
        <f>O30/O$41</f>
        <v>0.0</v>
      </c>
      <c r="O30" s="190">
        <f>Q30*'Data Komponen'!$D$13</f>
        <v>0.0</v>
      </c>
      <c r="P30" s="189">
        <f>Q30/Q$41</f>
        <v>0.0</v>
      </c>
      <c r="Q30" s="191">
        <f>0</f>
        <v>0.0</v>
      </c>
    </row>
    <row r="31">
      <c r="A31" s="188" t="inlineStr">
        <is>
          <t>O₂</t>
        </is>
      </c>
      <c r="B31" s="189">
        <f>C31/C$41</f>
        <v>0.0</v>
      </c>
      <c r="C31" s="190">
        <f>E31*'Data Komponen'!$D$14</f>
        <v>0.0</v>
      </c>
      <c r="D31" s="189">
        <f>E31/E$41</f>
        <v>0.0</v>
      </c>
      <c r="E31" s="191">
        <f>0</f>
        <v>0.0</v>
      </c>
      <c r="F31" s="189">
        <f>G31/G$41</f>
        <v>0.0</v>
      </c>
      <c r="G31" s="190">
        <f>I31*'Data Komponen'!$D$14</f>
        <v>0.0</v>
      </c>
      <c r="H31" s="189">
        <f>I31/I$41</f>
        <v>0.0</v>
      </c>
      <c r="I31" s="191">
        <f>'NME-7 Kolom HCl'!I26</f>
        <v>0.0</v>
      </c>
      <c r="J31" s="189">
        <f>K31/K$41</f>
        <v>0.23291480147032056</v>
      </c>
      <c r="K31" s="190">
        <f>M31*'Data Komponen'!$D$14</f>
        <v>5202.765695371912</v>
      </c>
      <c r="L31" s="189">
        <f>M31/M$41</f>
        <v>0.20999999999999996</v>
      </c>
      <c r="M31" s="191">
        <f>$B$7*E20</f>
        <v>162.59150896502743</v>
      </c>
      <c r="N31" s="189">
        <f>O31/O$41</f>
        <v>0.04437976567916967</v>
      </c>
      <c r="O31" s="190">
        <f>Q31*'Data Komponen'!$D$14</f>
        <v>1912.016393048713</v>
      </c>
      <c r="P31" s="189">
        <f>Q31/Q$41</f>
        <v>0.055011102819226644</v>
      </c>
      <c r="Q31" s="191">
        <f>M31-0.5*Q34-1.5*Q33</f>
        <v>59.75237954463306</v>
      </c>
    </row>
    <row r="32">
      <c r="A32" s="188" t="inlineStr">
        <is>
          <t>N₂</t>
        </is>
      </c>
      <c r="B32" s="189">
        <f>C32/C$41</f>
        <v>0.0</v>
      </c>
      <c r="C32" s="190">
        <f>E32*'Data Komponen'!$D$15</f>
        <v>0.0</v>
      </c>
      <c r="D32" s="189">
        <f>E32/E$41</f>
        <v>0.0</v>
      </c>
      <c r="E32" s="191">
        <f>0</f>
        <v>0.0</v>
      </c>
      <c r="F32" s="189">
        <f>G32/G$41</f>
        <v>0.0</v>
      </c>
      <c r="G32" s="190">
        <f>I32*'Data Komponen'!$D$15</f>
        <v>0.0</v>
      </c>
      <c r="H32" s="189">
        <f>I32/I$41</f>
        <v>0.0</v>
      </c>
      <c r="I32" s="191">
        <f>'NME-7 Kolom HCl'!I27</f>
        <v>0.0</v>
      </c>
      <c r="J32" s="189">
        <f>K32/K$41</f>
        <v>0.7670851985296794</v>
      </c>
      <c r="K32" s="190">
        <f>M32*'Data Komponen'!$D$15</f>
        <v>17134.868763788385</v>
      </c>
      <c r="L32" s="189">
        <f>M32/M$41</f>
        <v>0.79</v>
      </c>
      <c r="M32" s="191">
        <f>M31*(1-$B$11)/$B$11</f>
        <v>611.6537718208176</v>
      </c>
      <c r="N32" s="189">
        <f>O32/O$41</f>
        <v>0.3977170192917264</v>
      </c>
      <c r="O32" s="190">
        <f>Q32*'Data Komponen'!$D$15</f>
        <v>17134.868763788385</v>
      </c>
      <c r="P32" s="189">
        <f>Q32/Q$41</f>
        <v>0.5631198085804939</v>
      </c>
      <c r="Q32" s="191">
        <f>E32+I32+M32</f>
        <v>611.6537718208176</v>
      </c>
    </row>
    <row r="33">
      <c r="A33" s="188" t="inlineStr">
        <is>
          <t>CO₂</t>
        </is>
      </c>
      <c r="B33" s="189">
        <f>C33/C$41</f>
        <v>0.0</v>
      </c>
      <c r="C33" s="190">
        <f>E33*'Data Komponen'!$D$16</f>
        <v>0.0</v>
      </c>
      <c r="D33" s="189">
        <f>E33/E$41</f>
        <v>0.0</v>
      </c>
      <c r="E33" s="191">
        <f>0</f>
        <v>0.0</v>
      </c>
      <c r="F33" s="189">
        <f>G33/G$41</f>
        <v>0.0</v>
      </c>
      <c r="G33" s="190">
        <f>I33*'Data Komponen'!$D$16</f>
        <v>0.0</v>
      </c>
      <c r="H33" s="189">
        <f>I33/I$41</f>
        <v>0.0</v>
      </c>
      <c r="I33" s="191">
        <f>'NME-7 Kolom HCl'!I28</f>
        <v>0.0</v>
      </c>
      <c r="J33" s="189">
        <f>K33/K$41</f>
        <v>0.0</v>
      </c>
      <c r="K33" s="190">
        <f>M33*'Data Komponen'!$D$16</f>
        <v>0.0</v>
      </c>
      <c r="L33" s="189">
        <f>M33/M$41</f>
        <v>0.0</v>
      </c>
      <c r="M33" s="191">
        <f>0</f>
        <v>0.0</v>
      </c>
      <c r="N33" s="189">
        <f>O33/O$41</f>
        <v>0.0020761208817006356</v>
      </c>
      <c r="O33" s="190">
        <f>Q33*'Data Komponen'!$D$16</f>
        <v>89.44565386981179</v>
      </c>
      <c r="P33" s="189">
        <f>Q33/Q$41</f>
        <v>0.0018711259462415668</v>
      </c>
      <c r="Q33" s="191">
        <f>2*($B$8*E20-Q34-Q38)</f>
        <v>2.0323938620725244</v>
      </c>
    </row>
    <row r="34">
      <c r="A34" s="188" t="inlineStr">
        <is>
          <t>EDC</t>
        </is>
      </c>
      <c r="B34" s="189">
        <f>C34/C$41</f>
        <v>0.0</v>
      </c>
      <c r="C34" s="190">
        <f>E34*'Data Komponen'!$D$17</f>
        <v>0.0</v>
      </c>
      <c r="D34" s="189">
        <f>E34/E$41</f>
        <v>0.0</v>
      </c>
      <c r="E34" s="191">
        <f>0</f>
        <v>0.0</v>
      </c>
      <c r="F34" s="189">
        <f>G34/G$41</f>
        <v>0.0</v>
      </c>
      <c r="G34" s="190">
        <f>I34*'Data Komponen'!$D$17</f>
        <v>0.0</v>
      </c>
      <c r="H34" s="189">
        <f>I34/I$41</f>
        <v>0.0</v>
      </c>
      <c r="I34" s="191">
        <f>'NME-7 Kolom HCl'!I29</f>
        <v>0.0</v>
      </c>
      <c r="J34" s="189">
        <f>K34/K$41</f>
        <v>0.0</v>
      </c>
      <c r="K34" s="190">
        <f>M34*'Data Komponen'!$D$17</f>
        <v>0.0</v>
      </c>
      <c r="L34" s="189">
        <f>M34/M$41</f>
        <v>0.0</v>
      </c>
      <c r="M34" s="191">
        <f>0</f>
        <v>0.0</v>
      </c>
      <c r="N34" s="189">
        <f>O34/O$41</f>
        <v>0.4584247468695122</v>
      </c>
      <c r="O34" s="190">
        <f>Q34*'Data Komponen'!$D$17</f>
        <v>19750.34382403511</v>
      </c>
      <c r="P34" s="189">
        <f>Q34/Q$41</f>
        <v>0.18374456792004656</v>
      </c>
      <c r="Q34" s="191">
        <f>$B$9*E20</f>
        <v>199.58107725457117</v>
      </c>
    </row>
    <row r="35">
      <c r="A35" s="188" t="inlineStr">
        <is>
          <t>TCE</t>
        </is>
      </c>
      <c r="B35" s="189">
        <f>C35/C$41</f>
        <v>0.0</v>
      </c>
      <c r="C35" s="190">
        <f>E35*'Data Komponen'!$D$18</f>
        <v>0.0</v>
      </c>
      <c r="D35" s="189">
        <f>E35/E$41</f>
        <v>0.0</v>
      </c>
      <c r="E35" s="191">
        <f>0</f>
        <v>0.0</v>
      </c>
      <c r="F35" s="189">
        <f>G35/G$41</f>
        <v>0.0</v>
      </c>
      <c r="G35" s="190">
        <f>I35*'Data Komponen'!$D$18</f>
        <v>0.0</v>
      </c>
      <c r="H35" s="189">
        <f>I35/I$41</f>
        <v>0.0</v>
      </c>
      <c r="I35" s="191">
        <f>'NME-7 Kolom HCl'!I30</f>
        <v>0.0</v>
      </c>
      <c r="J35" s="189">
        <f>K35/K$41</f>
        <v>0.0</v>
      </c>
      <c r="K35" s="190">
        <f>M35*'Data Komponen'!$D$18</f>
        <v>0.0</v>
      </c>
      <c r="L35" s="189">
        <f>M35/M$41</f>
        <v>0.0</v>
      </c>
      <c r="M35" s="191">
        <f>0</f>
        <v>0.0</v>
      </c>
      <c r="N35" s="189">
        <f>O35/O$41</f>
        <v>0.0</v>
      </c>
      <c r="O35" s="190">
        <f>Q35*'Data Komponen'!$D$18</f>
        <v>0.0</v>
      </c>
      <c r="P35" s="189">
        <f>Q35/Q$41</f>
        <v>0.0</v>
      </c>
      <c r="Q35" s="191">
        <f>0</f>
        <v>0.0</v>
      </c>
    </row>
    <row r="36">
      <c r="A36" s="188" t="inlineStr">
        <is>
          <t>HCl</t>
        </is>
      </c>
      <c r="B36" s="189">
        <f>C36/C$41</f>
        <v>0.0</v>
      </c>
      <c r="C36" s="190">
        <f>E36*'Data Komponen'!$D$19</f>
        <v>0.0</v>
      </c>
      <c r="D36" s="189">
        <f>E36/E$41</f>
        <v>0.0</v>
      </c>
      <c r="E36" s="191">
        <f>0</f>
        <v>0.0</v>
      </c>
      <c r="F36" s="189">
        <f>G36/G$41</f>
        <v>0.9852411288573419</v>
      </c>
      <c r="G36" s="190">
        <f>I36*'Data Komponen'!$D$19</f>
        <v>14820.622520934352</v>
      </c>
      <c r="H36" s="189">
        <f>I36/I$41</f>
        <v>0.9923440742159972</v>
      </c>
      <c r="I36" s="191">
        <f>'NME-7 Kolom HCl'!I31</f>
        <v>406.4787724125601</v>
      </c>
      <c r="J36" s="189">
        <f>K36/K$41</f>
        <v>0.0</v>
      </c>
      <c r="K36" s="190">
        <f>M36*'Data Komponen'!$D$19</f>
        <v>0.0</v>
      </c>
      <c r="L36" s="189">
        <f>M36/M$41</f>
        <v>0.0</v>
      </c>
      <c r="M36" s="191">
        <f>0</f>
        <v>0.0</v>
      </c>
      <c r="N36" s="189">
        <f>O36/O$41</f>
        <v>0.004816015489854791</v>
      </c>
      <c r="O36" s="190">
        <f>Q36*'Data Komponen'!$D$19</f>
        <v>207.48871529308113</v>
      </c>
      <c r="P36" s="189">
        <f>Q36/Q$41</f>
        <v>0.005239152649451326</v>
      </c>
      <c r="Q36" s="191">
        <f>I36*(1-$B$10)</f>
        <v>5.690702813775847</v>
      </c>
    </row>
    <row r="37">
      <c r="A37" s="188" t="inlineStr">
        <is>
          <t>FeCl₃</t>
        </is>
      </c>
      <c r="B37" s="189">
        <f>C37/C$41</f>
        <v>0.0</v>
      </c>
      <c r="C37" s="190">
        <f>E37*'Data Komponen'!$D$20</f>
        <v>0.0</v>
      </c>
      <c r="D37" s="189">
        <f>E37/E$41</f>
        <v>0.0</v>
      </c>
      <c r="E37" s="191">
        <f>0</f>
        <v>0.0</v>
      </c>
      <c r="F37" s="189">
        <f>G37/G$41</f>
        <v>0.0</v>
      </c>
      <c r="G37" s="190">
        <f>I37*'Data Komponen'!$D$20</f>
        <v>0.0</v>
      </c>
      <c r="H37" s="189">
        <f>I37/I$41</f>
        <v>0.0</v>
      </c>
      <c r="I37" s="191">
        <f>'NME-7 Kolom HCl'!I32</f>
        <v>0.0</v>
      </c>
      <c r="J37" s="189">
        <f>K37/K$41</f>
        <v>0.0</v>
      </c>
      <c r="K37" s="190">
        <f>M37*'Data Komponen'!$D$20</f>
        <v>0.0</v>
      </c>
      <c r="L37" s="189">
        <f>M37/M$41</f>
        <v>0.0</v>
      </c>
      <c r="M37" s="191">
        <f>0</f>
        <v>0.0</v>
      </c>
      <c r="N37" s="189">
        <f>O37/O$41</f>
        <v>0.0</v>
      </c>
      <c r="O37" s="190">
        <f>Q37*'Data Komponen'!$D$20</f>
        <v>0.0</v>
      </c>
      <c r="P37" s="189">
        <f>Q37/Q$41</f>
        <v>0.0</v>
      </c>
      <c r="Q37" s="191">
        <f>0</f>
        <v>0.0</v>
      </c>
    </row>
    <row r="38">
      <c r="A38" s="188" t="inlineStr">
        <is>
          <t>C₂H₅Cl</t>
        </is>
      </c>
      <c r="B38" s="189">
        <f>C38/C$41</f>
        <v>0.0</v>
      </c>
      <c r="C38" s="190">
        <f>E38*'Data Komponen'!$D$21</f>
        <v>0.0</v>
      </c>
      <c r="D38" s="189">
        <f>E38/E$41</f>
        <v>0.0</v>
      </c>
      <c r="E38" s="191">
        <f>0</f>
        <v>0.0</v>
      </c>
      <c r="F38" s="189">
        <f>G38/G$41</f>
        <v>0.0</v>
      </c>
      <c r="G38" s="190">
        <f>I38*'Data Komponen'!$D$21</f>
        <v>0.0</v>
      </c>
      <c r="H38" s="189">
        <f>I38/I$41</f>
        <v>0.0</v>
      </c>
      <c r="I38" s="191">
        <f>'NME-7 Kolom HCl'!I33</f>
        <v>0.0</v>
      </c>
      <c r="J38" s="189">
        <f>K38/K$41</f>
        <v>0.0</v>
      </c>
      <c r="K38" s="190">
        <f>M38*'Data Komponen'!$D$21</f>
        <v>0.0</v>
      </c>
      <c r="L38" s="189">
        <f>M38/M$41</f>
        <v>0.0</v>
      </c>
      <c r="M38" s="191">
        <f>0</f>
        <v>0.0</v>
      </c>
      <c r="N38" s="189">
        <f>O38/O$41</f>
        <v>0.0024347364450186845</v>
      </c>
      <c r="O38" s="190">
        <f>Q38*'Data Komponen'!$D$21</f>
        <v>104.89591200824856</v>
      </c>
      <c r="P38" s="189">
        <f>Q38/Q$41</f>
        <v>0.0014969007569784326</v>
      </c>
      <c r="Q38" s="191">
        <f>$B$10*I36-2*Q34</f>
        <v>1.6259150896419214</v>
      </c>
    </row>
    <row r="39">
      <c r="A39" s="188" t="inlineStr">
        <is>
          <t>VCM</t>
        </is>
      </c>
      <c r="B39" s="189">
        <f>C39/C$41</f>
        <v>0.0</v>
      </c>
      <c r="C39" s="190">
        <f>E39*'Data Komponen'!$D$22</f>
        <v>0.0</v>
      </c>
      <c r="D39" s="189">
        <f>E39/E$41</f>
        <v>0.0</v>
      </c>
      <c r="E39" s="191">
        <f>0</f>
        <v>0.0</v>
      </c>
      <c r="F39" s="189">
        <f>G39/G$41</f>
        <v>0.00017018363534467224</v>
      </c>
      <c r="G39" s="190">
        <f>I39*'Data Komponen'!$D$22</f>
        <v>2.56001028053807</v>
      </c>
      <c r="H39" s="189">
        <f>I39/I$41</f>
        <v>9.999999999999874e-05</v>
      </c>
      <c r="I39" s="191">
        <f>'NME-7 Kolom HCl'!I34</f>
        <v>0.0409614752558173</v>
      </c>
      <c r="J39" s="189">
        <f>K39/K$41</f>
        <v>0.0</v>
      </c>
      <c r="K39" s="190">
        <f>M39*'Data Komponen'!$D$22</f>
        <v>0.0</v>
      </c>
      <c r="L39" s="189">
        <f>M39/M$41</f>
        <v>0.0</v>
      </c>
      <c r="M39" s="191">
        <f>0</f>
        <v>0.0</v>
      </c>
      <c r="N39" s="189">
        <f>O39/O$41</f>
        <v>5.942033593414406e-05</v>
      </c>
      <c r="O39" s="190">
        <f>Q39*'Data Komponen'!$D$22</f>
        <v>2.56001028053807</v>
      </c>
      <c r="P39" s="189">
        <f>Q39/Q$41</f>
        <v>3.7711233328236e-05</v>
      </c>
      <c r="Q39" s="191">
        <f>E39+I39+M39</f>
        <v>0.0409614752558173</v>
      </c>
    </row>
    <row r="40">
      <c r="A40" s="188" t="inlineStr">
        <is>
          <t>C₄H₈Cl₂ (berat)</t>
        </is>
      </c>
      <c r="B40" s="189">
        <f>C40/C$41</f>
        <v>0.0</v>
      </c>
      <c r="C40" s="190">
        <f>E40*'Data Komponen'!$D$23</f>
        <v>0.0</v>
      </c>
      <c r="D40" s="189">
        <f>E40/E$41</f>
        <v>0.0</v>
      </c>
      <c r="E40" s="191">
        <f>0</f>
        <v>0.0</v>
      </c>
      <c r="F40" s="189">
        <f>G40/G$41</f>
        <v>0.0</v>
      </c>
      <c r="G40" s="190">
        <f>I40*'Data Komponen'!$D$23</f>
        <v>0.0</v>
      </c>
      <c r="H40" s="189">
        <f>I40/I$41</f>
        <v>0.0</v>
      </c>
      <c r="I40" s="191">
        <f>'NME-7 Kolom HCl'!I35</f>
        <v>0.0</v>
      </c>
      <c r="J40" s="189">
        <f>K40/K$41</f>
        <v>0.0</v>
      </c>
      <c r="K40" s="190">
        <f>M40*'Data Komponen'!$D$23</f>
        <v>0.0</v>
      </c>
      <c r="L40" s="189">
        <f>M40/M$41</f>
        <v>0.0</v>
      </c>
      <c r="M40" s="191">
        <f>0</f>
        <v>0.0</v>
      </c>
      <c r="N40" s="189">
        <f>O40/O$41</f>
        <v>0.0</v>
      </c>
      <c r="O40" s="190">
        <f>Q40*'Data Komponen'!$D$23</f>
        <v>0.0</v>
      </c>
      <c r="P40" s="189">
        <f>Q40/Q$41</f>
        <v>0.0</v>
      </c>
      <c r="Q40" s="191">
        <f>0</f>
        <v>0.0</v>
      </c>
    </row>
    <row r="41">
      <c r="A41" s="182" t="inlineStr">
        <is>
          <t>Sub Total</t>
        </is>
      </c>
      <c r="B41" s="189">
        <f>SUM(B20:B40)</f>
        <v>1.0</v>
      </c>
      <c r="C41" s="190">
        <f>SUM(C20:C40)</f>
        <v>5703.097531887638</v>
      </c>
      <c r="D41" s="189">
        <f>SUM(D20:D40)</f>
        <v>1.0</v>
      </c>
      <c r="E41" s="191">
        <f>SUM(E20:E40)</f>
        <v>203.32513034930594</v>
      </c>
      <c r="F41" s="189">
        <f>SUM(F20:F40)</f>
        <v>1.0</v>
      </c>
      <c r="G41" s="190">
        <f>SUM(G20:G40)</f>
        <v>15042.634830036926</v>
      </c>
      <c r="H41" s="189">
        <f>SUM(H20:H40)</f>
        <v>1.0</v>
      </c>
      <c r="I41" s="191">
        <f>SUM(I20:I40)</f>
        <v>409.61475255817817</v>
      </c>
      <c r="J41" s="189">
        <f>SUM(J20:J40)</f>
        <v>1.0</v>
      </c>
      <c r="K41" s="190">
        <f>SUM(K20:K40)</f>
        <v>22337.634459160297</v>
      </c>
      <c r="L41" s="189">
        <f>SUM(L20:L40)</f>
        <v>1.0</v>
      </c>
      <c r="M41" s="191">
        <f>SUM(M20:M40)</f>
        <v>774.245280785845</v>
      </c>
      <c r="N41" s="189">
        <f>SUM(N20:N40)</f>
        <v>0.9999999999999998</v>
      </c>
      <c r="O41" s="190">
        <f>SUM(O20:O40)</f>
        <v>43083.06643327203</v>
      </c>
      <c r="P41" s="189">
        <f>SUM(P20:P40)</f>
        <v>0.9999999999999996</v>
      </c>
      <c r="Q41" s="191">
        <f>SUM(Q20:Q40)</f>
        <v>1086.1876327218315</v>
      </c>
    </row>
    <row r="42">
      <c r="A42" s="182" t="inlineStr">
        <is>
          <t>TOTAL MASSA</t>
        </is>
      </c>
      <c r="B42" s="190">
        <f>C41+G41+K41</f>
        <v>43083.36682108486</v>
      </c>
      <c r="C42" s="183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4" t="n"/>
      <c r="N42" s="190">
        <f>O41</f>
        <v>43083.06643327203</v>
      </c>
      <c r="O42" s="183" t="n"/>
      <c r="P42" s="183" t="n"/>
      <c r="Q42" s="184" t="n"/>
    </row>
    <row r="43">
      <c r="A43" s="182" t="inlineStr">
        <is>
          <t>Selisih (Inlet − Outlet), kg/h</t>
        </is>
      </c>
      <c r="B43" s="190">
        <f>B42-N42</f>
        <v>0.3003878128292854</v>
      </c>
      <c r="C43" s="183" t="n"/>
      <c r="D43" s="183" t="n"/>
      <c r="E43" s="183" t="n"/>
      <c r="F43" s="183" t="n"/>
      <c r="G43" s="183" t="n"/>
      <c r="H43" s="183" t="n"/>
      <c r="I43" s="183" t="n"/>
      <c r="J43" s="183" t="n"/>
      <c r="K43" s="183" t="n"/>
      <c r="L43" s="183" t="n"/>
      <c r="M43" s="183" t="n"/>
      <c r="N43" s="183" t="n"/>
      <c r="O43" s="183" t="n"/>
      <c r="P43" s="183" t="n"/>
      <c r="Q43" s="184" t="n"/>
    </row>
    <row r="46">
      <c r="A46" s="172" t="inlineStr">
        <is>
          <t>Neraca Energi K-101: Kompresor udara</t>
        </is>
      </c>
    </row>
    <row r="47">
      <c r="A47" s="174" t="inlineStr">
        <is>
          <t>Reference state: unsur pada 25 °C dan 1 atm (metode panas pembentukan)</t>
        </is>
      </c>
    </row>
    <row r="48">
      <c r="A48" s="182" t="inlineStr">
        <is>
          <t>No. aliran PFD</t>
        </is>
      </c>
      <c r="B48" s="182" t="n">
        <v>16</v>
      </c>
      <c r="C48" s="184" t="n"/>
      <c r="D48" s="182" t="n">
        <v>17</v>
      </c>
      <c r="E48" s="184" t="n"/>
    </row>
    <row r="49">
      <c r="A49" s="182" t="inlineStr">
        <is>
          <t>Dari</t>
        </is>
      </c>
      <c r="B49" s="192" t="inlineStr">
        <is>
          <t>Udara</t>
        </is>
      </c>
      <c r="C49" s="184" t="n"/>
      <c r="D49" s="192" t="inlineStr">
        <is>
          <t>K-101</t>
        </is>
      </c>
      <c r="E49" s="184" t="n"/>
    </row>
    <row r="50">
      <c r="A50" s="182" t="inlineStr">
        <is>
          <t>Ke</t>
        </is>
      </c>
      <c r="B50" s="192" t="inlineStr">
        <is>
          <t>K-101</t>
        </is>
      </c>
      <c r="C50" s="184" t="n"/>
      <c r="D50" s="192" t="inlineStr">
        <is>
          <t>R-02</t>
        </is>
      </c>
      <c r="E50" s="184" t="n"/>
    </row>
    <row r="51">
      <c r="A51" s="182" t="inlineStr">
        <is>
          <t>T (K)</t>
        </is>
      </c>
      <c r="B51" s="193">
        <f>B52+273.15</f>
        <v>303.15</v>
      </c>
      <c r="C51" s="184" t="n"/>
      <c r="D51" s="193">
        <f>IFERROR(IF(D51&lt;100,$B$51,D51+(B64-D60)/(SUM(D58:D59)*29.5)),$B$51)</f>
        <v>545.1214721407605</v>
      </c>
      <c r="E51" s="184" t="n"/>
    </row>
    <row r="52">
      <c r="A52" s="182" t="inlineStr">
        <is>
          <t>T (°C)</t>
        </is>
      </c>
      <c r="B52" s="193" t="n">
        <v>30</v>
      </c>
      <c r="C52" s="184" t="n"/>
      <c r="D52" s="193">
        <f>IF(ISNUMBER(D51),D51-273.15,"-")</f>
        <v>271.9714721407605</v>
      </c>
      <c r="E52" s="184" t="n"/>
    </row>
    <row r="53">
      <c r="A53" s="182" t="inlineStr">
        <is>
          <t>P (bar abs)</t>
        </is>
      </c>
      <c r="B53" s="194" t="n">
        <v>1.01325</v>
      </c>
      <c r="C53" s="184" t="n"/>
      <c r="D53" s="194" t="n">
        <v>5.370225</v>
      </c>
      <c r="E53" s="184" t="n"/>
    </row>
    <row r="54">
      <c r="A54" s="182" t="inlineStr">
        <is>
          <t>T isentropik (K)</t>
        </is>
      </c>
      <c r="B54" s="192" t="inlineStr">
        <is>
          <t>-</t>
        </is>
      </c>
      <c r="C54" s="184" t="n"/>
      <c r="D54" s="193">
        <f>IFERROR(IF($D$54&lt;100,$B$51*($D$53/$B$53)^('Data Termo'!$D$40/29.1),$B$51*($D$53/$B$53)^('Data Termo'!$D$40/((B58*('Data Termo'!$E$17+'Data Termo'!$F$17*(($B$51+$D$54)/2)+'Data Termo'!$G$17*(($B$51+$D$54)/2)^2+'Data Termo'!$H$17*(($B$51+$D$54)/2)^3+'Data Termo'!$I$17*(($B$51+$D$54)/2)^4)+B59*('Data Termo'!$E$18+'Data Termo'!$F$18*(($B$51+$D$54)/2)+'Data Termo'!$G$18*(($B$51+$D$54)/2)^2+'Data Termo'!$H$18*(($B$51+$D$54)/2)^3+'Data Termo'!$I$18*(($B$51+$D$54)/2)^4))/(B58+B59)))),$B$51*($D$53/$B$53)^('Data Termo'!$D$40/29.1))</f>
        <v>485.4831271609324</v>
      </c>
      <c r="E54" s="184" t="n"/>
    </row>
    <row r="55">
      <c r="A55" s="182" t="inlineStr">
        <is>
          <t>Substance</t>
        </is>
      </c>
      <c r="B55" s="182" t="inlineStr">
        <is>
          <t>INLET</t>
        </is>
      </c>
      <c r="C55" s="184" t="n"/>
      <c r="D55" s="182" t="inlineStr">
        <is>
          <t>OUTLET</t>
        </is>
      </c>
      <c r="E55" s="184" t="n"/>
    </row>
    <row r="56">
      <c r="A56" s="185" t="n"/>
      <c r="B56" s="182" t="inlineStr">
        <is>
          <t>Aliran 16</t>
        </is>
      </c>
      <c r="C56" s="184" t="n"/>
      <c r="D56" s="182" t="inlineStr">
        <is>
          <t>Aliran 17</t>
        </is>
      </c>
      <c r="E56" s="184" t="n"/>
    </row>
    <row r="57">
      <c r="A57" s="186" t="n"/>
      <c r="B57" s="182" t="inlineStr">
        <is>
          <t>ṅᵢ (kmol/h)</t>
        </is>
      </c>
      <c r="C57" s="182" t="inlineStr">
        <is>
          <t>Ĥᵢ (kJ/kmol)</t>
        </is>
      </c>
      <c r="D57" s="182" t="inlineStr">
        <is>
          <t>ṅᵢ (kmol/h)</t>
        </is>
      </c>
      <c r="E57" s="182" t="inlineStr">
        <is>
          <t>Ĥᵢ (kJ/kmol)</t>
        </is>
      </c>
    </row>
    <row r="58">
      <c r="A58" s="188" t="inlineStr">
        <is>
          <t>O₂ (g)</t>
        </is>
      </c>
      <c r="B58" s="191">
        <f>M31</f>
        <v>162.59150896502743</v>
      </c>
      <c r="C58" s="195">
        <f>'Data Termo'!$W$17+('Data Termo'!$E$17*($B$51-298.15)+'Data Termo'!$F$17/2*($B$51^2-298.15^2)+'Data Termo'!$G$17/3*($B$51^3-298.15^3)+'Data Termo'!$H$17/4*($B$51^4-298.15^4)+'Data Termo'!$I$17/5*($B$51^5-298.15^5))</f>
        <v>147.3914273715615</v>
      </c>
      <c r="D58" s="191">
        <f>M31</f>
        <v>162.59150896502743</v>
      </c>
      <c r="E58" s="195">
        <f>'Data Termo'!$W$17+('Data Termo'!$E$17*($D$51-298.15)+'Data Termo'!$F$17/2*($D$51^2-298.15^2)+'Data Termo'!$G$17/3*($D$51^3-298.15^3)+'Data Termo'!$H$17/4*($D$51^4-298.15^4)+'Data Termo'!$I$17/5*($D$51^5-298.15^5))</f>
        <v>7510.466662907297</v>
      </c>
    </row>
    <row r="59">
      <c r="A59" s="188" t="inlineStr">
        <is>
          <t>N₂ (g)</t>
        </is>
      </c>
      <c r="B59" s="191">
        <f>M32</f>
        <v>611.6537718208176</v>
      </c>
      <c r="C59" s="195">
        <f>'Data Termo'!$W$18+('Data Termo'!$E$18*($B$51-298.15)+'Data Termo'!$F$18/2*($B$51^2-298.15^2)+'Data Termo'!$G$18/3*($B$51^3-298.15^3)+'Data Termo'!$H$18/4*($B$51^4-298.15^4)+'Data Termo'!$I$18/5*($B$51^5-298.15^5))</f>
        <v>145.36791939601756</v>
      </c>
      <c r="D59" s="191">
        <f>M32</f>
        <v>611.6537718208176</v>
      </c>
      <c r="E59" s="195">
        <f>'Data Termo'!$W$18+('Data Termo'!$E$18*($D$51-298.15)+'Data Termo'!$F$18/2*($D$51^2-298.15^2)+'Data Termo'!$G$18/3*($D$51^3-298.15^3)+'Data Termo'!$H$18/4*($D$51^4-298.15^4)+'Data Termo'!$I$18/5*($D$51^5-298.15^5))</f>
        <v>7248.815923293078</v>
      </c>
    </row>
    <row r="60">
      <c r="A60" s="196" t="inlineStr">
        <is>
          <t>Sub Total ṅᵢĤᵢ (kJ/h)</t>
        </is>
      </c>
      <c r="B60" s="197">
        <f>SUMPRODUCT(B58:B59,C58:C59)</f>
        <v>112879.43078517015</v>
      </c>
      <c r="C60" s="184" t="n"/>
      <c r="D60" s="197">
        <f>SUMPRODUCT(D58:D59,E58:E59)</f>
        <v>5654903.708470645</v>
      </c>
      <c r="E60" s="184" t="n"/>
    </row>
    <row r="61">
      <c r="A61" s="188" t="inlineStr">
        <is>
          <t>Heat of reaction / heat of mixing</t>
        </is>
      </c>
      <c r="B61" s="198" t="inlineStr">
        <is>
          <t>-</t>
        </is>
      </c>
      <c r="C61" s="183" t="n"/>
      <c r="D61" s="183" t="n"/>
      <c r="E61" s="184" t="n"/>
    </row>
    <row r="62">
      <c r="A62" s="196" t="inlineStr">
        <is>
          <t>Q (kJ/h)</t>
        </is>
      </c>
      <c r="B62" s="197" t="n">
        <v>0</v>
      </c>
      <c r="C62" s="183" t="n"/>
      <c r="D62" s="183" t="n"/>
      <c r="E62" s="184" t="n"/>
    </row>
    <row r="63">
      <c r="A63" s="196" t="inlineStr">
        <is>
          <t>W (kJ/h)</t>
        </is>
      </c>
      <c r="B63" s="197">
        <f>(B58+B59)*((B58*('Data Termo'!$E$17+'Data Termo'!$F$17*(($B$51+$D$54)/2)+'Data Termo'!$G$17*(($B$51+$D$54)/2)^2+'Data Termo'!$H$17*(($B$51+$D$54)/2)^3+'Data Termo'!$I$17*(($B$51+$D$54)/2)^4)+B59*('Data Termo'!$E$18+'Data Termo'!$F$18*(($B$51+$D$54)/2)+'Data Termo'!$G$18*(($B$51+$D$54)/2)^2+'Data Termo'!$H$18*(($B$51+$D$54)/2)^3+'Data Termo'!$I$18*(($B$51+$D$54)/2)^4))/(B58+B59))*($D$54-$B$51)/$B$12</f>
        <v>5542024.277685499</v>
      </c>
      <c r="C63" s="183" t="n"/>
      <c r="D63" s="183" t="n"/>
      <c r="E63" s="184" t="n"/>
    </row>
    <row r="64">
      <c r="A64" s="196" t="inlineStr">
        <is>
          <t>TOTAL (kJ/h)</t>
        </is>
      </c>
      <c r="B64" s="197">
        <f>B60+$B$62+$B$63</f>
        <v>5654903.708470669</v>
      </c>
      <c r="C64" s="184" t="n"/>
      <c r="D64" s="197">
        <f>D60</f>
        <v>5654903.708470645</v>
      </c>
      <c r="E64" s="184" t="n"/>
    </row>
    <row r="65">
      <c r="A65" s="188" t="inlineStr">
        <is>
          <t>Selisih masuk − keluar (kJ/h)</t>
        </is>
      </c>
      <c r="B65" s="195">
        <f>B64-D64</f>
        <v>2.3283064365386963e-08</v>
      </c>
      <c r="C65" s="183" t="n"/>
      <c r="D65" s="183" t="n"/>
      <c r="E65" s="184" t="n"/>
    </row>
    <row r="66">
      <c r="A66" s="188" t="inlineStr">
        <is>
          <t>Q (kW)</t>
        </is>
      </c>
      <c r="B66" s="195">
        <f>$B$62/3600</f>
        <v>0.0</v>
      </c>
      <c r="C66" s="183" t="n"/>
      <c r="D66" s="183" t="n"/>
      <c r="E66" s="184" t="n"/>
    </row>
    <row r="67">
      <c r="A67" s="188" t="inlineStr">
        <is>
          <t>W (kW)</t>
        </is>
      </c>
      <c r="B67" s="195">
        <f>$B$63/3600</f>
        <v>1539.451188245972</v>
      </c>
      <c r="C67" s="183" t="n"/>
      <c r="D67" s="183" t="n"/>
      <c r="E67" s="184" t="n"/>
    </row>
    <row r="70">
      <c r="A70" s="172" t="inlineStr">
        <is>
          <t>Neraca Energi V-104: Valve HCl daur ulang</t>
        </is>
      </c>
    </row>
    <row r="71">
      <c r="A71" s="174" t="inlineStr">
        <is>
          <t>Reference state: unsur pada 25 °C dan 1 atm (metode panas pembentukan)</t>
        </is>
      </c>
    </row>
    <row r="72">
      <c r="A72" s="182" t="inlineStr">
        <is>
          <t>No. aliran PFD</t>
        </is>
      </c>
      <c r="B72" s="182" t="n">
        <v>42</v>
      </c>
      <c r="C72" s="184" t="n"/>
      <c r="D72" s="182" t="n">
        <v>43</v>
      </c>
      <c r="E72" s="184" t="n"/>
    </row>
    <row r="73">
      <c r="A73" s="182" t="inlineStr">
        <is>
          <t>Dari</t>
        </is>
      </c>
      <c r="B73" s="192" t="inlineStr">
        <is>
          <t>KD-103</t>
        </is>
      </c>
      <c r="C73" s="184" t="n"/>
      <c r="D73" s="192" t="inlineStr">
        <is>
          <t>V-104</t>
        </is>
      </c>
      <c r="E73" s="184" t="n"/>
    </row>
    <row r="74">
      <c r="A74" s="182" t="inlineStr">
        <is>
          <t>Ke</t>
        </is>
      </c>
      <c r="B74" s="192" t="inlineStr">
        <is>
          <t>V-104</t>
        </is>
      </c>
      <c r="C74" s="184" t="n"/>
      <c r="D74" s="192" t="inlineStr">
        <is>
          <t>E-109</t>
        </is>
      </c>
      <c r="E74" s="184" t="n"/>
    </row>
    <row r="75">
      <c r="A75" s="182" t="inlineStr">
        <is>
          <t>T (K)</t>
        </is>
      </c>
      <c r="B75" s="193">
        <f>'NME-7 Kolom HCl'!$D$74</f>
        <v>244.24999999999997</v>
      </c>
      <c r="C75" s="184" t="n"/>
      <c r="D75" s="192" t="inlineStr">
        <is>
          <t>-</t>
        </is>
      </c>
      <c r="E75" s="184" t="n"/>
    </row>
    <row r="76">
      <c r="A76" s="182" t="inlineStr">
        <is>
          <t>T (°C)</t>
        </is>
      </c>
      <c r="B76" s="193">
        <f>'NME-7 Kolom HCl'!$D$75</f>
        <v>-28.9</v>
      </c>
      <c r="C76" s="184" t="n"/>
      <c r="D76" s="192" t="inlineStr">
        <is>
          <t>-</t>
        </is>
      </c>
      <c r="E76" s="184" t="n"/>
    </row>
    <row r="77">
      <c r="A77" s="182" t="inlineStr">
        <is>
          <t>P (bar abs)</t>
        </is>
      </c>
      <c r="B77" s="194">
        <f>'NME-7 Kolom HCl'!$D$76</f>
        <v>11.0</v>
      </c>
      <c r="C77" s="184" t="n"/>
      <c r="D77" s="194" t="n">
        <v>5.370225</v>
      </c>
      <c r="E77" s="184" t="n"/>
    </row>
    <row r="78">
      <c r="A78" s="182" t="inlineStr">
        <is>
          <t>Substance</t>
        </is>
      </c>
      <c r="B78" s="182" t="inlineStr">
        <is>
          <t>INLET</t>
        </is>
      </c>
      <c r="C78" s="184" t="n"/>
      <c r="D78" s="182" t="inlineStr">
        <is>
          <t>OUTLET</t>
        </is>
      </c>
      <c r="E78" s="184" t="n"/>
    </row>
    <row r="79">
      <c r="A79" s="185" t="n"/>
      <c r="B79" s="182" t="inlineStr">
        <is>
          <t>Aliran 42</t>
        </is>
      </c>
      <c r="C79" s="184" t="n"/>
      <c r="D79" s="182" t="inlineStr">
        <is>
          <t>Aliran 43</t>
        </is>
      </c>
      <c r="E79" s="184" t="n"/>
    </row>
    <row r="80">
      <c r="A80" s="186" t="n"/>
      <c r="B80" s="182" t="inlineStr">
        <is>
          <t>ṅᵢ (kmol/h)</t>
        </is>
      </c>
      <c r="C80" s="182" t="inlineStr">
        <is>
          <t>Ĥᵢ (kJ/kmol)</t>
        </is>
      </c>
      <c r="D80" s="182" t="inlineStr">
        <is>
          <t>ṅᵢ (kmol/h)</t>
        </is>
      </c>
      <c r="E80" s="182" t="inlineStr">
        <is>
          <t>Ĥᵢ (kJ/kmol)</t>
        </is>
      </c>
    </row>
    <row r="81">
      <c r="A81" s="188" t="inlineStr">
        <is>
          <t>Cl₂ (l / l+g)</t>
        </is>
      </c>
      <c r="B81" s="191">
        <f>'NME-7 Kolom HCl'!I19</f>
        <v>3.095018670362267</v>
      </c>
      <c r="C81" s="195">
        <f>'Data Termo'!$X$10+('Data Termo'!$J$10*($B$75-298.15)+'Data Termo'!$K$10/2*($B$75^2-298.15^2)+'Data Termo'!$L$10/3*($B$75^3-298.15^3)+'Data Termo'!$M$10/4*($B$75^4-298.15^4))</f>
        <v>-21044.74570250154</v>
      </c>
      <c r="D81" s="191">
        <f>'NME-7 Kolom HCl'!I19</f>
        <v>3.095018670362267</v>
      </c>
      <c r="E81" s="195">
        <f>C81</f>
        <v>-21044.74570250154</v>
      </c>
    </row>
    <row r="82">
      <c r="A82" s="188" t="inlineStr">
        <is>
          <t>HCl (l / l+g)</t>
        </is>
      </c>
      <c r="B82" s="191">
        <f>'NME-7 Kolom HCl'!I31</f>
        <v>406.4787724125549</v>
      </c>
      <c r="C82" s="195">
        <f>'Data Termo'!$X$22+('Data Termo'!$J$22*($B$75-298.15)+'Data Termo'!$K$22/2*($B$75^2-298.15^2)+'Data Termo'!$L$22/3*($B$75^3-298.15^3)+'Data Termo'!$M$22/4*($B$75^4-298.15^4))</f>
        <v>-102986.04400212948</v>
      </c>
      <c r="D82" s="191">
        <f>'NME-7 Kolom HCl'!I31</f>
        <v>406.4787724125549</v>
      </c>
      <c r="E82" s="195">
        <f>C82</f>
        <v>-102986.04400212948</v>
      </c>
    </row>
    <row r="83">
      <c r="A83" s="188" t="inlineStr">
        <is>
          <t>VCM (l / l+g)</t>
        </is>
      </c>
      <c r="B83" s="191">
        <f>'NME-7 Kolom HCl'!I34</f>
        <v>0.0409614752558173</v>
      </c>
      <c r="C83" s="195">
        <f>'Data Termo'!$X$25+('Data Termo'!$J$25*($B$75-298.15)+'Data Termo'!$K$25/2*($B$75^2-298.15^2)+'Data Termo'!$L$25/3*($B$75^3-298.15^3)+'Data Termo'!$M$25/4*($B$75^4-298.15^4))</f>
        <v>3828.0505842374987</v>
      </c>
      <c r="D83" s="191">
        <f>'NME-7 Kolom HCl'!I34</f>
        <v>0.0409614752558173</v>
      </c>
      <c r="E83" s="195">
        <f>C83</f>
        <v>3828.0505842374987</v>
      </c>
    </row>
    <row r="84">
      <c r="A84" s="196" t="inlineStr">
        <is>
          <t>Sub Total ṅᵢĤᵢ (kJ/h)</t>
        </is>
      </c>
      <c r="B84" s="197">
        <f>SUMPRODUCT(B81:B83,C81:C83)</f>
        <v>-41926617.81987394</v>
      </c>
      <c r="C84" s="184" t="n"/>
      <c r="D84" s="197">
        <f>SUMPRODUCT(D81:D83,E81:E83)</f>
        <v>-41926617.81987394</v>
      </c>
      <c r="E84" s="184" t="n"/>
    </row>
    <row r="85">
      <c r="A85" s="188" t="inlineStr">
        <is>
          <t>Heat of reaction / heat of mixing</t>
        </is>
      </c>
      <c r="B85" s="198" t="inlineStr">
        <is>
          <t>-</t>
        </is>
      </c>
      <c r="C85" s="183" t="n"/>
      <c r="D85" s="183" t="n"/>
      <c r="E85" s="184" t="n"/>
    </row>
    <row r="86">
      <c r="A86" s="196" t="inlineStr">
        <is>
          <t>Q (kJ/h)</t>
        </is>
      </c>
      <c r="B86" s="197" t="n">
        <v>0</v>
      </c>
      <c r="C86" s="183" t="n"/>
      <c r="D86" s="183" t="n"/>
      <c r="E86" s="184" t="n"/>
    </row>
    <row r="87">
      <c r="A87" s="196" t="inlineStr">
        <is>
          <t>W (kJ/h)</t>
        </is>
      </c>
      <c r="B87" s="197" t="n">
        <v>0</v>
      </c>
      <c r="C87" s="183" t="n"/>
      <c r="D87" s="183" t="n"/>
      <c r="E87" s="184" t="n"/>
    </row>
    <row r="88">
      <c r="A88" s="196" t="inlineStr">
        <is>
          <t>TOTAL (kJ/h)</t>
        </is>
      </c>
      <c r="B88" s="197">
        <f>B84+$B$86+$B$87</f>
        <v>-41926617.81987394</v>
      </c>
      <c r="C88" s="184" t="n"/>
      <c r="D88" s="197">
        <f>D84</f>
        <v>-41926617.81987394</v>
      </c>
      <c r="E88" s="184" t="n"/>
    </row>
    <row r="89">
      <c r="A89" s="188" t="inlineStr">
        <is>
          <t>Selisih masuk − keluar (kJ/h)</t>
        </is>
      </c>
      <c r="B89" s="195">
        <f>B88-D88</f>
        <v>0.0</v>
      </c>
      <c r="C89" s="183" t="n"/>
      <c r="D89" s="183" t="n"/>
      <c r="E89" s="184" t="n"/>
    </row>
    <row r="90">
      <c r="A90" s="188" t="inlineStr">
        <is>
          <t>Q (kW)</t>
        </is>
      </c>
      <c r="B90" s="195">
        <f>$B$86/3600</f>
        <v>0.0</v>
      </c>
      <c r="C90" s="183" t="n"/>
      <c r="D90" s="183" t="n"/>
      <c r="E90" s="184" t="n"/>
    </row>
    <row r="91">
      <c r="A91" s="188" t="inlineStr">
        <is>
          <t>W (kW)</t>
        </is>
      </c>
      <c r="B91" s="195">
        <f>$B$87/3600</f>
        <v>0.0</v>
      </c>
      <c r="C91" s="183" t="n"/>
      <c r="D91" s="183" t="n"/>
      <c r="E91" s="184" t="n"/>
    </row>
    <row r="94">
      <c r="A94" s="172" t="inlineStr">
        <is>
          <t>Neraca Energi E-109: Vaporizer HCl</t>
        </is>
      </c>
    </row>
    <row r="95">
      <c r="A95" s="174" t="inlineStr">
        <is>
          <t>Reference state: unsur pada 25 °C dan 1 atm (metode panas pembentukan)</t>
        </is>
      </c>
    </row>
    <row r="96">
      <c r="A96" s="182" t="inlineStr">
        <is>
          <t>No. aliran PFD</t>
        </is>
      </c>
      <c r="B96" s="182" t="n">
        <v>43</v>
      </c>
      <c r="C96" s="184" t="n"/>
      <c r="D96" s="182" t="n">
        <v>44</v>
      </c>
      <c r="E96" s="184" t="n"/>
    </row>
    <row r="97">
      <c r="A97" s="182" t="inlineStr">
        <is>
          <t>Dari</t>
        </is>
      </c>
      <c r="B97" s="192" t="inlineStr">
        <is>
          <t>V-104</t>
        </is>
      </c>
      <c r="C97" s="184" t="n"/>
      <c r="D97" s="192" t="inlineStr">
        <is>
          <t>E-109</t>
        </is>
      </c>
      <c r="E97" s="184" t="n"/>
    </row>
    <row r="98">
      <c r="A98" s="182" t="inlineStr">
        <is>
          <t>Ke</t>
        </is>
      </c>
      <c r="B98" s="192" t="inlineStr">
        <is>
          <t>E-109</t>
        </is>
      </c>
      <c r="C98" s="184" t="n"/>
      <c r="D98" s="192" t="inlineStr">
        <is>
          <t>R-02</t>
        </is>
      </c>
      <c r="E98" s="184" t="n"/>
    </row>
    <row r="99">
      <c r="A99" s="182" t="inlineStr">
        <is>
          <t>T (K)</t>
        </is>
      </c>
      <c r="B99" s="193" t="str">
        <f>$D$75</f>
        <v>-</v>
      </c>
      <c r="C99" s="184" t="n"/>
      <c r="D99" s="193">
        <f>1/(1/'Data Termo'!$D$38-'Data Termo'!$D$40*LN(D101/1.01325)/('Data Termo'!$Q$22*1000*MAX(0,1-'Data Termo'!$D$38/'Data Termo'!$R$22)^'Data Termo'!$S$22))+$B$13</f>
        <v>232.25673543807167</v>
      </c>
      <c r="E99" s="184" t="n"/>
    </row>
    <row r="100">
      <c r="A100" s="182" t="inlineStr">
        <is>
          <t>T (°C)</t>
        </is>
      </c>
      <c r="B100" s="193" t="str">
        <f>$D$76</f>
        <v>-</v>
      </c>
      <c r="C100" s="184" t="n"/>
      <c r="D100" s="193">
        <f>IF(ISNUMBER(D99),D99-273.15,"-")</f>
        <v>-40.893264561928305</v>
      </c>
      <c r="E100" s="184" t="n"/>
    </row>
    <row r="101">
      <c r="A101" s="182" t="inlineStr">
        <is>
          <t>P (bar abs)</t>
        </is>
      </c>
      <c r="B101" s="194">
        <f>$D$77</f>
        <v>5.370225</v>
      </c>
      <c r="C101" s="184" t="n"/>
      <c r="D101" s="194" t="n">
        <v>5.370225</v>
      </c>
      <c r="E101" s="184" t="n"/>
    </row>
    <row r="102">
      <c r="A102" s="182" t="inlineStr">
        <is>
          <t>Substance</t>
        </is>
      </c>
      <c r="B102" s="182" t="inlineStr">
        <is>
          <t>INLET</t>
        </is>
      </c>
      <c r="C102" s="184" t="n"/>
      <c r="D102" s="182" t="inlineStr">
        <is>
          <t>OUTLET</t>
        </is>
      </c>
      <c r="E102" s="184" t="n"/>
    </row>
    <row r="103">
      <c r="A103" s="185" t="n"/>
      <c r="B103" s="182" t="inlineStr">
        <is>
          <t>Aliran 43</t>
        </is>
      </c>
      <c r="C103" s="184" t="n"/>
      <c r="D103" s="182" t="inlineStr">
        <is>
          <t>Aliran 44</t>
        </is>
      </c>
      <c r="E103" s="184" t="n"/>
    </row>
    <row r="104">
      <c r="A104" s="186" t="n"/>
      <c r="B104" s="182" t="inlineStr">
        <is>
          <t>ṅᵢ (kmol/h)</t>
        </is>
      </c>
      <c r="C104" s="182" t="inlineStr">
        <is>
          <t>Ĥᵢ (kJ/kmol)</t>
        </is>
      </c>
      <c r="D104" s="182" t="inlineStr">
        <is>
          <t>ṅᵢ (kmol/h)</t>
        </is>
      </c>
      <c r="E104" s="182" t="inlineStr">
        <is>
          <t>Ĥᵢ (kJ/kmol)</t>
        </is>
      </c>
    </row>
    <row r="105">
      <c r="A105" s="188" t="inlineStr">
        <is>
          <t>Cl₂ (l+g / g)</t>
        </is>
      </c>
      <c r="B105" s="191">
        <f>'NME-7 Kolom HCl'!I19</f>
        <v>3.095018670362267</v>
      </c>
      <c r="C105" s="195">
        <f>'NME-7 Kolom HCl'!$E$80</f>
        <v>-21044.74570250154</v>
      </c>
      <c r="D105" s="191">
        <f>I24</f>
        <v>3.095018670362267</v>
      </c>
      <c r="E105" s="195">
        <f>'Data Termo'!$W$10+('Data Termo'!$E$10*($D$99-298.15)+'Data Termo'!$F$10/2*($D$99^2-298.15^2)+'Data Termo'!$G$10/3*($D$99^3-298.15^3)+'Data Termo'!$H$10/4*($D$99^4-298.15^4)+'Data Termo'!$I$10/5*($D$99^5-298.15^5))</f>
        <v>-2188.494975324743</v>
      </c>
    </row>
    <row r="106">
      <c r="A106" s="188" t="inlineStr">
        <is>
          <t>HCl (l+g / g)</t>
        </is>
      </c>
      <c r="B106" s="191">
        <f>'NME-7 Kolom HCl'!I31</f>
        <v>406.4787724125549</v>
      </c>
      <c r="C106" s="195">
        <f>'NME-7 Kolom HCl'!$E$84</f>
        <v>-102986.04400212948</v>
      </c>
      <c r="D106" s="191">
        <f>I36</f>
        <v>406.4787724125601</v>
      </c>
      <c r="E106" s="195">
        <f>'Data Termo'!$W$22+('Data Termo'!$E$22*($D$99-298.15)+'Data Termo'!$F$22/2*($D$99^2-298.15^2)+'Data Termo'!$G$22/3*($D$99^3-298.15^3)+'Data Termo'!$H$22/4*($D$99^4-298.15^4)+'Data Termo'!$I$22/5*($D$99^5-298.15^5))</f>
        <v>-94215.52067047972</v>
      </c>
    </row>
    <row r="107">
      <c r="A107" s="188" t="inlineStr">
        <is>
          <t>VCM (l+g / g)</t>
        </is>
      </c>
      <c r="B107" s="191">
        <f>'NME-7 Kolom HCl'!I34</f>
        <v>0.0409614752558173</v>
      </c>
      <c r="C107" s="195">
        <f>'NME-7 Kolom HCl'!$E$85</f>
        <v>3828.0505842374987</v>
      </c>
      <c r="D107" s="191">
        <f>I39</f>
        <v>0.0409614752558173</v>
      </c>
      <c r="E107" s="195">
        <f>'Data Termo'!$W$25+('Data Termo'!$E$25*($D$99-298.15)+'Data Termo'!$F$25/2*($D$99^2-298.15^2)+'Data Termo'!$G$25/3*($D$99^3-298.15^3)+'Data Termo'!$H$25/4*($D$99^4-298.15^4)+'Data Termo'!$I$25/5*($D$99^5-298.15^5))</f>
        <v>25073.222272896743</v>
      </c>
    </row>
    <row r="108">
      <c r="A108" s="196" t="inlineStr">
        <is>
          <t>Sub Total ṅᵢĤᵢ (kJ/h)</t>
        </is>
      </c>
      <c r="B108" s="197">
        <f>SUMPRODUCT(B105:B107,C105:C107)</f>
        <v>-41926617.81987394</v>
      </c>
      <c r="C108" s="184" t="n"/>
      <c r="D108" s="197">
        <f>SUMPRODUCT(D105:D107,E105:E107)</f>
        <v>-38302355.58098168</v>
      </c>
      <c r="E108" s="184" t="n"/>
    </row>
    <row r="109">
      <c r="A109" s="188" t="inlineStr">
        <is>
          <t>Heat of reaction / heat of mixing</t>
        </is>
      </c>
      <c r="B109" s="198" t="inlineStr">
        <is>
          <t>-</t>
        </is>
      </c>
      <c r="C109" s="183" t="n"/>
      <c r="D109" s="183" t="n"/>
      <c r="E109" s="184" t="n"/>
    </row>
    <row r="110">
      <c r="A110" s="196" t="inlineStr">
        <is>
          <t>Q (kJ/h)</t>
        </is>
      </c>
      <c r="B110" s="197">
        <f>(D108)-(B108)</f>
        <v>3624262.238892257</v>
      </c>
      <c r="C110" s="183" t="n"/>
      <c r="D110" s="183" t="n"/>
      <c r="E110" s="184" t="n"/>
    </row>
    <row r="111">
      <c r="A111" s="196" t="inlineStr">
        <is>
          <t>W (kJ/h)</t>
        </is>
      </c>
      <c r="B111" s="197" t="n">
        <v>0</v>
      </c>
      <c r="C111" s="183" t="n"/>
      <c r="D111" s="183" t="n"/>
      <c r="E111" s="184" t="n"/>
    </row>
    <row r="112">
      <c r="A112" s="196" t="inlineStr">
        <is>
          <t>TOTAL (kJ/h)</t>
        </is>
      </c>
      <c r="B112" s="197">
        <f>B108+$B$110+$B$111</f>
        <v>-38302355.58098168</v>
      </c>
      <c r="C112" s="184" t="n"/>
      <c r="D112" s="197">
        <f>D108</f>
        <v>-38302355.58098168</v>
      </c>
      <c r="E112" s="184" t="n"/>
    </row>
    <row r="113">
      <c r="A113" s="188" t="inlineStr">
        <is>
          <t>Selisih masuk − keluar (kJ/h)</t>
        </is>
      </c>
      <c r="B113" s="195">
        <f>B112-D112</f>
        <v>0.0</v>
      </c>
      <c r="C113" s="183" t="n"/>
      <c r="D113" s="183" t="n"/>
      <c r="E113" s="184" t="n"/>
    </row>
    <row r="114">
      <c r="A114" s="188" t="inlineStr">
        <is>
          <t>Q (kW)</t>
        </is>
      </c>
      <c r="B114" s="195">
        <f>$B$110/3600</f>
        <v>1006.7395108034048</v>
      </c>
      <c r="C114" s="183" t="n"/>
      <c r="D114" s="183" t="n"/>
      <c r="E114" s="184" t="n"/>
    </row>
    <row r="115">
      <c r="A115" s="188" t="inlineStr">
        <is>
          <t>W (kW)</t>
        </is>
      </c>
      <c r="B115" s="195">
        <f>$B$111/3600</f>
        <v>0.0</v>
      </c>
      <c r="C115" s="183" t="n"/>
      <c r="D115" s="183" t="n"/>
      <c r="E115" s="184" t="n"/>
    </row>
    <row r="118">
      <c r="A118" s="172" t="inlineStr">
        <is>
          <t>Neraca Energi R-02: Reaktor oksiklorinasi</t>
        </is>
      </c>
    </row>
    <row r="119">
      <c r="A119" s="174" t="inlineStr">
        <is>
          <t>Reference state: unsur pada 25 °C dan 1 atm (metode panas pembentukan)</t>
        </is>
      </c>
    </row>
    <row r="120">
      <c r="A120" s="182" t="inlineStr">
        <is>
          <t>No. aliran PFD</t>
        </is>
      </c>
      <c r="B120" s="182" t="n">
        <v>9</v>
      </c>
      <c r="C120" s="184" t="n"/>
      <c r="D120" s="182" t="n">
        <v>17</v>
      </c>
      <c r="E120" s="184" t="n"/>
      <c r="F120" s="182" t="n">
        <v>44</v>
      </c>
      <c r="G120" s="184" t="n"/>
      <c r="H120" s="182" t="n">
        <v>18</v>
      </c>
      <c r="I120" s="184" t="n"/>
    </row>
    <row r="121">
      <c r="A121" s="182" t="inlineStr">
        <is>
          <t>Dari</t>
        </is>
      </c>
      <c r="B121" s="192" t="inlineStr">
        <is>
          <t>E-102</t>
        </is>
      </c>
      <c r="C121" s="184" t="n"/>
      <c r="D121" s="192" t="inlineStr">
        <is>
          <t>K-101</t>
        </is>
      </c>
      <c r="E121" s="184" t="n"/>
      <c r="F121" s="192" t="inlineStr">
        <is>
          <t>E-109</t>
        </is>
      </c>
      <c r="G121" s="184" t="n"/>
      <c r="H121" s="192" t="inlineStr">
        <is>
          <t>R-02</t>
        </is>
      </c>
      <c r="I121" s="184" t="n"/>
    </row>
    <row r="122">
      <c r="A122" s="182" t="inlineStr">
        <is>
          <t>Ke</t>
        </is>
      </c>
      <c r="B122" s="192" t="inlineStr">
        <is>
          <t>R-02</t>
        </is>
      </c>
      <c r="C122" s="184" t="n"/>
      <c r="D122" s="192" t="inlineStr">
        <is>
          <t>R-02</t>
        </is>
      </c>
      <c r="E122" s="184" t="n"/>
      <c r="F122" s="192" t="inlineStr">
        <is>
          <t>R-02</t>
        </is>
      </c>
      <c r="G122" s="184" t="n"/>
      <c r="H122" s="192" t="inlineStr">
        <is>
          <t>Q-201</t>
        </is>
      </c>
      <c r="I122" s="184" t="n"/>
    </row>
    <row r="123">
      <c r="A123" s="182" t="inlineStr">
        <is>
          <t>T (K)</t>
        </is>
      </c>
      <c r="B123" s="193">
        <f>'NME-1 Klorinasi Langsung'!$F$166</f>
        <v>303.15</v>
      </c>
      <c r="C123" s="184" t="n"/>
      <c r="D123" s="193">
        <f>$D$51</f>
        <v>545.1214721407605</v>
      </c>
      <c r="E123" s="184" t="n"/>
      <c r="F123" s="193">
        <f>$D$99</f>
        <v>232.25673543807167</v>
      </c>
      <c r="G123" s="184" t="n"/>
      <c r="H123" s="193">
        <f>H124+273.15</f>
        <v>498.15</v>
      </c>
      <c r="I123" s="184" t="n"/>
    </row>
    <row r="124">
      <c r="A124" s="182" t="inlineStr">
        <is>
          <t>T (°C)</t>
        </is>
      </c>
      <c r="B124" s="193">
        <f>'NME-1 Klorinasi Langsung'!$F$167</f>
        <v>30.0</v>
      </c>
      <c r="C124" s="184" t="n"/>
      <c r="D124" s="193">
        <f>$D$52</f>
        <v>271.9714721407605</v>
      </c>
      <c r="E124" s="184" t="n"/>
      <c r="F124" s="193">
        <f>$D$100</f>
        <v>-40.893264561928305</v>
      </c>
      <c r="G124" s="184" t="n"/>
      <c r="H124" s="193" t="n">
        <v>225</v>
      </c>
      <c r="I124" s="184" t="n"/>
    </row>
    <row r="125">
      <c r="A125" s="182" t="inlineStr">
        <is>
          <t>P (bar abs)</t>
        </is>
      </c>
      <c r="B125" s="194">
        <f>'NME-1 Klorinasi Langsung'!$F$168</f>
        <v>5.370225</v>
      </c>
      <c r="C125" s="184" t="n"/>
      <c r="D125" s="194">
        <f>$D$53</f>
        <v>5.370225</v>
      </c>
      <c r="E125" s="184" t="n"/>
      <c r="F125" s="194">
        <f>$D$101</f>
        <v>5.370225</v>
      </c>
      <c r="G125" s="184" t="n"/>
      <c r="H125" s="194" t="n">
        <v>5.370225</v>
      </c>
      <c r="I125" s="184" t="n"/>
    </row>
    <row r="126">
      <c r="A126" s="182" t="inlineStr">
        <is>
          <t>Substance</t>
        </is>
      </c>
      <c r="B126" s="182" t="inlineStr">
        <is>
          <t>INLET</t>
        </is>
      </c>
      <c r="C126" s="183" t="n"/>
      <c r="D126" s="183" t="n"/>
      <c r="E126" s="183" t="n"/>
      <c r="F126" s="183" t="n"/>
      <c r="G126" s="184" t="n"/>
      <c r="H126" s="182" t="inlineStr">
        <is>
          <t>OUTLET</t>
        </is>
      </c>
      <c r="I126" s="184" t="n"/>
    </row>
    <row r="127">
      <c r="A127" s="185" t="n"/>
      <c r="B127" s="182" t="inlineStr">
        <is>
          <t>Aliran 9</t>
        </is>
      </c>
      <c r="C127" s="184" t="n"/>
      <c r="D127" s="182" t="inlineStr">
        <is>
          <t>Aliran 17</t>
        </is>
      </c>
      <c r="E127" s="184" t="n"/>
      <c r="F127" s="182" t="inlineStr">
        <is>
          <t>Aliran 44</t>
        </is>
      </c>
      <c r="G127" s="184" t="n"/>
      <c r="H127" s="182" t="inlineStr">
        <is>
          <t>Aliran 18</t>
        </is>
      </c>
      <c r="I127" s="184" t="n"/>
    </row>
    <row r="128">
      <c r="A128" s="186" t="n"/>
      <c r="B128" s="182" t="inlineStr">
        <is>
          <t>ṅᵢ (kmol/h)</t>
        </is>
      </c>
      <c r="C128" s="182" t="inlineStr">
        <is>
          <t>Ĥᵢ (kJ/kmol)</t>
        </is>
      </c>
      <c r="D128" s="182" t="inlineStr">
        <is>
          <t>ṅᵢ (kmol/h)</t>
        </is>
      </c>
      <c r="E128" s="182" t="inlineStr">
        <is>
          <t>Ĥᵢ (kJ/kmol)</t>
        </is>
      </c>
      <c r="F128" s="182" t="inlineStr">
        <is>
          <t>ṅᵢ (kmol/h)</t>
        </is>
      </c>
      <c r="G128" s="182" t="inlineStr">
        <is>
          <t>Ĥᵢ (kJ/kmol)</t>
        </is>
      </c>
      <c r="H128" s="182" t="inlineStr">
        <is>
          <t>ṅᵢ (kmol/h)</t>
        </is>
      </c>
      <c r="I128" s="182" t="inlineStr">
        <is>
          <t>Ĥᵢ (kJ/kmol)</t>
        </is>
      </c>
    </row>
    <row r="129">
      <c r="A129" s="188" t="inlineStr">
        <is>
          <t>C₂H₄ (g)</t>
        </is>
      </c>
      <c r="B129" s="191">
        <f>E20</f>
        <v>203.23938620628428</v>
      </c>
      <c r="C129" s="195">
        <f>'Data Termo'!$W$6+('Data Termo'!$E$6*($B$123-298.15)+'Data Termo'!$F$6/2*($B$123^2-298.15^2)+'Data Termo'!$G$6/3*($B$123^3-298.15^3)+'Data Termo'!$H$6/4*($B$123^4-298.15^4)+'Data Termo'!$I$6/5*($B$123^5-298.15^5))</f>
        <v>52520.58368938839</v>
      </c>
      <c r="D129" s="191">
        <f>M20</f>
        <v>0.0</v>
      </c>
      <c r="E129" s="195">
        <f>'Data Termo'!$W$6+('Data Termo'!$E$6*($D$123-298.15)+'Data Termo'!$F$6/2*($D$123^2-298.15^2)+'Data Termo'!$G$6/3*($D$123^3-298.15^3)+'Data Termo'!$H$6/4*($D$123^4-298.15^4)+'Data Termo'!$I$6/5*($D$123^5-298.15^5))</f>
        <v>65715.5325708288</v>
      </c>
      <c r="F129" s="191">
        <f>I20</f>
        <v>0.0</v>
      </c>
      <c r="G129" s="195">
        <f>'Data Termo'!$W$6+('Data Termo'!$E$6*($F$123-298.15)+'Data Termo'!$F$6/2*($F$123^2-298.15^2)+'Data Termo'!$G$6/3*($F$123^3-298.15^3)+'Data Termo'!$H$6/4*($F$123^4-298.15^4)+'Data Termo'!$I$6/5*($F$123^5-298.15^5))</f>
        <v>49564.73995774854</v>
      </c>
      <c r="H129" s="191">
        <f>Q20</f>
        <v>1.0161969310314223</v>
      </c>
      <c r="I129" s="195">
        <f>'Data Termo'!$W$6+('Data Termo'!$E$6*($H$123-298.15)+'Data Termo'!$F$6/2*($H$123^2-298.15^2)+'Data Termo'!$G$6/3*($H$123^3-298.15^3)+'Data Termo'!$H$6/4*($H$123^4-298.15^4)+'Data Termo'!$I$6/5*($H$123^5-298.15^5))</f>
        <v>62752.70875441137</v>
      </c>
    </row>
    <row r="130">
      <c r="A130" s="188" t="inlineStr">
        <is>
          <t>CH₄ (g)</t>
        </is>
      </c>
      <c r="B130" s="191">
        <f>E21</f>
        <v>0.08228861356962411</v>
      </c>
      <c r="C130" s="195">
        <f>'Data Termo'!$W$7+('Data Termo'!$E$7*($B$123-298.15)+'Data Termo'!$F$7/2*($B$123^2-298.15^2)+'Data Termo'!$G$7/3*($B$123^3-298.15^3)+'Data Termo'!$H$7/4*($B$123^4-298.15^4)+'Data Termo'!$I$7/5*($B$123^5-298.15^5))</f>
        <v>-74667.83936216985</v>
      </c>
      <c r="D130" s="191">
        <f>M21</f>
        <v>0.0</v>
      </c>
      <c r="E130" s="195">
        <f>'Data Termo'!$W$7+('Data Termo'!$E$7*($D$123-298.15)+'Data Termo'!$F$7/2*($D$123^2-298.15^2)+'Data Termo'!$G$7/3*($D$123^3-298.15^3)+'Data Termo'!$H$7/4*($D$123^4-298.15^4)+'Data Termo'!$I$7/5*($D$123^5-298.15^5))</f>
        <v>-64433.32040171122</v>
      </c>
      <c r="F130" s="191">
        <f>I21</f>
        <v>0.0</v>
      </c>
      <c r="G130" s="195">
        <f>'Data Termo'!$W$7+('Data Termo'!$E$7*($F$123-298.15)+'Data Termo'!$F$7/2*($F$123^2-298.15^2)+'Data Termo'!$G$7/3*($F$123^3-298.15^3)+'Data Termo'!$H$7/4*($F$123^4-298.15^4)+'Data Termo'!$I$7/5*($F$123^5-298.15^5))</f>
        <v>-77170.06285321359</v>
      </c>
      <c r="H130" s="191">
        <f>Q21</f>
        <v>0.08228861356962411</v>
      </c>
      <c r="I130" s="195">
        <f>'Data Termo'!$W$7+('Data Termo'!$E$7*($H$123-298.15)+'Data Termo'!$F$7/2*($H$123^2-298.15^2)+'Data Termo'!$G$7/3*($H$123^3-298.15^3)+'Data Termo'!$H$7/4*($H$123^4-298.15^4)+'Data Termo'!$I$7/5*($H$123^5-298.15^5))</f>
        <v>-66664.1297923399</v>
      </c>
    </row>
    <row r="131">
      <c r="A131" s="188" t="inlineStr">
        <is>
          <t>C₂H₆ (g)</t>
        </is>
      </c>
      <c r="B131" s="191">
        <f>E22</f>
        <v>0.00239582171861632</v>
      </c>
      <c r="C131" s="195">
        <f>'Data Termo'!$W$8+('Data Termo'!$E$8*($B$123-298.15)+'Data Termo'!$F$8/2*($B$123^2-298.15^2)+'Data Termo'!$G$8/3*($B$123^3-298.15^3)+'Data Termo'!$H$8/4*($B$123^4-298.15^4)+'Data Termo'!$I$8/5*($B$123^5-298.15^5))</f>
        <v>-84412.08005455934</v>
      </c>
      <c r="D131" s="191">
        <f>M22</f>
        <v>0.0</v>
      </c>
      <c r="E131" s="195">
        <f>'Data Termo'!$W$8+('Data Termo'!$E$8*($D$123-298.15)+'Data Termo'!$F$8/2*($D$123^2-298.15^2)+'Data Termo'!$G$8/3*($D$123^3-298.15^3)+'Data Termo'!$H$8/4*($D$123^4-298.15^4)+'Data Termo'!$I$8/5*($D$123^5-298.15^5))</f>
        <v>-67995.3411190505</v>
      </c>
      <c r="F131" s="191">
        <f>I22</f>
        <v>0.0</v>
      </c>
      <c r="G131" s="195">
        <f>'Data Termo'!$W$8+('Data Termo'!$E$8*($F$123-298.15)+'Data Termo'!$F$8/2*($F$123^2-298.15^2)+'Data Termo'!$G$8/3*($F$123^3-298.15^3)+'Data Termo'!$H$8/4*($F$123^4-298.15^4)+'Data Termo'!$I$8/5*($F$123^5-298.15^5))</f>
        <v>-87956.2103141434</v>
      </c>
      <c r="H131" s="191">
        <f>Q22</f>
        <v>0.00239582171861632</v>
      </c>
      <c r="I131" s="195">
        <f>'Data Termo'!$W$8+('Data Termo'!$E$8*($H$123-298.15)+'Data Termo'!$F$8/2*($H$123^2-298.15^2)+'Data Termo'!$G$8/3*($H$123^3-298.15^3)+'Data Termo'!$H$8/4*($H$123^4-298.15^4)+'Data Termo'!$I$8/5*($H$123^5-298.15^5))</f>
        <v>-71716.581758155</v>
      </c>
    </row>
    <row r="132">
      <c r="A132" s="188" t="inlineStr">
        <is>
          <t>C₂H₂ (g)</t>
        </is>
      </c>
      <c r="B132" s="191">
        <f>E23</f>
        <v>0.0010597077334245327</v>
      </c>
      <c r="C132" s="195">
        <f>'Data Termo'!$W$9+('Data Termo'!$E$9*($B$123-298.15)+'Data Termo'!$F$9/2*($B$123^2-298.15^2)+'Data Termo'!$G$9/3*($B$123^3-298.15^3)+'Data Termo'!$H$9/4*($B$123^4-298.15^4)+'Data Termo'!$I$9/5*($B$123^5-298.15^5))</f>
        <v>226953.1899656809</v>
      </c>
      <c r="D132" s="191">
        <f>M23</f>
        <v>0.0</v>
      </c>
      <c r="E132" s="195">
        <f>'Data Termo'!$W$9+('Data Termo'!$E$9*($D$123-298.15)+'Data Termo'!$F$9/2*($D$123^2-298.15^2)+'Data Termo'!$G$9/3*($D$123^3-298.15^3)+'Data Termo'!$H$9/4*($D$123^4-298.15^4)+'Data Termo'!$I$9/5*($D$123^5-298.15^5))</f>
        <v>239220.84656189376</v>
      </c>
      <c r="F132" s="191">
        <f>I23</f>
        <v>0.0</v>
      </c>
      <c r="G132" s="195">
        <f>'Data Termo'!$W$9+('Data Termo'!$E$9*($F$123-298.15)+'Data Termo'!$F$9/2*($F$123^2-298.15^2)+'Data Termo'!$G$9/3*($F$123^3-298.15^3)+'Data Termo'!$H$9/4*($F$123^4-298.15^4)+'Data Termo'!$I$9/5*($F$123^5-298.15^5))</f>
        <v>223933.01992547335</v>
      </c>
      <c r="H132" s="191">
        <f>Q23</f>
        <v>0.0010597077334245327</v>
      </c>
      <c r="I132" s="195">
        <f>'Data Termo'!$W$9+('Data Termo'!$E$9*($H$123-298.15)+'Data Termo'!$F$9/2*($H$123^2-298.15^2)+'Data Termo'!$G$9/3*($H$123^3-298.15^3)+'Data Termo'!$H$9/4*($H$123^4-298.15^4)+'Data Termo'!$I$9/5*($H$123^5-298.15^5))</f>
        <v>236646.15314114728</v>
      </c>
    </row>
    <row r="133">
      <c r="A133" s="188" t="inlineStr">
        <is>
          <t>Cl₂ (g)</t>
        </is>
      </c>
      <c r="B133" s="191">
        <f>E24</f>
        <v>0.0</v>
      </c>
      <c r="C133" s="195">
        <f>'Data Termo'!$W$10+('Data Termo'!$E$10*($B$123-298.15)+'Data Termo'!$F$10/2*($B$123^2-298.15^2)+'Data Termo'!$G$10/3*($B$123^3-298.15^3)+'Data Termo'!$H$10/4*($B$123^4-298.15^4)+'Data Termo'!$I$10/5*($B$123^5-298.15^5))</f>
        <v>168.78709752922617</v>
      </c>
      <c r="D133" s="191">
        <f>M24</f>
        <v>0.0</v>
      </c>
      <c r="E133" s="195">
        <f>'Data Termo'!$W$10+('Data Termo'!$E$10*($D$123-298.15)+'Data Termo'!$F$10/2*($D$123^2-298.15^2)+'Data Termo'!$G$10/3*($D$123^3-298.15^3)+'Data Termo'!$H$10/4*($D$123^4-298.15^4)+'Data Termo'!$I$10/5*($D$123^5-298.15^5))</f>
        <v>8678.974352097366</v>
      </c>
      <c r="F133" s="191">
        <f>I24</f>
        <v>3.095018670362267</v>
      </c>
      <c r="G133" s="195">
        <f>'Data Termo'!$W$10+('Data Termo'!$E$10*($F$123-298.15)+'Data Termo'!$F$10/2*($F$123^2-298.15^2)+'Data Termo'!$G$10/3*($F$123^3-298.15^3)+'Data Termo'!$H$10/4*($F$123^4-298.15^4)+'Data Termo'!$I$10/5*($F$123^5-298.15^5))</f>
        <v>-2188.494975324743</v>
      </c>
      <c r="H133" s="191">
        <f>Q24</f>
        <v>3.095018670362267</v>
      </c>
      <c r="I133" s="195">
        <f>'Data Termo'!$W$10+('Data Termo'!$E$10*($H$123-298.15)+'Data Termo'!$F$10/2*($H$123^2-298.15^2)+'Data Termo'!$G$10/3*($H$123^3-298.15^3)+'Data Termo'!$H$10/4*($H$123^4-298.15^4)+'Data Termo'!$I$10/5*($H$123^5-298.15^5))</f>
        <v>6984.624893208501</v>
      </c>
    </row>
    <row r="134">
      <c r="A134" s="188" t="inlineStr">
        <is>
          <t>H₂O (g)</t>
        </is>
      </c>
      <c r="B134" s="191">
        <f>E26</f>
        <v>0.0</v>
      </c>
      <c r="C134" s="195">
        <f>'Data Termo'!$W$12+('Data Termo'!$E$12*($B$123-298.15)+'Data Termo'!$F$12/2*($B$123^2-298.15^2)+'Data Termo'!$G$12/3*($B$123^3-298.15^3)+'Data Termo'!$H$12/4*($B$123^4-298.15^4)+'Data Termo'!$I$12/5*($B$123^5-298.15^5))</f>
        <v>-241631.74518270756</v>
      </c>
      <c r="D134" s="191">
        <f>M26</f>
        <v>0.0</v>
      </c>
      <c r="E134" s="195">
        <f>'Data Termo'!$W$12+('Data Termo'!$E$12*($D$123-298.15)+'Data Termo'!$F$12/2*($D$123^2-298.15^2)+'Data Termo'!$G$12/3*($D$123^3-298.15^3)+'Data Termo'!$H$12/4*($D$123^4-298.15^4)+'Data Termo'!$I$12/5*($D$123^5-298.15^5))</f>
        <v>-233270.04286702225</v>
      </c>
      <c r="F134" s="191">
        <f>I26</f>
        <v>0.0</v>
      </c>
      <c r="G134" s="195">
        <f>'Data Termo'!$W$12+('Data Termo'!$E$12*($F$123-298.15)+'Data Termo'!$F$12/2*($F$123^2-298.15^2)+'Data Termo'!$G$12/3*($F$123^3-298.15^3)+'Data Termo'!$H$12/4*($F$123^4-298.15^4)+'Data Termo'!$I$12/5*($F$123^5-298.15^5))</f>
        <v>-244007.14603046086</v>
      </c>
      <c r="H134" s="191">
        <f>Q26</f>
        <v>201.61347111664787</v>
      </c>
      <c r="I134" s="195">
        <f>'Data Termo'!$W$12+('Data Termo'!$E$12*($H$123-298.15)+'Data Termo'!$F$12/2*($H$123^2-298.15^2)+'Data Termo'!$G$12/3*($H$123^3-298.15^3)+'Data Termo'!$H$12/4*($H$123^4-298.15^4)+'Data Termo'!$I$12/5*($H$123^5-298.15^5))</f>
        <v>-234933.95891247338</v>
      </c>
    </row>
    <row r="135">
      <c r="A135" s="188" t="inlineStr">
        <is>
          <t>O₂ (g)</t>
        </is>
      </c>
      <c r="B135" s="191">
        <f>E31</f>
        <v>0.0</v>
      </c>
      <c r="C135" s="195">
        <f>'Data Termo'!$W$17+('Data Termo'!$E$17*($B$123-298.15)+'Data Termo'!$F$17/2*($B$123^2-298.15^2)+'Data Termo'!$G$17/3*($B$123^3-298.15^3)+'Data Termo'!$H$17/4*($B$123^4-298.15^4)+'Data Termo'!$I$17/5*($B$123^5-298.15^5))</f>
        <v>147.3914273715615</v>
      </c>
      <c r="D135" s="191">
        <f>M31</f>
        <v>162.59150896502743</v>
      </c>
      <c r="E135" s="195">
        <f>'Data Termo'!$W$17+('Data Termo'!$E$17*($D$123-298.15)+'Data Termo'!$F$17/2*($D$123^2-298.15^2)+'Data Termo'!$G$17/3*($D$123^3-298.15^3)+'Data Termo'!$H$17/4*($D$123^4-298.15^4)+'Data Termo'!$I$17/5*($D$123^5-298.15^5))</f>
        <v>7510.466662907297</v>
      </c>
      <c r="F135" s="191">
        <f>I31</f>
        <v>0.0</v>
      </c>
      <c r="G135" s="195">
        <f>'Data Termo'!$W$17+('Data Termo'!$E$17*($F$123-298.15)+'Data Termo'!$F$17/2*($F$123^2-298.15^2)+'Data Termo'!$G$17/3*($F$123^3-298.15^3)+'Data Termo'!$H$17/4*($F$123^4-298.15^4)+'Data Termo'!$I$17/5*($F$123^5-298.15^5))</f>
        <v>-1929.6949154714864</v>
      </c>
      <c r="H135" s="191">
        <f>Q31</f>
        <v>59.75237954463306</v>
      </c>
      <c r="I135" s="195">
        <f>'Data Termo'!$W$17+('Data Termo'!$E$17*($H$123-298.15)+'Data Termo'!$F$17/2*($H$123^2-298.15^2)+'Data Termo'!$G$17/3*($H$123^3-298.15^3)+'Data Termo'!$H$17/4*($H$123^4-298.15^4)+'Data Termo'!$I$17/5*($H$123^5-298.15^5))</f>
        <v>6041.620866904568</v>
      </c>
    </row>
    <row r="136">
      <c r="A136" s="188" t="inlineStr">
        <is>
          <t>N₂ (g)</t>
        </is>
      </c>
      <c r="B136" s="191">
        <f>E32</f>
        <v>0.0</v>
      </c>
      <c r="C136" s="195">
        <f>'Data Termo'!$W$18+('Data Termo'!$E$18*($B$123-298.15)+'Data Termo'!$F$18/2*($B$123^2-298.15^2)+'Data Termo'!$G$18/3*($B$123^3-298.15^3)+'Data Termo'!$H$18/4*($B$123^4-298.15^4)+'Data Termo'!$I$18/5*($B$123^5-298.15^5))</f>
        <v>145.36791939601756</v>
      </c>
      <c r="D136" s="191">
        <f>M32</f>
        <v>611.6537718208176</v>
      </c>
      <c r="E136" s="195">
        <f>'Data Termo'!$W$18+('Data Termo'!$E$18*($D$123-298.15)+'Data Termo'!$F$18/2*($D$123^2-298.15^2)+'Data Termo'!$G$18/3*($D$123^3-298.15^3)+'Data Termo'!$H$18/4*($D$123^4-298.15^4)+'Data Termo'!$I$18/5*($D$123^5-298.15^5))</f>
        <v>7248.815923293078</v>
      </c>
      <c r="F136" s="191">
        <f>I32</f>
        <v>0.0</v>
      </c>
      <c r="G136" s="195">
        <f>'Data Termo'!$W$18+('Data Termo'!$E$18*($F$123-298.15)+'Data Termo'!$F$18/2*($F$123^2-298.15^2)+'Data Termo'!$G$18/3*($F$123^3-298.15^3)+'Data Termo'!$H$18/4*($F$123^4-298.15^4)+'Data Termo'!$I$18/5*($F$123^5-298.15^5))</f>
        <v>-1913.230129370808</v>
      </c>
      <c r="H136" s="191">
        <f>Q32</f>
        <v>611.6537718208176</v>
      </c>
      <c r="I136" s="195">
        <f>'Data Termo'!$W$18+('Data Termo'!$E$18*($H$123-298.15)+'Data Termo'!$F$18/2*($H$123^2-298.15^2)+'Data Termo'!$G$18/3*($H$123^3-298.15^3)+'Data Termo'!$H$18/4*($H$123^4-298.15^4)+'Data Termo'!$I$18/5*($H$123^5-298.15^5))</f>
        <v>5856.3327122126875</v>
      </c>
    </row>
    <row r="137">
      <c r="A137" s="188" t="inlineStr">
        <is>
          <t>CO₂ (g)</t>
        </is>
      </c>
      <c r="B137" s="191">
        <f>E33</f>
        <v>0.0</v>
      </c>
      <c r="C137" s="195">
        <f>'Data Termo'!$W$19+('Data Termo'!$E$19*($B$123-298.15)+'Data Termo'!$F$19/2*($B$123^2-298.15^2)+'Data Termo'!$G$19/3*($B$123^3-298.15^3)+'Data Termo'!$H$19/4*($B$123^4-298.15^4)+'Data Termo'!$I$19/5*($B$123^5-298.15^5))</f>
        <v>-393307.51218819985</v>
      </c>
      <c r="D137" s="191">
        <f>M33</f>
        <v>0.0</v>
      </c>
      <c r="E137" s="195">
        <f>'Data Termo'!$W$19+('Data Termo'!$E$19*($D$123-298.15)+'Data Termo'!$F$19/2*($D$123^2-298.15^2)+'Data Termo'!$G$19/3*($D$123^3-298.15^3)+'Data Termo'!$H$19/4*($D$123^4-298.15^4)+'Data Termo'!$I$19/5*($D$123^5-298.15^5))</f>
        <v>-383123.0225057124</v>
      </c>
      <c r="F137" s="191">
        <f>I33</f>
        <v>0.0</v>
      </c>
      <c r="G137" s="195">
        <f>'Data Termo'!$W$19+('Data Termo'!$E$19*($F$123-298.15)+'Data Termo'!$F$19/2*($F$123^2-298.15^2)+'Data Termo'!$G$19/3*($F$123^3-298.15^3)+'Data Termo'!$H$19/4*($F$123^4-298.15^4)+'Data Termo'!$I$19/5*($F$123^5-298.15^5))</f>
        <v>-395961.16773364384</v>
      </c>
      <c r="H137" s="191">
        <f>Q33</f>
        <v>2.0323938620725244</v>
      </c>
      <c r="I137" s="195">
        <f>'Data Termo'!$W$19+('Data Termo'!$E$19*($H$123-298.15)+'Data Termo'!$F$19/2*($H$123^2-298.15^2)+'Data Termo'!$G$19/3*($H$123^3-298.15^3)+'Data Termo'!$H$19/4*($H$123^4-298.15^4)+'Data Termo'!$I$19/5*($H$123^5-298.15^5))</f>
        <v>-385224.1351426729</v>
      </c>
    </row>
    <row r="138">
      <c r="A138" s="188" t="inlineStr">
        <is>
          <t>EDC (g)</t>
        </is>
      </c>
      <c r="B138" s="191">
        <f>E34</f>
        <v>0.0</v>
      </c>
      <c r="C138" s="195">
        <f>'Data Termo'!$W$20+('Data Termo'!$E$20*($B$123-298.15)+'Data Termo'!$F$20/2*($B$123^2-298.15^2)+'Data Termo'!$G$20/3*($B$123^3-298.15^3)+'Data Termo'!$H$20/4*($B$123^4-298.15^4)+'Data Termo'!$I$20/5*($B$123^5-298.15^5))</f>
        <v>-129302.49889402867</v>
      </c>
      <c r="D138" s="191">
        <f>M34</f>
        <v>0.0</v>
      </c>
      <c r="E138" s="195">
        <f>'Data Termo'!$W$20+('Data Termo'!$E$20*($D$123-298.15)+'Data Termo'!$F$20/2*($D$123^2-298.15^2)+'Data Termo'!$G$20/3*($D$123^3-298.15^3)+'Data Termo'!$H$20/4*($D$123^4-298.15^4)+'Data Termo'!$I$20/5*($D$123^5-298.15^5))</f>
        <v>-106379.60913062075</v>
      </c>
      <c r="F138" s="191">
        <f>I34</f>
        <v>0.0</v>
      </c>
      <c r="G138" s="195">
        <f>'Data Termo'!$W$20+('Data Termo'!$E$20*($F$123-298.15)+'Data Termo'!$F$20/2*($F$123^2-298.15^2)+'Data Termo'!$G$20/3*($F$123^3-298.15^3)+'Data Termo'!$H$20/4*($F$123^4-298.15^4)+'Data Termo'!$I$20/5*($F$123^5-298.15^5))</f>
        <v>-134626.26527991693</v>
      </c>
      <c r="H138" s="191">
        <f>Q34</f>
        <v>199.58107725457117</v>
      </c>
      <c r="I138" s="195">
        <f>'Data Termo'!$W$20+('Data Termo'!$E$20*($H$123-298.15)+'Data Termo'!$F$20/2*($H$123^2-298.15^2)+'Data Termo'!$G$20/3*($H$123^3-298.15^3)+'Data Termo'!$H$20/4*($H$123^4-298.15^4)+'Data Termo'!$I$20/5*($H$123^5-298.15^5))</f>
        <v>-111359.87320254392</v>
      </c>
    </row>
    <row r="139">
      <c r="A139" s="188" t="inlineStr">
        <is>
          <t>HCl (g)</t>
        </is>
      </c>
      <c r="B139" s="191">
        <f>E36</f>
        <v>0.0</v>
      </c>
      <c r="C139" s="195">
        <f>'Data Termo'!$W$22+('Data Termo'!$E$22*($B$123-298.15)+'Data Termo'!$F$22/2*($B$123^2-298.15^2)+'Data Termo'!$G$22/3*($B$123^3-298.15^3)+'Data Termo'!$H$22/4*($B$123^4-298.15^4)+'Data Termo'!$I$22/5*($B$123^5-298.15^5))</f>
        <v>-92154.59665199295</v>
      </c>
      <c r="D139" s="191">
        <f>M36</f>
        <v>0.0</v>
      </c>
      <c r="E139" s="195">
        <f>'Data Termo'!$W$22+('Data Termo'!$E$22*($D$123-298.15)+'Data Termo'!$F$22/2*($D$123^2-298.15^2)+'Data Termo'!$G$22/3*($D$123^3-298.15^3)+'Data Termo'!$H$22/4*($D$123^4-298.15^4)+'Data Termo'!$I$22/5*($D$123^5-298.15^5))</f>
        <v>-85081.30974496856</v>
      </c>
      <c r="F139" s="191">
        <f>I36</f>
        <v>406.4787724125601</v>
      </c>
      <c r="G139" s="195">
        <f>'Data Termo'!$W$22+('Data Termo'!$E$22*($F$123-298.15)+'Data Termo'!$F$22/2*($F$123^2-298.15^2)+'Data Termo'!$G$22/3*($F$123^3-298.15^3)+'Data Termo'!$H$22/4*($F$123^4-298.15^4)+'Data Termo'!$I$22/5*($F$123^5-298.15^5))</f>
        <v>-94215.52067047972</v>
      </c>
      <c r="H139" s="191">
        <f>Q36</f>
        <v>5.690702813775847</v>
      </c>
      <c r="I139" s="195">
        <f>'Data Termo'!$W$22+('Data Termo'!$E$22*($H$123-298.15)+'Data Termo'!$F$22/2*($H$123^2-298.15^2)+'Data Termo'!$G$22/3*($H$123^3-298.15^3)+'Data Termo'!$H$22/4*($H$123^4-298.15^4)+'Data Termo'!$I$22/5*($H$123^5-298.15^5))</f>
        <v>-86462.84126718517</v>
      </c>
    </row>
    <row r="140">
      <c r="A140" s="188" t="inlineStr">
        <is>
          <t>C₂H₅Cl (g)</t>
        </is>
      </c>
      <c r="B140" s="191">
        <f>E38</f>
        <v>0.0</v>
      </c>
      <c r="C140" s="195">
        <f>'Data Termo'!$W$24+('Data Termo'!$E$24*($B$123-298.15)+'Data Termo'!$F$24/2*($B$123^2-298.15^2)+'Data Termo'!$G$24/3*($B$123^3-298.15^3)+'Data Termo'!$H$24/4*($B$123^4-298.15^4)+'Data Termo'!$I$24/5*($B$123^5-298.15^5))</f>
        <v>-111387.96737729217</v>
      </c>
      <c r="D140" s="191">
        <f>M38</f>
        <v>0.0</v>
      </c>
      <c r="E140" s="195">
        <f>'Data Termo'!$W$24+('Data Termo'!$E$24*($D$123-298.15)+'Data Termo'!$F$24/2*($D$123^2-298.15^2)+'Data Termo'!$G$24/3*($D$123^3-298.15^3)+'Data Termo'!$H$24/4*($D$123^4-298.15^4)+'Data Termo'!$I$24/5*($D$123^5-298.15^5))</f>
        <v>-92158.6346861832</v>
      </c>
      <c r="F140" s="191">
        <f>I38</f>
        <v>0.0</v>
      </c>
      <c r="G140" s="195">
        <f>'Data Termo'!$W$24+('Data Termo'!$E$24*($F$123-298.15)+'Data Termo'!$F$24/2*($F$123^2-298.15^2)+'Data Termo'!$G$24/3*($F$123^3-298.15^3)+'Data Termo'!$H$24/4*($F$123^4-298.15^4)+'Data Termo'!$I$24/5*($F$123^5-298.15^5))</f>
        <v>-115677.7924876663</v>
      </c>
      <c r="H140" s="191">
        <f>Q38</f>
        <v>1.6259150896419214</v>
      </c>
      <c r="I140" s="195">
        <f>'Data Termo'!$W$24+('Data Termo'!$E$24*($H$123-298.15)+'Data Termo'!$F$24/2*($H$123^2-298.15^2)+'Data Termo'!$G$24/3*($H$123^3-298.15^3)+'Data Termo'!$H$24/4*($H$123^4-298.15^4)+'Data Termo'!$I$24/5*($H$123^5-298.15^5))</f>
        <v>-96445.91146210281</v>
      </c>
    </row>
    <row r="141">
      <c r="A141" s="188" t="inlineStr">
        <is>
          <t>VCM (g)</t>
        </is>
      </c>
      <c r="B141" s="191">
        <f>E39</f>
        <v>0.0</v>
      </c>
      <c r="C141" s="195">
        <f>'Data Termo'!$W$25+('Data Termo'!$E$25*($B$123-298.15)+'Data Termo'!$F$25/2*($B$123^2-298.15^2)+'Data Termo'!$G$25/3*($B$123^3-298.15^3)+'Data Termo'!$H$25/4*($B$123^4-298.15^4)+'Data Termo'!$I$25/5*($B$123^5-298.15^5))</f>
        <v>28725.683001653084</v>
      </c>
      <c r="D141" s="191">
        <f>M39</f>
        <v>0.0</v>
      </c>
      <c r="E141" s="195">
        <f>'Data Termo'!$W$25+('Data Termo'!$E$25*($D$123-298.15)+'Data Termo'!$F$25/2*($D$123^2-298.15^2)+'Data Termo'!$G$25/3*($D$123^3-298.15^3)+'Data Termo'!$H$25/4*($D$123^4-298.15^4)+'Data Termo'!$I$25/5*($D$123^5-298.15^5))</f>
        <v>44956.02174781934</v>
      </c>
      <c r="F141" s="191">
        <f>I39</f>
        <v>0.0409614752558173</v>
      </c>
      <c r="G141" s="195">
        <f>'Data Termo'!$W$25+('Data Termo'!$E$25*($F$123-298.15)+'Data Termo'!$F$25/2*($F$123^2-298.15^2)+'Data Termo'!$G$25/3*($F$123^3-298.15^3)+'Data Termo'!$H$25/4*($F$123^4-298.15^4)+'Data Termo'!$I$25/5*($F$123^5-298.15^5))</f>
        <v>25073.222272896743</v>
      </c>
      <c r="H141" s="191">
        <f>Q39</f>
        <v>0.0409614752558173</v>
      </c>
      <c r="I141" s="195">
        <f>'Data Termo'!$W$25+('Data Termo'!$E$25*($H$123-298.15)+'Data Termo'!$F$25/2*($H$123^2-298.15^2)+'Data Termo'!$G$25/3*($H$123^3-298.15^3)+'Data Termo'!$H$25/4*($H$123^4-298.15^4)+'Data Termo'!$I$25/5*($H$123^5-298.15^5))</f>
        <v>41400.03981990923</v>
      </c>
    </row>
    <row r="142">
      <c r="A142" s="188" t="inlineStr">
        <is>
          <t>Koreksi gas nyata (kJ/h)</t>
        </is>
      </c>
      <c r="B142" s="195">
        <f>SUM(B129:B141)*('Data Termo'!$D$40*'Data Termo'!$D$30*($B$125/'Data Termo'!$D$31)*((0.083-0.422/($B$123/'Data Termo'!$D$30)^1.6)-($B$123/'Data Termo'!$D$30)*0.675/($B$123/'Data Termo'!$D$30)^2.6+'Data Termo'!$D$32*((0.139-0.172/($B$123/'Data Termo'!$D$30)^4.2)-($B$123/'Data Termo'!$D$30)*0.722/($B$123/'Data Termo'!$D$30)^5.2)))</f>
        <v>-47918.88553558222</v>
      </c>
      <c r="C142" s="184" t="n"/>
      <c r="D142" s="195" t="n">
        <v>0</v>
      </c>
      <c r="E142" s="184" t="n"/>
      <c r="F142" s="195" t="n">
        <v>0</v>
      </c>
      <c r="G142" s="184" t="n"/>
      <c r="H142" s="195" t="n">
        <v>0</v>
      </c>
      <c r="I142" s="184" t="n"/>
    </row>
    <row r="143">
      <c r="A143" s="196" t="inlineStr">
        <is>
          <t>Sub Total ṅᵢĤᵢ (kJ/h)</t>
        </is>
      </c>
      <c r="B143" s="197">
        <f>SUMPRODUCT(B129:B141,C129:C141)+B142</f>
        <v>10620226.26146797</v>
      </c>
      <c r="C143" s="184" t="n"/>
      <c r="D143" s="197">
        <f>SUMPRODUCT(D129:D141,E129:E141)+D142</f>
        <v>5654903.708470645</v>
      </c>
      <c r="E143" s="184" t="n"/>
      <c r="F143" s="197">
        <f>SUMPRODUCT(F129:F141,G129:G141)+F142</f>
        <v>-38302355.58098168</v>
      </c>
      <c r="G143" s="184" t="n"/>
      <c r="H143" s="197">
        <f>SUMPRODUCT(H129:H141,I129:I141)+H142</f>
        <v>-66998223.82729641</v>
      </c>
      <c r="I143" s="184" t="n"/>
    </row>
    <row r="144">
      <c r="A144" s="188" t="inlineStr">
        <is>
          <t>Heat of reaction / heat of mixing</t>
        </is>
      </c>
      <c r="B144" s="198" t="inlineStr">
        <is>
          <t>Sudah termasuk dalam Ĥᵢ (metode panas pembentukan)</t>
        </is>
      </c>
      <c r="C144" s="183" t="n"/>
      <c r="D144" s="183" t="n"/>
      <c r="E144" s="183" t="n"/>
      <c r="F144" s="183" t="n"/>
      <c r="G144" s="183" t="n"/>
      <c r="H144" s="183" t="n"/>
      <c r="I144" s="184" t="n"/>
    </row>
    <row r="145">
      <c r="A145" s="196" t="inlineStr">
        <is>
          <t>Q (kJ/h)</t>
        </is>
      </c>
      <c r="B145" s="197">
        <f>(H143)-(B143+D143+F143)</f>
        <v>-44970998.216253355</v>
      </c>
      <c r="C145" s="183" t="n"/>
      <c r="D145" s="183" t="n"/>
      <c r="E145" s="183" t="n"/>
      <c r="F145" s="183" t="n"/>
      <c r="G145" s="183" t="n"/>
      <c r="H145" s="183" t="n"/>
      <c r="I145" s="184" t="n"/>
    </row>
    <row r="146">
      <c r="A146" s="196" t="inlineStr">
        <is>
          <t>W (kJ/h)</t>
        </is>
      </c>
      <c r="B146" s="197" t="n">
        <v>0</v>
      </c>
      <c r="C146" s="183" t="n"/>
      <c r="D146" s="183" t="n"/>
      <c r="E146" s="183" t="n"/>
      <c r="F146" s="183" t="n"/>
      <c r="G146" s="183" t="n"/>
      <c r="H146" s="183" t="n"/>
      <c r="I146" s="184" t="n"/>
    </row>
    <row r="147">
      <c r="A147" s="196" t="inlineStr">
        <is>
          <t>TOTAL (kJ/h)</t>
        </is>
      </c>
      <c r="B147" s="197">
        <f>B143+D143+F143+$B$145+$B$146</f>
        <v>-66998223.82729642</v>
      </c>
      <c r="C147" s="183" t="n"/>
      <c r="D147" s="183" t="n"/>
      <c r="E147" s="183" t="n"/>
      <c r="F147" s="183" t="n"/>
      <c r="G147" s="184" t="n"/>
      <c r="H147" s="197">
        <f>H143</f>
        <v>-66998223.82729641</v>
      </c>
      <c r="I147" s="184" t="n"/>
    </row>
    <row r="148">
      <c r="A148" s="188" t="inlineStr">
        <is>
          <t>Selisih masuk − keluar (kJ/h)</t>
        </is>
      </c>
      <c r="B148" s="195">
        <f>B147-H147</f>
        <v>-7.450580596923828e-09</v>
      </c>
      <c r="C148" s="183" t="n"/>
      <c r="D148" s="183" t="n"/>
      <c r="E148" s="183" t="n"/>
      <c r="F148" s="183" t="n"/>
      <c r="G148" s="183" t="n"/>
      <c r="H148" s="183" t="n"/>
      <c r="I148" s="184" t="n"/>
    </row>
    <row r="149">
      <c r="A149" s="188" t="inlineStr">
        <is>
          <t>Q (kW)</t>
        </is>
      </c>
      <c r="B149" s="195">
        <f>$B$145/3600</f>
        <v>-12491.943948959266</v>
      </c>
      <c r="C149" s="183" t="n"/>
      <c r="D149" s="183" t="n"/>
      <c r="E149" s="183" t="n"/>
      <c r="F149" s="183" t="n"/>
      <c r="G149" s="183" t="n"/>
      <c r="H149" s="183" t="n"/>
      <c r="I149" s="184" t="n"/>
    </row>
    <row r="150">
      <c r="A150" s="188" t="inlineStr">
        <is>
          <t>W (kW)</t>
        </is>
      </c>
      <c r="B150" s="195">
        <f>$B$146/3600</f>
        <v>0.0</v>
      </c>
      <c r="C150" s="183" t="n"/>
      <c r="D150" s="183" t="n"/>
      <c r="E150" s="183" t="n"/>
      <c r="F150" s="183" t="n"/>
      <c r="G150" s="183" t="n"/>
      <c r="H150" s="183" t="n"/>
      <c r="I150" s="184" t="n"/>
    </row>
  </sheetData>
  <mergeCells count="150">
    <mergeCell ref="D60:E60"/>
    <mergeCell ref="B100:C100"/>
    <mergeCell ref="B144:I144"/>
    <mergeCell ref="B42:M42"/>
    <mergeCell ref="B65:E65"/>
    <mergeCell ref="D100:E100"/>
    <mergeCell ref="C7:L7"/>
    <mergeCell ref="D84:E84"/>
    <mergeCell ref="B102:C102"/>
    <mergeCell ref="F143:G143"/>
    <mergeCell ref="B147:G147"/>
    <mergeCell ref="J18:M18"/>
    <mergeCell ref="H143:I143"/>
    <mergeCell ref="B77:C77"/>
    <mergeCell ref="B110:E110"/>
    <mergeCell ref="D77:E77"/>
    <mergeCell ref="D108:E108"/>
    <mergeCell ref="B113:E113"/>
    <mergeCell ref="B91:E91"/>
    <mergeCell ref="F142:G142"/>
    <mergeCell ref="H142:I142"/>
    <mergeCell ref="B145:I145"/>
    <mergeCell ref="B101:C101"/>
    <mergeCell ref="B109:E109"/>
    <mergeCell ref="D48:E48"/>
    <mergeCell ref="B115:E115"/>
    <mergeCell ref="F122:G122"/>
    <mergeCell ref="B78:C78"/>
    <mergeCell ref="D125:E125"/>
    <mergeCell ref="D72:E72"/>
    <mergeCell ref="D78:E78"/>
    <mergeCell ref="B112:C112"/>
    <mergeCell ref="F125:G125"/>
    <mergeCell ref="D112:E112"/>
    <mergeCell ref="B86:E86"/>
    <mergeCell ref="F121:G121"/>
    <mergeCell ref="B127:C127"/>
    <mergeCell ref="D56:E56"/>
    <mergeCell ref="B146:I146"/>
    <mergeCell ref="D127:E127"/>
    <mergeCell ref="B49:C49"/>
    <mergeCell ref="B55:C55"/>
    <mergeCell ref="B64:C64"/>
    <mergeCell ref="D64:E64"/>
    <mergeCell ref="B51:C51"/>
    <mergeCell ref="D73:E73"/>
    <mergeCell ref="D98:E98"/>
    <mergeCell ref="D51:E51"/>
    <mergeCell ref="F120:G120"/>
    <mergeCell ref="H120:I120"/>
    <mergeCell ref="B87:E87"/>
    <mergeCell ref="C12:L12"/>
    <mergeCell ref="D88:E88"/>
    <mergeCell ref="D99:E99"/>
    <mergeCell ref="B150:I150"/>
    <mergeCell ref="B17:M17"/>
    <mergeCell ref="B114:E114"/>
    <mergeCell ref="C13:L13"/>
    <mergeCell ref="B63:E63"/>
    <mergeCell ref="D101:E101"/>
    <mergeCell ref="D124:E124"/>
    <mergeCell ref="D76:E76"/>
    <mergeCell ref="B90:E90"/>
    <mergeCell ref="C15:L15"/>
    <mergeCell ref="B53:C53"/>
    <mergeCell ref="D75:E75"/>
    <mergeCell ref="B66:E66"/>
    <mergeCell ref="D53:E53"/>
    <mergeCell ref="B18:E18"/>
    <mergeCell ref="B103:C103"/>
    <mergeCell ref="D103:E103"/>
    <mergeCell ref="B43:Q43"/>
    <mergeCell ref="B84:C84"/>
    <mergeCell ref="C10:L10"/>
    <mergeCell ref="N42:Q42"/>
    <mergeCell ref="B67:E67"/>
    <mergeCell ref="B61:E61"/>
    <mergeCell ref="B142:C142"/>
    <mergeCell ref="C9:L9"/>
    <mergeCell ref="D142:E142"/>
    <mergeCell ref="A55:A57"/>
    <mergeCell ref="A126:A128"/>
    <mergeCell ref="B79:C79"/>
    <mergeCell ref="D79:E79"/>
    <mergeCell ref="C11:L11"/>
    <mergeCell ref="B97:C97"/>
    <mergeCell ref="B54:C54"/>
    <mergeCell ref="B125:C125"/>
    <mergeCell ref="B72:C72"/>
    <mergeCell ref="H147:I147"/>
    <mergeCell ref="A17:A19"/>
    <mergeCell ref="B121:C121"/>
    <mergeCell ref="H122:I122"/>
    <mergeCell ref="B122:C122"/>
    <mergeCell ref="B56:C56"/>
    <mergeCell ref="B96:C96"/>
    <mergeCell ref="B89:E89"/>
    <mergeCell ref="D96:E96"/>
    <mergeCell ref="F124:G124"/>
    <mergeCell ref="B149:I149"/>
    <mergeCell ref="A102:A104"/>
    <mergeCell ref="B52:C52"/>
    <mergeCell ref="H121:I121"/>
    <mergeCell ref="D52:E52"/>
    <mergeCell ref="B120:C120"/>
    <mergeCell ref="D49:E49"/>
    <mergeCell ref="B98:C98"/>
    <mergeCell ref="D120:E120"/>
    <mergeCell ref="B60:C60"/>
    <mergeCell ref="H123:I123"/>
    <mergeCell ref="C6:L6"/>
    <mergeCell ref="B88:C88"/>
    <mergeCell ref="B99:C99"/>
    <mergeCell ref="B108:C108"/>
    <mergeCell ref="D102:E102"/>
    <mergeCell ref="N18:Q18"/>
    <mergeCell ref="B143:C143"/>
    <mergeCell ref="F18:I18"/>
    <mergeCell ref="D143:E143"/>
    <mergeCell ref="D55:E55"/>
    <mergeCell ref="B124:C124"/>
    <mergeCell ref="N17:Q17"/>
    <mergeCell ref="B76:C76"/>
    <mergeCell ref="B5:L5"/>
    <mergeCell ref="D54:E54"/>
    <mergeCell ref="B75:C75"/>
    <mergeCell ref="H125:I125"/>
    <mergeCell ref="C8:L8"/>
    <mergeCell ref="F127:G127"/>
    <mergeCell ref="H127:I127"/>
    <mergeCell ref="B85:E85"/>
    <mergeCell ref="B48:C48"/>
    <mergeCell ref="B62:E62"/>
    <mergeCell ref="D97:E97"/>
    <mergeCell ref="B148:I148"/>
    <mergeCell ref="B73:C73"/>
    <mergeCell ref="D122:E122"/>
    <mergeCell ref="B126:G126"/>
    <mergeCell ref="B111:E111"/>
    <mergeCell ref="B74:C74"/>
    <mergeCell ref="A78:A80"/>
    <mergeCell ref="D121:E121"/>
    <mergeCell ref="D74:E74"/>
    <mergeCell ref="H124:I124"/>
    <mergeCell ref="B123:C123"/>
    <mergeCell ref="D123:E123"/>
    <mergeCell ref="B50:C50"/>
    <mergeCell ref="F123:G123"/>
    <mergeCell ref="D50:E50"/>
    <mergeCell ref="H126:I1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U105"/>
  <sheetViews>
    <sheetView tabSelected="0" zoomScale="85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3">
      <c r="A3" s="172" t="inlineStr">
        <is>
          <t>Neraca Massa dan Energi</t>
        </is>
      </c>
    </row>
    <row r="4">
      <c r="A4" s="172" t="inlineStr">
        <is>
          <t>NM Blok 3: Kondensasi &amp; Dekantasi EDC Kasar</t>
        </is>
      </c>
    </row>
    <row r="5">
      <c r="A5" s="173" t="inlineStr">
        <is>
          <t>Tujuan:</t>
        </is>
      </c>
      <c r="B5" s="174" t="inlineStr">
        <is>
          <t>Mengembunkan produk R-02 bersama EDC R-01, lalu memisahkan gas, air asam, dan EDC basah</t>
        </is>
      </c>
    </row>
    <row r="6">
      <c r="A6" s="173" t="inlineStr">
        <is>
          <t>Unjuk Kerja</t>
        </is>
      </c>
      <c r="B6" s="176">
        <f>3/1000000</f>
        <v>3e-06</v>
      </c>
      <c r="C6" s="174" t="inlineStr">
        <is>
          <t>Kadar FeCl₃ dalam EDC setelah kontak dengan air asam (fraksi berat)</t>
        </is>
      </c>
    </row>
    <row r="7">
      <c r="B7" s="202">
        <f>2.4/1000</f>
        <v>0.0024</v>
      </c>
      <c r="C7" s="174" t="inlineStr">
        <is>
          <t>EDC terbawa gas vent (kg/kg EDC R-01 + R-02)</t>
        </is>
      </c>
    </row>
    <row r="8">
      <c r="B8" s="202" t="n">
        <v>0.002</v>
      </c>
      <c r="C8" s="174" t="inlineStr">
        <is>
          <t>Kadar air dalam fase EDC keluar dekanter (fraksi berat)</t>
        </is>
      </c>
    </row>
    <row r="9">
      <c r="B9" s="202" t="n">
        <v>0.0008</v>
      </c>
      <c r="C9" s="174" t="inlineStr">
        <is>
          <t>Kadar EDC dalam fase air asam (fraksi berat)</t>
        </is>
      </c>
    </row>
    <row r="10">
      <c r="B10" s="201" t="n">
        <v>0.75</v>
      </c>
      <c r="C10" s="174" t="inlineStr">
        <is>
          <t>Efisiensi pompa P-101</t>
        </is>
      </c>
    </row>
    <row r="12">
      <c r="A12" s="173" t="inlineStr">
        <is>
          <t>Basis Perhitungan</t>
        </is>
      </c>
      <c r="B12" s="181">
        <f>'NME-1 Klorinasi Langsung'!$B$16</f>
        <v>6100.572183061604</v>
      </c>
      <c r="C12" s="174" t="inlineStr">
        <is>
          <t>kg/h aliran etilena ke R-01 (NME-1)</t>
        </is>
      </c>
    </row>
    <row r="14">
      <c r="A14" s="182" t="inlineStr">
        <is>
          <t>Substance</t>
        </is>
      </c>
      <c r="B14" s="182" t="inlineStr">
        <is>
          <t>Inlet</t>
        </is>
      </c>
      <c r="C14" s="183" t="n"/>
      <c r="D14" s="183" t="n"/>
      <c r="E14" s="183" t="n"/>
      <c r="F14" s="183" t="n"/>
      <c r="G14" s="183" t="n"/>
      <c r="H14" s="183" t="n"/>
      <c r="I14" s="184" t="n"/>
      <c r="J14" s="182" t="inlineStr">
        <is>
          <t>Outlet</t>
        </is>
      </c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T14" s="183" t="n"/>
      <c r="U14" s="184" t="n"/>
    </row>
    <row r="15">
      <c r="A15" s="185" t="n"/>
      <c r="B15" s="182" t="inlineStr">
        <is>
          <t>Aliran 15</t>
        </is>
      </c>
      <c r="C15" s="183" t="n"/>
      <c r="D15" s="183" t="n"/>
      <c r="E15" s="184" t="n"/>
      <c r="F15" s="182" t="inlineStr">
        <is>
          <t>Aliran 18</t>
        </is>
      </c>
      <c r="G15" s="183" t="n"/>
      <c r="H15" s="183" t="n"/>
      <c r="I15" s="184" t="n"/>
      <c r="J15" s="182" t="inlineStr">
        <is>
          <t>Aliran 25</t>
        </is>
      </c>
      <c r="K15" s="183" t="n"/>
      <c r="L15" s="183" t="n"/>
      <c r="M15" s="184" t="n"/>
      <c r="N15" s="182" t="inlineStr">
        <is>
          <t>Aliran 28</t>
        </is>
      </c>
      <c r="O15" s="183" t="n"/>
      <c r="P15" s="183" t="n"/>
      <c r="Q15" s="184" t="n"/>
      <c r="R15" s="182" t="inlineStr">
        <is>
          <t>Aliran 29</t>
        </is>
      </c>
      <c r="S15" s="183" t="n"/>
      <c r="T15" s="183" t="n"/>
      <c r="U15" s="184" t="n"/>
    </row>
    <row r="16">
      <c r="A16" s="186" t="n"/>
      <c r="B16" s="187" t="inlineStr">
        <is>
          <t>ẋᵢ</t>
        </is>
      </c>
      <c r="C16" s="187" t="inlineStr">
        <is>
          <t>ṁᵢ (kg/h)</t>
        </is>
      </c>
      <c r="D16" s="187" t="inlineStr">
        <is>
          <t>ẏᵢ</t>
        </is>
      </c>
      <c r="E16" s="187" t="inlineStr">
        <is>
          <t>ṅᵢ (kmol/h)</t>
        </is>
      </c>
      <c r="F16" s="187" t="inlineStr">
        <is>
          <t>ẋᵢ</t>
        </is>
      </c>
      <c r="G16" s="187" t="inlineStr">
        <is>
          <t>ṁᵢ (kg/h)</t>
        </is>
      </c>
      <c r="H16" s="187" t="inlineStr">
        <is>
          <t>ẏᵢ</t>
        </is>
      </c>
      <c r="I16" s="187" t="inlineStr">
        <is>
          <t>ṅᵢ (kmol/h)</t>
        </is>
      </c>
      <c r="J16" s="187" t="inlineStr">
        <is>
          <t>ẋᵢ</t>
        </is>
      </c>
      <c r="K16" s="187" t="inlineStr">
        <is>
          <t>ṁᵢ (kg/h)</t>
        </is>
      </c>
      <c r="L16" s="187" t="inlineStr">
        <is>
          <t>ẏᵢ</t>
        </is>
      </c>
      <c r="M16" s="187" t="inlineStr">
        <is>
          <t>ṅᵢ (kmol/h)</t>
        </is>
      </c>
      <c r="N16" s="187" t="inlineStr">
        <is>
          <t>ẋᵢ</t>
        </is>
      </c>
      <c r="O16" s="187" t="inlineStr">
        <is>
          <t>ṁᵢ (kg/h)</t>
        </is>
      </c>
      <c r="P16" s="187" t="inlineStr">
        <is>
          <t>ẏᵢ</t>
        </is>
      </c>
      <c r="Q16" s="187" t="inlineStr">
        <is>
          <t>ṅᵢ (kmol/h)</t>
        </is>
      </c>
      <c r="R16" s="187" t="inlineStr">
        <is>
          <t>ẋᵢ</t>
        </is>
      </c>
      <c r="S16" s="187" t="inlineStr">
        <is>
          <t>ṁᵢ (kg/h)</t>
        </is>
      </c>
      <c r="T16" s="187" t="inlineStr">
        <is>
          <t>ẏᵢ</t>
        </is>
      </c>
      <c r="U16" s="187" t="inlineStr">
        <is>
          <t>ṅᵢ (kmol/h)</t>
        </is>
      </c>
    </row>
    <row r="17">
      <c r="A17" s="188" t="inlineStr">
        <is>
          <t>C₂H₄</t>
        </is>
      </c>
      <c r="B17" s="189">
        <f>C17/C$38</f>
        <v>0.0</v>
      </c>
      <c r="C17" s="190">
        <f>E17*'Data Komponen'!$D$3</f>
        <v>0.0</v>
      </c>
      <c r="D17" s="189">
        <f>E17/E$38</f>
        <v>0.0</v>
      </c>
      <c r="E17" s="191">
        <f>'NME-1 Klorinasi Langsung'!Q21</f>
        <v>0.0</v>
      </c>
      <c r="F17" s="189">
        <f>G17/G$38</f>
        <v>0.0006617075120989801</v>
      </c>
      <c r="G17" s="190">
        <f>I17*'Data Komponen'!$D$3</f>
        <v>28.508388703155518</v>
      </c>
      <c r="H17" s="189">
        <f>I17/I$38</f>
        <v>0.0009355629731163276</v>
      </c>
      <c r="I17" s="191">
        <f>'NME-2 Oksiklorinasi'!Q20</f>
        <v>1.0161969310314223</v>
      </c>
      <c r="J17" s="189">
        <f>K17/K$38</f>
        <v>0.0014629385273836851</v>
      </c>
      <c r="K17" s="190">
        <f>M17*'Data Komponen'!$D$3</f>
        <v>28.508388703155518</v>
      </c>
      <c r="L17" s="189">
        <f>M17/M$38</f>
        <v>0.0014973251224753917</v>
      </c>
      <c r="M17" s="191">
        <f>E17+I17</f>
        <v>1.0161969310314223</v>
      </c>
      <c r="N17" s="189">
        <f>O17/O$38</f>
        <v>0.0</v>
      </c>
      <c r="O17" s="190">
        <f>Q17*'Data Komponen'!$D$3</f>
        <v>0.0</v>
      </c>
      <c r="P17" s="189">
        <f>Q17/Q$38</f>
        <v>0.0</v>
      </c>
      <c r="Q17" s="191">
        <f>0</f>
        <v>0.0</v>
      </c>
      <c r="R17" s="189">
        <f>S17/S$38</f>
        <v>0.0</v>
      </c>
      <c r="S17" s="190">
        <f>U17*'Data Komponen'!$D$3</f>
        <v>0.0</v>
      </c>
      <c r="T17" s="189">
        <f>U17/U$38</f>
        <v>0.0</v>
      </c>
      <c r="U17" s="191">
        <f>0</f>
        <v>0.0</v>
      </c>
    </row>
    <row r="18">
      <c r="A18" s="188" t="inlineStr">
        <is>
          <t>CH₄</t>
        </is>
      </c>
      <c r="B18" s="189">
        <f>C18/C$38</f>
        <v>0.0</v>
      </c>
      <c r="C18" s="190">
        <f>E18*'Data Komponen'!$D$4</f>
        <v>0.0</v>
      </c>
      <c r="D18" s="189">
        <f>E18/E$38</f>
        <v>0.0</v>
      </c>
      <c r="E18" s="191">
        <f>'NME-1 Klorinasi Langsung'!Q22</f>
        <v>0.0</v>
      </c>
      <c r="F18" s="189">
        <f>G18/G$38</f>
        <v>3.064211386954467e-05</v>
      </c>
      <c r="G18" s="190">
        <f>I18*'Data Komponen'!$D$4</f>
        <v>1.3201562274974794</v>
      </c>
      <c r="H18" s="189">
        <f>I18/I$38</f>
        <v>7.575911480728293e-05</v>
      </c>
      <c r="I18" s="191">
        <f>'NME-2 Oksiklorinasi'!Q21</f>
        <v>0.08228861356962411</v>
      </c>
      <c r="J18" s="189">
        <f>K18/K$38</f>
        <v>6.77452320256105e-05</v>
      </c>
      <c r="K18" s="190">
        <f>M18*'Data Komponen'!$D$4</f>
        <v>1.3201562274974794</v>
      </c>
      <c r="L18" s="189">
        <f>M18/M$38</f>
        <v>0.00012124894755036185</v>
      </c>
      <c r="M18" s="191">
        <f>E18+I18</f>
        <v>0.08228861356962411</v>
      </c>
      <c r="N18" s="189">
        <f>O18/O$38</f>
        <v>0.0</v>
      </c>
      <c r="O18" s="190">
        <f>Q18*'Data Komponen'!$D$4</f>
        <v>0.0</v>
      </c>
      <c r="P18" s="189">
        <f>Q18/Q$38</f>
        <v>0.0</v>
      </c>
      <c r="Q18" s="191">
        <f>0</f>
        <v>0.0</v>
      </c>
      <c r="R18" s="189">
        <f>S18/S$38</f>
        <v>0.0</v>
      </c>
      <c r="S18" s="190">
        <f>U18*'Data Komponen'!$D$4</f>
        <v>0.0</v>
      </c>
      <c r="T18" s="189">
        <f>U18/U$38</f>
        <v>0.0</v>
      </c>
      <c r="U18" s="191">
        <f>0</f>
        <v>0.0</v>
      </c>
    </row>
    <row r="19">
      <c r="A19" s="188" t="inlineStr">
        <is>
          <t>C₂H₆</t>
        </is>
      </c>
      <c r="B19" s="189">
        <f>C19/C$38</f>
        <v>0.0</v>
      </c>
      <c r="C19" s="190">
        <f>E19*'Data Komponen'!$D$5</f>
        <v>0.0</v>
      </c>
      <c r="D19" s="189">
        <f>E19/E$38</f>
        <v>0.0</v>
      </c>
      <c r="E19" s="191">
        <f>'NME-1 Klorinasi Langsung'!Q23</f>
        <v>0.0</v>
      </c>
      <c r="F19" s="189">
        <f>G19/G$38</f>
        <v>1.6721734324638537e-06</v>
      </c>
      <c r="G19" s="190">
        <f>I19*'Data Komponen'!$D$5</f>
        <v>0.07204235907879274</v>
      </c>
      <c r="H19" s="189">
        <f>I19/I$38</f>
        <v>2.2057162560512053e-06</v>
      </c>
      <c r="I19" s="191">
        <f>'NME-2 Oksiklorinasi'!Q22</f>
        <v>0.00239582171861632</v>
      </c>
      <c r="J19" s="189">
        <f>K19/K$38</f>
        <v>3.696930885761003e-06</v>
      </c>
      <c r="K19" s="190">
        <f>M19*'Data Komponen'!$D$5</f>
        <v>0.07204235907879274</v>
      </c>
      <c r="L19" s="189">
        <f>M19/M$38</f>
        <v>3.5301465087237694e-06</v>
      </c>
      <c r="M19" s="191">
        <f>E19+I19</f>
        <v>0.00239582171861632</v>
      </c>
      <c r="N19" s="189">
        <f>O19/O$38</f>
        <v>0.0</v>
      </c>
      <c r="O19" s="190">
        <f>Q19*'Data Komponen'!$D$5</f>
        <v>0.0</v>
      </c>
      <c r="P19" s="189">
        <f>Q19/Q$38</f>
        <v>0.0</v>
      </c>
      <c r="Q19" s="191">
        <f>0</f>
        <v>0.0</v>
      </c>
      <c r="R19" s="189">
        <f>S19/S$38</f>
        <v>0.0</v>
      </c>
      <c r="S19" s="190">
        <f>U19*'Data Komponen'!$D$5</f>
        <v>0.0</v>
      </c>
      <c r="T19" s="189">
        <f>U19/U$38</f>
        <v>0.0</v>
      </c>
      <c r="U19" s="191">
        <f>0</f>
        <v>0.0</v>
      </c>
    </row>
    <row r="20">
      <c r="A20" s="188" t="inlineStr">
        <is>
          <t>C₂H₂</t>
        </is>
      </c>
      <c r="B20" s="189">
        <f>C20/C$38</f>
        <v>0.0</v>
      </c>
      <c r="C20" s="190">
        <f>E20*'Data Komponen'!$D$6</f>
        <v>0.0</v>
      </c>
      <c r="D20" s="189">
        <f>E20/E$38</f>
        <v>0.0</v>
      </c>
      <c r="E20" s="191">
        <f>'NME-1 Klorinasi Langsung'!Q24</f>
        <v>0.0</v>
      </c>
      <c r="F20" s="189">
        <f>G20/G$38</f>
        <v>6.404527868424615e-07</v>
      </c>
      <c r="G20" s="190">
        <f>I20*'Data Komponen'!$D$6</f>
        <v>0.027592669962907983</v>
      </c>
      <c r="H20" s="189">
        <f>I20/I$38</f>
        <v>9.756212476559469e-07</v>
      </c>
      <c r="I20" s="191">
        <f>'NME-2 Oksiklorinasi'!Q23</f>
        <v>0.0010597077334245327</v>
      </c>
      <c r="J20" s="189">
        <f>K20/K$38</f>
        <v>1.4159474385745484e-06</v>
      </c>
      <c r="K20" s="190">
        <f>M20*'Data Komponen'!$D$6</f>
        <v>0.027592669962907983</v>
      </c>
      <c r="L20" s="189">
        <f>M20/M$38</f>
        <v>1.5614365319205478e-06</v>
      </c>
      <c r="M20" s="191">
        <f>E20+I20</f>
        <v>0.0010597077334245327</v>
      </c>
      <c r="N20" s="189">
        <f>O20/O$38</f>
        <v>0.0</v>
      </c>
      <c r="O20" s="190">
        <f>Q20*'Data Komponen'!$D$6</f>
        <v>0.0</v>
      </c>
      <c r="P20" s="189">
        <f>Q20/Q$38</f>
        <v>0.0</v>
      </c>
      <c r="Q20" s="191">
        <f>0</f>
        <v>0.0</v>
      </c>
      <c r="R20" s="189">
        <f>S20/S$38</f>
        <v>0.0</v>
      </c>
      <c r="S20" s="190">
        <f>U20*'Data Komponen'!$D$6</f>
        <v>0.0</v>
      </c>
      <c r="T20" s="189">
        <f>U20/U$38</f>
        <v>0.0</v>
      </c>
      <c r="U20" s="191">
        <f>0</f>
        <v>0.0</v>
      </c>
    </row>
    <row r="21">
      <c r="A21" s="188" t="inlineStr">
        <is>
          <t>Cl₂</t>
        </is>
      </c>
      <c r="B21" s="189">
        <f>C21/C$38</f>
        <v>0.0</v>
      </c>
      <c r="C21" s="190">
        <f>E21*'Data Komponen'!$D$7</f>
        <v>0.0</v>
      </c>
      <c r="D21" s="189">
        <f>E21/E$38</f>
        <v>0.0</v>
      </c>
      <c r="E21" s="191">
        <f>'NME-1 Klorinasi Langsung'!Q25</f>
        <v>0.0</v>
      </c>
      <c r="F21" s="189">
        <f>G21/G$38</f>
        <v>0.005093701934190987</v>
      </c>
      <c r="G21" s="190">
        <f>I21*'Data Komponen'!$D$7</f>
        <v>219.45229882203654</v>
      </c>
      <c r="H21" s="189">
        <f>I21/I$38</f>
        <v>0.002849432802513679</v>
      </c>
      <c r="I21" s="191">
        <f>'NME-2 Oksiklorinasi'!Q24</f>
        <v>3.095018670362267</v>
      </c>
      <c r="J21" s="189">
        <f>K21/K$38</f>
        <v>0.011261429967598937</v>
      </c>
      <c r="K21" s="190">
        <f>M21*'Data Komponen'!$D$7</f>
        <v>219.45229882203654</v>
      </c>
      <c r="L21" s="189">
        <f>M21/M$38</f>
        <v>0.0045603849688466615</v>
      </c>
      <c r="M21" s="191">
        <f>E21+I21</f>
        <v>3.095018670362267</v>
      </c>
      <c r="N21" s="189">
        <f>O21/O$38</f>
        <v>0.0</v>
      </c>
      <c r="O21" s="190">
        <f>Q21*'Data Komponen'!$D$7</f>
        <v>0.0</v>
      </c>
      <c r="P21" s="189">
        <f>Q21/Q$38</f>
        <v>0.0</v>
      </c>
      <c r="Q21" s="191">
        <f>0</f>
        <v>0.0</v>
      </c>
      <c r="R21" s="189">
        <f>S21/S$38</f>
        <v>0.0</v>
      </c>
      <c r="S21" s="190">
        <f>U21*'Data Komponen'!$D$7</f>
        <v>0.0</v>
      </c>
      <c r="T21" s="189">
        <f>U21/U$38</f>
        <v>0.0</v>
      </c>
      <c r="U21" s="191">
        <f>0</f>
        <v>0.0</v>
      </c>
    </row>
    <row r="22">
      <c r="A22" s="188" t="inlineStr">
        <is>
          <t>CₙHₘ</t>
        </is>
      </c>
      <c r="B22" s="189">
        <f>C22/C$38</f>
        <v>0.0</v>
      </c>
      <c r="C22" s="190">
        <f>E22*'Data Komponen'!$D$8</f>
        <v>0.0</v>
      </c>
      <c r="D22" s="189">
        <f>E22/E$38</f>
        <v>0.0</v>
      </c>
      <c r="E22" s="191">
        <f>'NME-1 Klorinasi Langsung'!Q26</f>
        <v>0.0</v>
      </c>
      <c r="F22" s="189">
        <f>G22/G$38</f>
        <v>0.0</v>
      </c>
      <c r="G22" s="190">
        <f>I22*'Data Komponen'!$D$8</f>
        <v>0.0</v>
      </c>
      <c r="H22" s="189">
        <f>I22/I$38</f>
        <v>0.0</v>
      </c>
      <c r="I22" s="191">
        <f>'NME-2 Oksiklorinasi'!Q25</f>
        <v>0.0</v>
      </c>
      <c r="J22" s="189">
        <f>K22/K$38</f>
        <v>0.0</v>
      </c>
      <c r="K22" s="190">
        <f>M22*'Data Komponen'!$D$8</f>
        <v>0.0</v>
      </c>
      <c r="L22" s="189">
        <f>M22/M$38</f>
        <v>0.0</v>
      </c>
      <c r="M22" s="191">
        <f>E22+I22</f>
        <v>0.0</v>
      </c>
      <c r="N22" s="189">
        <f>O22/O$38</f>
        <v>0.0</v>
      </c>
      <c r="O22" s="190">
        <f>Q22*'Data Komponen'!$D$8</f>
        <v>0.0</v>
      </c>
      <c r="P22" s="189">
        <f>Q22/Q$38</f>
        <v>0.0</v>
      </c>
      <c r="Q22" s="191">
        <f>0</f>
        <v>0.0</v>
      </c>
      <c r="R22" s="189">
        <f>S22/S$38</f>
        <v>0.0</v>
      </c>
      <c r="S22" s="190">
        <f>U22*'Data Komponen'!$D$8</f>
        <v>0.0</v>
      </c>
      <c r="T22" s="189">
        <f>U22/U$38</f>
        <v>0.0</v>
      </c>
      <c r="U22" s="191">
        <f>0</f>
        <v>0.0</v>
      </c>
    </row>
    <row r="23">
      <c r="A23" s="188" t="inlineStr">
        <is>
          <t>H₂O</t>
        </is>
      </c>
      <c r="B23" s="189">
        <f>C23/C$38</f>
        <v>8.628902591260031e-06</v>
      </c>
      <c r="C23" s="190">
        <f>E23*'Data Komponen'!$D$9</f>
        <v>0.18452558254293175</v>
      </c>
      <c r="D23" s="189">
        <f>E23/E$38</f>
        <v>4.740655339016245e-05</v>
      </c>
      <c r="E23" s="191">
        <f>'NME-1 Klorinasi Langsung'!Q27</f>
        <v>0.010242885514456384</v>
      </c>
      <c r="F23" s="189">
        <f>G23/G$38</f>
        <v>0.08430381082070455</v>
      </c>
      <c r="G23" s="190">
        <f>I23*'Data Komponen'!$D$9</f>
        <v>3632.0666821664117</v>
      </c>
      <c r="H23" s="189">
        <f>I23/I$38</f>
        <v>0.18561569386629198</v>
      </c>
      <c r="I23" s="191">
        <f>'NME-2 Oksiklorinasi'!Q26</f>
        <v>201.61347111664787</v>
      </c>
      <c r="J23" s="189">
        <f>K23/K$38</f>
        <v>0.0</v>
      </c>
      <c r="K23" s="190">
        <f>M23*'Data Komponen'!$D$9</f>
        <v>0.0</v>
      </c>
      <c r="L23" s="189">
        <f>M23/M$38</f>
        <v>0.0</v>
      </c>
      <c r="M23" s="191">
        <f>0</f>
        <v>0.0</v>
      </c>
      <c r="N23" s="189">
        <f>O23/O$38</f>
        <v>0.9429768219206417</v>
      </c>
      <c r="O23" s="190">
        <f>Q23*'Data Komponen'!$D$9</f>
        <v>3549.818993766917</v>
      </c>
      <c r="P23" s="189">
        <f>Q23/Q$38</f>
        <v>0.971662003801475</v>
      </c>
      <c r="Q23" s="191">
        <f>E23+I23-U23</f>
        <v>197.04795968731017</v>
      </c>
      <c r="R23" s="189">
        <f>S23/S$38</f>
        <v>0.002000000000000038</v>
      </c>
      <c r="S23" s="190">
        <f>U23*'Data Komponen'!$D$9</f>
        <v>82.43221398205901</v>
      </c>
      <c r="T23" s="189">
        <f>U23/U$38</f>
        <v>0.010874386231391371</v>
      </c>
      <c r="U23" s="191">
        <f>$B$8/(1-$B$8)*(S31+S32+S25+S26+S35+S37+S34)/'Data Komponen'!$D$9</f>
        <v>4.575754314852013</v>
      </c>
    </row>
    <row r="24">
      <c r="A24" s="188" t="inlineStr">
        <is>
          <t>CₓHᵧCl</t>
        </is>
      </c>
      <c r="B24" s="189">
        <f>C24/C$38</f>
        <v>0.0</v>
      </c>
      <c r="C24" s="190">
        <f>E24*'Data Komponen'!$D$10</f>
        <v>0.0</v>
      </c>
      <c r="D24" s="189">
        <f>E24/E$38</f>
        <v>0.0</v>
      </c>
      <c r="E24" s="191">
        <f>'NME-1 Klorinasi Langsung'!Q28</f>
        <v>0.0</v>
      </c>
      <c r="F24" s="189">
        <f>G24/G$38</f>
        <v>0.0</v>
      </c>
      <c r="G24" s="190">
        <f>I24*'Data Komponen'!$D$10</f>
        <v>0.0</v>
      </c>
      <c r="H24" s="189">
        <f>I24/I$38</f>
        <v>0.0</v>
      </c>
      <c r="I24" s="191">
        <f>'NME-2 Oksiklorinasi'!Q27</f>
        <v>0.0</v>
      </c>
      <c r="J24" s="189">
        <f>K24/K$38</f>
        <v>0.0</v>
      </c>
      <c r="K24" s="190">
        <f>M24*'Data Komponen'!$D$10</f>
        <v>0.0</v>
      </c>
      <c r="L24" s="189">
        <f>M24/M$38</f>
        <v>0.0</v>
      </c>
      <c r="M24" s="191">
        <f>E24+I24</f>
        <v>0.0</v>
      </c>
      <c r="N24" s="189">
        <f>O24/O$38</f>
        <v>0.0</v>
      </c>
      <c r="O24" s="190">
        <f>Q24*'Data Komponen'!$D$10</f>
        <v>0.0</v>
      </c>
      <c r="P24" s="189">
        <f>Q24/Q$38</f>
        <v>0.0</v>
      </c>
      <c r="Q24" s="191">
        <f>0</f>
        <v>0.0</v>
      </c>
      <c r="R24" s="189">
        <f>S24/S$38</f>
        <v>0.0</v>
      </c>
      <c r="S24" s="190">
        <f>U24*'Data Komponen'!$D$10</f>
        <v>0.0</v>
      </c>
      <c r="T24" s="189">
        <f>U24/U$38</f>
        <v>0.0</v>
      </c>
      <c r="U24" s="191">
        <f>0</f>
        <v>0.0</v>
      </c>
    </row>
    <row r="25">
      <c r="A25" s="188" t="inlineStr">
        <is>
          <t>Br₂</t>
        </is>
      </c>
      <c r="B25" s="189">
        <f>C25/C$38</f>
        <v>6.471676943445024e-05</v>
      </c>
      <c r="C25" s="190">
        <f>E25*'Data Komponen'!$D$11</f>
        <v>1.3839418690719882</v>
      </c>
      <c r="D25" s="189">
        <f>E25/E$38</f>
        <v>4.0080709006609956e-05</v>
      </c>
      <c r="E25" s="191">
        <f>'NME-1 Klorinasi Langsung'!Q29</f>
        <v>0.008660028716159318</v>
      </c>
      <c r="F25" s="189">
        <f>G25/G$38</f>
        <v>0.0</v>
      </c>
      <c r="G25" s="190">
        <f>I25*'Data Komponen'!$D$11</f>
        <v>0.0</v>
      </c>
      <c r="H25" s="189">
        <f>I25/I$38</f>
        <v>0.0</v>
      </c>
      <c r="I25" s="191">
        <f>'NME-2 Oksiklorinasi'!Q28</f>
        <v>0.0</v>
      </c>
      <c r="J25" s="189">
        <f>K25/K$38</f>
        <v>0.0</v>
      </c>
      <c r="K25" s="190">
        <f>M25*'Data Komponen'!$D$11</f>
        <v>0.0</v>
      </c>
      <c r="L25" s="189">
        <f>M25/M$38</f>
        <v>0.0</v>
      </c>
      <c r="M25" s="191">
        <f>0</f>
        <v>0.0</v>
      </c>
      <c r="N25" s="189">
        <f>O25/O$38</f>
        <v>0.0</v>
      </c>
      <c r="O25" s="190">
        <f>Q25*'Data Komponen'!$D$11</f>
        <v>0.0</v>
      </c>
      <c r="P25" s="189">
        <f>Q25/Q$38</f>
        <v>0.0</v>
      </c>
      <c r="Q25" s="191">
        <f>0</f>
        <v>0.0</v>
      </c>
      <c r="R25" s="189">
        <f>S25/S$38</f>
        <v>3.357769498641008e-05</v>
      </c>
      <c r="S25" s="190">
        <f>U25*'Data Komponen'!$D$11</f>
        <v>1.3839418690720067</v>
      </c>
      <c r="T25" s="189">
        <f>U25/U$38</f>
        <v>2.0580759051855356e-05</v>
      </c>
      <c r="U25" s="191">
        <f>E25+I25</f>
        <v>0.008660028716159318</v>
      </c>
    </row>
    <row r="26">
      <c r="A26" s="188" t="inlineStr">
        <is>
          <t>NCl₃</t>
        </is>
      </c>
      <c r="B26" s="189">
        <f>C26/C$38</f>
        <v>3.5953760796916804e-06</v>
      </c>
      <c r="C26" s="190">
        <f>E26*'Data Komponen'!$D$12</f>
        <v>0.07688565939288824</v>
      </c>
      <c r="D26" s="189">
        <f>E26/E$38</f>
        <v>2.956386336434237e-06</v>
      </c>
      <c r="E26" s="191">
        <f>'NME-1 Klorinasi Langsung'!Q30</f>
        <v>0.0006387709001195385</v>
      </c>
      <c r="F26" s="189">
        <f>G26/G$38</f>
        <v>0.0</v>
      </c>
      <c r="G26" s="190">
        <f>I26*'Data Komponen'!$D$12</f>
        <v>0.0</v>
      </c>
      <c r="H26" s="189">
        <f>I26/I$38</f>
        <v>0.0</v>
      </c>
      <c r="I26" s="191">
        <f>'NME-2 Oksiklorinasi'!Q29</f>
        <v>0.0</v>
      </c>
      <c r="J26" s="189">
        <f>K26/K$38</f>
        <v>0.0</v>
      </c>
      <c r="K26" s="190">
        <f>M26*'Data Komponen'!$D$12</f>
        <v>0.0</v>
      </c>
      <c r="L26" s="189">
        <f>M26/M$38</f>
        <v>0.0</v>
      </c>
      <c r="M26" s="191">
        <f>0</f>
        <v>0.0</v>
      </c>
      <c r="N26" s="189">
        <f>O26/O$38</f>
        <v>0.0</v>
      </c>
      <c r="O26" s="190">
        <f>Q26*'Data Komponen'!$D$12</f>
        <v>0.0</v>
      </c>
      <c r="P26" s="189">
        <f>Q26/Q$38</f>
        <v>0.0</v>
      </c>
      <c r="Q26" s="191">
        <f>0</f>
        <v>0.0</v>
      </c>
      <c r="R26" s="189">
        <f>S26/S$38</f>
        <v>1.8654274992450054e-06</v>
      </c>
      <c r="S26" s="190">
        <f>U26*'Data Komponen'!$D$12</f>
        <v>0.07688565939288929</v>
      </c>
      <c r="T26" s="189">
        <f>U26/U$38</f>
        <v>1.518053855891525e-06</v>
      </c>
      <c r="U26" s="191">
        <f>E26+I26</f>
        <v>0.0006387709001195385</v>
      </c>
    </row>
    <row r="27">
      <c r="A27" s="188" t="inlineStr">
        <is>
          <t>H₂</t>
        </is>
      </c>
      <c r="B27" s="189">
        <f>C27/C$38</f>
        <v>0.0</v>
      </c>
      <c r="C27" s="190">
        <f>E27*'Data Komponen'!$D$13</f>
        <v>0.0</v>
      </c>
      <c r="D27" s="189">
        <f>E27/E$38</f>
        <v>0.0</v>
      </c>
      <c r="E27" s="191">
        <f>'NME-1 Klorinasi Langsung'!Q31</f>
        <v>0.0</v>
      </c>
      <c r="F27" s="189">
        <f>G27/G$38</f>
        <v>0.0</v>
      </c>
      <c r="G27" s="190">
        <f>I27*'Data Komponen'!$D$13</f>
        <v>0.0</v>
      </c>
      <c r="H27" s="189">
        <f>I27/I$38</f>
        <v>0.0</v>
      </c>
      <c r="I27" s="191">
        <f>'NME-2 Oksiklorinasi'!Q30</f>
        <v>0.0</v>
      </c>
      <c r="J27" s="189">
        <f>K27/K$38</f>
        <v>0.0</v>
      </c>
      <c r="K27" s="190">
        <f>M27*'Data Komponen'!$D$13</f>
        <v>0.0</v>
      </c>
      <c r="L27" s="189">
        <f>M27/M$38</f>
        <v>0.0</v>
      </c>
      <c r="M27" s="191">
        <f>E27+I27</f>
        <v>0.0</v>
      </c>
      <c r="N27" s="189">
        <f>O27/O$38</f>
        <v>0.0</v>
      </c>
      <c r="O27" s="190">
        <f>Q27*'Data Komponen'!$D$13</f>
        <v>0.0</v>
      </c>
      <c r="P27" s="189">
        <f>Q27/Q$38</f>
        <v>0.0</v>
      </c>
      <c r="Q27" s="191">
        <f>0</f>
        <v>0.0</v>
      </c>
      <c r="R27" s="189">
        <f>S27/S$38</f>
        <v>0.0</v>
      </c>
      <c r="S27" s="190">
        <f>U27*'Data Komponen'!$D$13</f>
        <v>0.0</v>
      </c>
      <c r="T27" s="189">
        <f>U27/U$38</f>
        <v>0.0</v>
      </c>
      <c r="U27" s="191">
        <f>0</f>
        <v>0.0</v>
      </c>
    </row>
    <row r="28">
      <c r="A28" s="188" t="inlineStr">
        <is>
          <t>O₂</t>
        </is>
      </c>
      <c r="B28" s="189">
        <f>C28/C$38</f>
        <v>0.0</v>
      </c>
      <c r="C28" s="190">
        <f>E28*'Data Komponen'!$D$14</f>
        <v>0.0</v>
      </c>
      <c r="D28" s="189">
        <f>E28/E$38</f>
        <v>0.0</v>
      </c>
      <c r="E28" s="191">
        <f>'NME-1 Klorinasi Langsung'!Q32</f>
        <v>0.0</v>
      </c>
      <c r="F28" s="189">
        <f>G28/G$38</f>
        <v>0.04437976567916967</v>
      </c>
      <c r="G28" s="190">
        <f>I28*'Data Komponen'!$D$14</f>
        <v>1912.016393048713</v>
      </c>
      <c r="H28" s="189">
        <f>I28/I$38</f>
        <v>0.055011102819226644</v>
      </c>
      <c r="I28" s="191">
        <f>'NME-2 Oksiklorinasi'!Q31</f>
        <v>59.75237954463306</v>
      </c>
      <c r="J28" s="189">
        <f>K28/K$38</f>
        <v>0.09811717089680831</v>
      </c>
      <c r="K28" s="190">
        <f>M28*'Data Komponen'!$D$14</f>
        <v>1912.016393048713</v>
      </c>
      <c r="L28" s="189">
        <f>M28/M$38</f>
        <v>0.08804271720153156</v>
      </c>
      <c r="M28" s="191">
        <f>E28+I28</f>
        <v>59.75237954463306</v>
      </c>
      <c r="N28" s="189">
        <f>O28/O$38</f>
        <v>0.0</v>
      </c>
      <c r="O28" s="190">
        <f>Q28*'Data Komponen'!$D$14</f>
        <v>0.0</v>
      </c>
      <c r="P28" s="189">
        <f>Q28/Q$38</f>
        <v>0.0</v>
      </c>
      <c r="Q28" s="191">
        <f>0</f>
        <v>0.0</v>
      </c>
      <c r="R28" s="189">
        <f>S28/S$38</f>
        <v>0.0</v>
      </c>
      <c r="S28" s="190">
        <f>U28*'Data Komponen'!$D$14</f>
        <v>0.0</v>
      </c>
      <c r="T28" s="189">
        <f>U28/U$38</f>
        <v>0.0</v>
      </c>
      <c r="U28" s="191">
        <f>0</f>
        <v>0.0</v>
      </c>
    </row>
    <row r="29">
      <c r="A29" s="188" t="inlineStr">
        <is>
          <t>N₂</t>
        </is>
      </c>
      <c r="B29" s="189">
        <f>C29/C$38</f>
        <v>0.0</v>
      </c>
      <c r="C29" s="190">
        <f>E29*'Data Komponen'!$D$15</f>
        <v>0.0</v>
      </c>
      <c r="D29" s="189">
        <f>E29/E$38</f>
        <v>0.0</v>
      </c>
      <c r="E29" s="191">
        <f>'NME-1 Klorinasi Langsung'!Q33</f>
        <v>0.0</v>
      </c>
      <c r="F29" s="189">
        <f>G29/G$38</f>
        <v>0.3977170192917264</v>
      </c>
      <c r="G29" s="190">
        <f>I29*'Data Komponen'!$D$15</f>
        <v>17134.868763788385</v>
      </c>
      <c r="H29" s="189">
        <f>I29/I$38</f>
        <v>0.5631198085804939</v>
      </c>
      <c r="I29" s="191">
        <f>'NME-2 Oksiklorinasi'!Q32</f>
        <v>611.6537718208176</v>
      </c>
      <c r="J29" s="189">
        <f>K29/K$38</f>
        <v>0.8792941592463505</v>
      </c>
      <c r="K29" s="190">
        <f>M29*'Data Komponen'!$D$15</f>
        <v>17134.868763788385</v>
      </c>
      <c r="L29" s="189">
        <f>M29/M$38</f>
        <v>0.9012471213375686</v>
      </c>
      <c r="M29" s="191">
        <f>E29+I29</f>
        <v>611.6537718208176</v>
      </c>
      <c r="N29" s="189">
        <f>O29/O$38</f>
        <v>0.0</v>
      </c>
      <c r="O29" s="190">
        <f>Q29*'Data Komponen'!$D$15</f>
        <v>0.0</v>
      </c>
      <c r="P29" s="189">
        <f>Q29/Q$38</f>
        <v>0.0</v>
      </c>
      <c r="Q29" s="191">
        <f>0</f>
        <v>0.0</v>
      </c>
      <c r="R29" s="189">
        <f>S29/S$38</f>
        <v>0.0</v>
      </c>
      <c r="S29" s="190">
        <f>U29*'Data Komponen'!$D$15</f>
        <v>0.0</v>
      </c>
      <c r="T29" s="189">
        <f>U29/U$38</f>
        <v>0.0</v>
      </c>
      <c r="U29" s="191">
        <f>0</f>
        <v>0.0</v>
      </c>
    </row>
    <row r="30">
      <c r="A30" s="188" t="inlineStr">
        <is>
          <t>CO₂</t>
        </is>
      </c>
      <c r="B30" s="189">
        <f>C30/C$38</f>
        <v>0.0</v>
      </c>
      <c r="C30" s="190">
        <f>E30*'Data Komponen'!$D$16</f>
        <v>0.0</v>
      </c>
      <c r="D30" s="189">
        <f>E30/E$38</f>
        <v>0.0</v>
      </c>
      <c r="E30" s="191">
        <f>'NME-1 Klorinasi Langsung'!Q34</f>
        <v>0.0</v>
      </c>
      <c r="F30" s="189">
        <f>G30/G$38</f>
        <v>0.0020761208817006356</v>
      </c>
      <c r="G30" s="190">
        <f>I30*'Data Komponen'!$D$16</f>
        <v>89.44565386981179</v>
      </c>
      <c r="H30" s="189">
        <f>I30/I$38</f>
        <v>0.0018711259462415668</v>
      </c>
      <c r="I30" s="191">
        <f>'NME-2 Oksiklorinasi'!Q33</f>
        <v>2.0323938620725244</v>
      </c>
      <c r="J30" s="189">
        <f>K30/K$38</f>
        <v>0.00458999961434823</v>
      </c>
      <c r="K30" s="190">
        <f>M30*'Data Komponen'!$D$16</f>
        <v>89.44565386981179</v>
      </c>
      <c r="L30" s="189">
        <f>M30/M$38</f>
        <v>0.0029946502449650463</v>
      </c>
      <c r="M30" s="191">
        <f>E30+I30</f>
        <v>2.0323938620725244</v>
      </c>
      <c r="N30" s="189">
        <f>O30/O$38</f>
        <v>0.0</v>
      </c>
      <c r="O30" s="190">
        <f>Q30*'Data Komponen'!$D$16</f>
        <v>0.0</v>
      </c>
      <c r="P30" s="189">
        <f>Q30/Q$38</f>
        <v>0.0</v>
      </c>
      <c r="Q30" s="191">
        <f>0</f>
        <v>0.0</v>
      </c>
      <c r="R30" s="189">
        <f>S30/S$38</f>
        <v>0.0</v>
      </c>
      <c r="S30" s="190">
        <f>U30*'Data Komponen'!$D$16</f>
        <v>0.0</v>
      </c>
      <c r="T30" s="189">
        <f>U30/U$38</f>
        <v>0.0</v>
      </c>
      <c r="U30" s="191">
        <f>0</f>
        <v>0.0</v>
      </c>
    </row>
    <row r="31">
      <c r="A31" s="188" t="inlineStr">
        <is>
          <t>EDC</t>
        </is>
      </c>
      <c r="B31" s="189">
        <f>C31/C$38</f>
        <v>0.9994221026161209</v>
      </c>
      <c r="C31" s="190">
        <f>E31*'Data Komponen'!$D$17</f>
        <v>21372.236358110484</v>
      </c>
      <c r="D31" s="189">
        <f>E31/E$38</f>
        <v>0.9995642931667662</v>
      </c>
      <c r="E31" s="191">
        <f>'NME-1 Klorinasi Langsung'!Q35</f>
        <v>215.97061771148134</v>
      </c>
      <c r="F31" s="189">
        <f>G31/G$38</f>
        <v>0.4584247468695122</v>
      </c>
      <c r="G31" s="190">
        <f>I31*'Data Komponen'!$D$17</f>
        <v>19750.34382403511</v>
      </c>
      <c r="H31" s="189">
        <f>I31/I$38</f>
        <v>0.18374456792004656</v>
      </c>
      <c r="I31" s="191">
        <f>'NME-2 Oksiklorinasi'!Q34</f>
        <v>199.58107725457117</v>
      </c>
      <c r="J31" s="189">
        <f>K31/K$38</f>
        <v>0.005070073965275735</v>
      </c>
      <c r="K31" s="190">
        <f>M31*'Data Komponen'!$D$17</f>
        <v>98.80089740634826</v>
      </c>
      <c r="L31" s="189">
        <f>M31/M$38</f>
        <v>0.001471105515117914</v>
      </c>
      <c r="M31" s="191">
        <f>$B$7*('NME-1 Klorinasi Langsung'!Q35+'NME-1 Klorinasi Langsung'!U35+'NME-2 Oksiklorinasi'!Q34)</f>
        <v>0.9984023424483701</v>
      </c>
      <c r="N31" s="189">
        <f>O31/O$38</f>
        <v>0.0008000000000000011</v>
      </c>
      <c r="O31" s="190">
        <f>Q31*'Data Komponen'!$D$17</f>
        <v>3.011585363497441</v>
      </c>
      <c r="P31" s="189">
        <f>Q31/Q$38</f>
        <v>0.00015006629407441775</v>
      </c>
      <c r="Q31" s="191">
        <f>$B$9/(1-$B$9)*(O33+O23+O34)/'Data Komponen'!$D$17</f>
        <v>0.030432657600596623</v>
      </c>
      <c r="R31" s="189">
        <f>S31/S$38</f>
        <v>0.9952606079051753</v>
      </c>
      <c r="S31" s="190">
        <f>U31*'Data Komponen'!$D$17</f>
        <v>41020.76769937599</v>
      </c>
      <c r="T31" s="189">
        <f>U31/U$38</f>
        <v>0.9851231886249269</v>
      </c>
      <c r="U31" s="191">
        <f>E31+I31-M31-Q31</f>
        <v>414.5228599660036</v>
      </c>
    </row>
    <row r="32">
      <c r="A32" s="188" t="inlineStr">
        <is>
          <t>TCE</t>
        </is>
      </c>
      <c r="B32" s="189">
        <f>C32/C$38</f>
        <v>0.00030054051864049906</v>
      </c>
      <c r="C32" s="190">
        <f>E32*'Data Komponen'!$D$18</f>
        <v>6.426937109715917</v>
      </c>
      <c r="D32" s="189">
        <f>E32/E$38</f>
        <v>0.00022297415009785954</v>
      </c>
      <c r="E32" s="191">
        <f>'NME-1 Klorinasi Langsung'!Q36</f>
        <v>0.04817685591565345</v>
      </c>
      <c r="F32" s="189">
        <f>G32/G$38</f>
        <v>0.0</v>
      </c>
      <c r="G32" s="190">
        <f>I32*'Data Komponen'!$D$18</f>
        <v>0.0</v>
      </c>
      <c r="H32" s="189">
        <f>I32/I$38</f>
        <v>0.0</v>
      </c>
      <c r="I32" s="191">
        <f>'NME-2 Oksiklorinasi'!Q35</f>
        <v>0.0</v>
      </c>
      <c r="J32" s="189">
        <f>K32/K$38</f>
        <v>0.0</v>
      </c>
      <c r="K32" s="190">
        <f>M32*'Data Komponen'!$D$18</f>
        <v>0.0</v>
      </c>
      <c r="L32" s="189">
        <f>M32/M$38</f>
        <v>0.0</v>
      </c>
      <c r="M32" s="191">
        <f>0</f>
        <v>0.0</v>
      </c>
      <c r="N32" s="189">
        <f>O32/O$38</f>
        <v>0.0</v>
      </c>
      <c r="O32" s="190">
        <f>Q32*'Data Komponen'!$D$18</f>
        <v>0.0</v>
      </c>
      <c r="P32" s="189">
        <f>Q32/Q$38</f>
        <v>0.0</v>
      </c>
      <c r="Q32" s="191">
        <f>0</f>
        <v>0.0</v>
      </c>
      <c r="R32" s="189">
        <f>S32/S$38</f>
        <v>0.00015593265785909292</v>
      </c>
      <c r="S32" s="190">
        <f>U32*'Data Komponen'!$D$18</f>
        <v>6.426937109715849</v>
      </c>
      <c r="T32" s="189">
        <f>U32/U$38</f>
        <v>0.00011449341520379496</v>
      </c>
      <c r="U32" s="191">
        <f>E32+I32</f>
        <v>0.04817685591565345</v>
      </c>
    </row>
    <row r="33">
      <c r="A33" s="188" t="inlineStr">
        <is>
          <t>HCl</t>
        </is>
      </c>
      <c r="B33" s="189">
        <f>C33/C$38</f>
        <v>0.0</v>
      </c>
      <c r="C33" s="190">
        <f>E33*'Data Komponen'!$D$19</f>
        <v>0.0</v>
      </c>
      <c r="D33" s="189">
        <f>E33/E$38</f>
        <v>0.0</v>
      </c>
      <c r="E33" s="191">
        <f>'NME-1 Klorinasi Langsung'!Q37</f>
        <v>0.0</v>
      </c>
      <c r="F33" s="189">
        <f>G33/G$38</f>
        <v>0.004816015489854791</v>
      </c>
      <c r="G33" s="190">
        <f>I33*'Data Komponen'!$D$19</f>
        <v>207.48871529308113</v>
      </c>
      <c r="H33" s="189">
        <f>I33/I$38</f>
        <v>0.005239152649451326</v>
      </c>
      <c r="I33" s="191">
        <f>'NME-2 Oksiklorinasi'!Q36</f>
        <v>5.690702813775847</v>
      </c>
      <c r="J33" s="189">
        <f>K33/K$38</f>
        <v>0.0</v>
      </c>
      <c r="K33" s="190">
        <f>M33*'Data Komponen'!$D$19</f>
        <v>0.0</v>
      </c>
      <c r="L33" s="189">
        <f>M33/M$38</f>
        <v>0.0</v>
      </c>
      <c r="M33" s="191">
        <f>0</f>
        <v>0.0</v>
      </c>
      <c r="N33" s="189">
        <f>O33/O$38</f>
        <v>0.05511747209506241</v>
      </c>
      <c r="O33" s="190">
        <f>Q33*'Data Komponen'!$D$19</f>
        <v>207.48871529308545</v>
      </c>
      <c r="P33" s="189">
        <f>Q33/Q$38</f>
        <v>0.02806139027192488</v>
      </c>
      <c r="Q33" s="191">
        <f>E33+I33</f>
        <v>5.690702813775847</v>
      </c>
      <c r="R33" s="189">
        <f>S33/S$38</f>
        <v>0.0</v>
      </c>
      <c r="S33" s="190">
        <f>U33*'Data Komponen'!$D$19</f>
        <v>0.0</v>
      </c>
      <c r="T33" s="189">
        <f>U33/U$38</f>
        <v>0.0</v>
      </c>
      <c r="U33" s="191">
        <f>0</f>
        <v>0.0</v>
      </c>
    </row>
    <row r="34">
      <c r="A34" s="188" t="inlineStr">
        <is>
          <t>FeCl₃</t>
        </is>
      </c>
      <c r="B34" s="189">
        <f>C34/C$38</f>
        <v>0.00020041581713338045</v>
      </c>
      <c r="C34" s="190">
        <f>E34*'Data Komponen'!$D$20</f>
        <v>4.2858109726273375</v>
      </c>
      <c r="D34" s="189">
        <f>E34/E$38</f>
        <v>0.00012228903440276572</v>
      </c>
      <c r="E34" s="191">
        <f>'NME-1 Klorinasi Langsung'!Q38</f>
        <v>0.02642235069805515</v>
      </c>
      <c r="F34" s="189">
        <f>G34/G$38</f>
        <v>0.0</v>
      </c>
      <c r="G34" s="190">
        <f>I34*'Data Komponen'!$D$20</f>
        <v>0.0</v>
      </c>
      <c r="H34" s="189">
        <f>I34/I$38</f>
        <v>0.0</v>
      </c>
      <c r="I34" s="191">
        <f>'NME-2 Oksiklorinasi'!Q37</f>
        <v>0.0</v>
      </c>
      <c r="J34" s="189">
        <f>K34/K$38</f>
        <v>0.0</v>
      </c>
      <c r="K34" s="190">
        <f>M34*'Data Komponen'!$D$20</f>
        <v>0.0</v>
      </c>
      <c r="L34" s="189">
        <f>M34/M$38</f>
        <v>0.0</v>
      </c>
      <c r="M34" s="191">
        <f>0</f>
        <v>0.0</v>
      </c>
      <c r="N34" s="189">
        <f>O34/O$38</f>
        <v>0.0011057059842958525</v>
      </c>
      <c r="O34" s="190">
        <f>Q34*'Data Komponen'!$D$20</f>
        <v>4.162409948296146</v>
      </c>
      <c r="P34" s="189">
        <f>Q34/Q$38</f>
        <v>0.00012653963252558595</v>
      </c>
      <c r="Q34" s="191">
        <f>E34+I34-U34</f>
        <v>0.025661573995069138</v>
      </c>
      <c r="R34" s="189">
        <f>S34/S$38</f>
        <v>2.9940000000000716e-06</v>
      </c>
      <c r="S34" s="190">
        <f>U34*'Data Komponen'!$D$20</f>
        <v>0.12340102433114294</v>
      </c>
      <c r="T34" s="189">
        <f>U34/U$38</f>
        <v>1.8080034754623346e-06</v>
      </c>
      <c r="U34" s="191">
        <f>$B$6/(1-$B$6)*(S31+S32+S25+S26+S35+S37)/'Data Komponen'!$D$20</f>
        <v>0.0007607767029859938</v>
      </c>
    </row>
    <row r="35">
      <c r="A35" s="188" t="inlineStr">
        <is>
          <t>C₂H₅Cl</t>
        </is>
      </c>
      <c r="B35" s="189">
        <f>C35/C$38</f>
        <v>0.0</v>
      </c>
      <c r="C35" s="190">
        <f>E35*'Data Komponen'!$D$21</f>
        <v>0.0</v>
      </c>
      <c r="D35" s="189">
        <f>E35/E$38</f>
        <v>0.0</v>
      </c>
      <c r="E35" s="191">
        <f>'NME-1 Klorinasi Langsung'!Q39</f>
        <v>0.0</v>
      </c>
      <c r="F35" s="189">
        <f>G35/G$38</f>
        <v>0.0024347364450186845</v>
      </c>
      <c r="G35" s="190">
        <f>I35*'Data Komponen'!$D$21</f>
        <v>104.89591200824856</v>
      </c>
      <c r="H35" s="189">
        <f>I35/I$38</f>
        <v>0.0014969007569784326</v>
      </c>
      <c r="I35" s="191">
        <f>'NME-2 Oksiklorinasi'!Q38</f>
        <v>1.6259150896419214</v>
      </c>
      <c r="J35" s="189">
        <f>K35/K$38</f>
        <v>0.0</v>
      </c>
      <c r="K35" s="190">
        <f>M35*'Data Komponen'!$D$21</f>
        <v>0.0</v>
      </c>
      <c r="L35" s="189">
        <f>M35/M$38</f>
        <v>0.0</v>
      </c>
      <c r="M35" s="191">
        <f>0</f>
        <v>0.0</v>
      </c>
      <c r="N35" s="189">
        <f>O35/O$38</f>
        <v>0.0</v>
      </c>
      <c r="O35" s="190">
        <f>Q35*'Data Komponen'!$D$21</f>
        <v>0.0</v>
      </c>
      <c r="P35" s="189">
        <f>Q35/Q$38</f>
        <v>0.0</v>
      </c>
      <c r="Q35" s="191">
        <f>0</f>
        <v>0.0</v>
      </c>
      <c r="R35" s="189">
        <f>S35/S$38</f>
        <v>0.0025450223144799352</v>
      </c>
      <c r="S35" s="190">
        <f>U35*'Data Komponen'!$D$21</f>
        <v>104.89591200816055</v>
      </c>
      <c r="T35" s="189">
        <f>U35/U$38</f>
        <v>0.0038640249120948274</v>
      </c>
      <c r="U35" s="191">
        <f>E35+I35</f>
        <v>1.6259150896419214</v>
      </c>
    </row>
    <row r="36">
      <c r="A36" s="188" t="inlineStr">
        <is>
          <t>VCM</t>
        </is>
      </c>
      <c r="B36" s="189">
        <f>C36/C$38</f>
        <v>0.0</v>
      </c>
      <c r="C36" s="190">
        <f>E36*'Data Komponen'!$D$22</f>
        <v>0.0</v>
      </c>
      <c r="D36" s="189">
        <f>E36/E$38</f>
        <v>0.0</v>
      </c>
      <c r="E36" s="191">
        <f>'NME-1 Klorinasi Langsung'!Q40</f>
        <v>0.0</v>
      </c>
      <c r="F36" s="189">
        <f>G36/G$38</f>
        <v>5.942033593414406e-05</v>
      </c>
      <c r="G36" s="190">
        <f>I36*'Data Komponen'!$D$22</f>
        <v>2.56001028053807</v>
      </c>
      <c r="H36" s="189">
        <f>I36/I$38</f>
        <v>3.7711233328236e-05</v>
      </c>
      <c r="I36" s="191">
        <f>'NME-2 Oksiklorinasi'!Q39</f>
        <v>0.0409614752558173</v>
      </c>
      <c r="J36" s="189">
        <f>K36/K$38</f>
        <v>0.00013136967188478524</v>
      </c>
      <c r="K36" s="190">
        <f>M36*'Data Komponen'!$D$22</f>
        <v>2.56001028053807</v>
      </c>
      <c r="L36" s="189">
        <f>M36/M$38</f>
        <v>6.0355078903788655e-05</v>
      </c>
      <c r="M36" s="191">
        <f>E36+I36</f>
        <v>0.0409614752558173</v>
      </c>
      <c r="N36" s="189">
        <f>O36/O$38</f>
        <v>0.0</v>
      </c>
      <c r="O36" s="190">
        <f>Q36*'Data Komponen'!$D$22</f>
        <v>0.0</v>
      </c>
      <c r="P36" s="189">
        <f>Q36/Q$38</f>
        <v>0.0</v>
      </c>
      <c r="Q36" s="191">
        <f>0</f>
        <v>0.0</v>
      </c>
      <c r="R36" s="189">
        <f>S36/S$38</f>
        <v>0.0</v>
      </c>
      <c r="S36" s="190">
        <f>U36*'Data Komponen'!$D$22</f>
        <v>0.0</v>
      </c>
      <c r="T36" s="189">
        <f>U36/U$38</f>
        <v>0.0</v>
      </c>
      <c r="U36" s="191">
        <f>0</f>
        <v>0.0</v>
      </c>
    </row>
    <row r="37">
      <c r="A37" s="188" t="inlineStr">
        <is>
          <t>C₄H₈Cl₂ (berat)</t>
        </is>
      </c>
      <c r="B37" s="189">
        <f>C37/C$38</f>
        <v>0.0</v>
      </c>
      <c r="C37" s="190">
        <f>E37*'Data Komponen'!$D$23</f>
        <v>0.0</v>
      </c>
      <c r="D37" s="189">
        <f>E37/E$38</f>
        <v>0.0</v>
      </c>
      <c r="E37" s="191">
        <f>'NME-1 Klorinasi Langsung'!Q41</f>
        <v>0.0</v>
      </c>
      <c r="F37" s="189">
        <f>G37/G$38</f>
        <v>0.0</v>
      </c>
      <c r="G37" s="190">
        <f>I37*'Data Komponen'!$D$23</f>
        <v>0.0</v>
      </c>
      <c r="H37" s="189">
        <f>I37/I$38</f>
        <v>0.0</v>
      </c>
      <c r="I37" s="191">
        <f>'NME-2 Oksiklorinasi'!Q40</f>
        <v>0.0</v>
      </c>
      <c r="J37" s="189">
        <f>K37/K$38</f>
        <v>0.0</v>
      </c>
      <c r="K37" s="190">
        <f>M37*'Data Komponen'!$D$23</f>
        <v>0.0</v>
      </c>
      <c r="L37" s="189">
        <f>M37/M$38</f>
        <v>0.0</v>
      </c>
      <c r="M37" s="191">
        <f>0</f>
        <v>0.0</v>
      </c>
      <c r="N37" s="189">
        <f>O37/O$38</f>
        <v>0.0</v>
      </c>
      <c r="O37" s="190">
        <f>Q37*'Data Komponen'!$D$23</f>
        <v>0.0</v>
      </c>
      <c r="P37" s="189">
        <f>Q37/Q$38</f>
        <v>0.0</v>
      </c>
      <c r="Q37" s="191">
        <f>0</f>
        <v>0.0</v>
      </c>
      <c r="R37" s="189">
        <f>S37/S$38</f>
        <v>0.0</v>
      </c>
      <c r="S37" s="190">
        <f>U37*'Data Komponen'!$D$23</f>
        <v>0.0</v>
      </c>
      <c r="T37" s="189">
        <f>U37/U$38</f>
        <v>0.0</v>
      </c>
      <c r="U37" s="191">
        <f>E37+I37</f>
        <v>0.0</v>
      </c>
    </row>
    <row r="38">
      <c r="A38" s="182" t="inlineStr">
        <is>
          <t>Sub Total</t>
        </is>
      </c>
      <c r="B38" s="189">
        <f>SUM(B17:B37)</f>
        <v>1.0000000000000002</v>
      </c>
      <c r="C38" s="190">
        <f>SUM(C17:C37)</f>
        <v>21384.594459303833</v>
      </c>
      <c r="D38" s="189">
        <f>SUM(D17:D37)</f>
        <v>1.0</v>
      </c>
      <c r="E38" s="191">
        <f>SUM(E17:E37)</f>
        <v>216.06475860322578</v>
      </c>
      <c r="F38" s="189">
        <f>SUM(F17:F37)</f>
        <v>0.9999999999999998</v>
      </c>
      <c r="G38" s="190">
        <f>SUM(G17:G37)</f>
        <v>43083.06643327203</v>
      </c>
      <c r="H38" s="189">
        <f>SUM(H17:H37)</f>
        <v>0.9999999999999996</v>
      </c>
      <c r="I38" s="191">
        <f>SUM(I17:I37)</f>
        <v>1086.1876327218315</v>
      </c>
      <c r="J38" s="189">
        <f>SUM(J17:J37)</f>
        <v>1.0</v>
      </c>
      <c r="K38" s="190">
        <f>SUM(K17:K37)</f>
        <v>19487.072197175527</v>
      </c>
      <c r="L38" s="189">
        <f>SUM(L17:L37)</f>
        <v>0.9999999999999999</v>
      </c>
      <c r="M38" s="191">
        <f>SUM(M17:M37)</f>
        <v>678.6748687896428</v>
      </c>
      <c r="N38" s="189">
        <f>SUM(N17:N37)</f>
        <v>1.0</v>
      </c>
      <c r="O38" s="190">
        <f>SUM(O17:O37)</f>
        <v>3764.4817043717962</v>
      </c>
      <c r="P38" s="189">
        <f>SUM(P17:P37)</f>
        <v>1.0</v>
      </c>
      <c r="Q38" s="191">
        <f>SUM(Q17:Q37)</f>
        <v>202.7947567326817</v>
      </c>
      <c r="R38" s="189">
        <f>SUM(R17:R37)</f>
        <v>1.0</v>
      </c>
      <c r="S38" s="190">
        <f>SUM(S17:S37)</f>
        <v>41216.10699102872</v>
      </c>
      <c r="T38" s="189">
        <f>SUM(T17:T37)</f>
        <v>1.0</v>
      </c>
      <c r="U38" s="191">
        <f>SUM(U17:U37)</f>
        <v>420.7827658027324</v>
      </c>
    </row>
    <row r="39">
      <c r="A39" s="182" t="inlineStr">
        <is>
          <t>TOTAL MASSA</t>
        </is>
      </c>
      <c r="B39" s="190">
        <f>C38+G38</f>
        <v>64467.66089257586</v>
      </c>
      <c r="C39" s="183" t="n"/>
      <c r="D39" s="183" t="n"/>
      <c r="E39" s="183" t="n"/>
      <c r="F39" s="183" t="n"/>
      <c r="G39" s="183" t="n"/>
      <c r="H39" s="183" t="n"/>
      <c r="I39" s="184" t="n"/>
      <c r="J39" s="190">
        <f>K38+O38+S38</f>
        <v>64467.66089257604</v>
      </c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4" t="n"/>
    </row>
    <row r="40">
      <c r="A40" s="182" t="inlineStr">
        <is>
          <t>Selisih (Inlet − Outlet), kg/h</t>
        </is>
      </c>
      <c r="B40" s="190">
        <f>B39-J39</f>
        <v>-1.7462298274040222e-10</v>
      </c>
      <c r="C40" s="183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3" t="n"/>
      <c r="S40" s="183" t="n"/>
      <c r="T40" s="183" t="n"/>
      <c r="U40" s="184" t="n"/>
    </row>
    <row r="43">
      <c r="A43" s="172" t="inlineStr">
        <is>
          <t>Neraca Energi P-101: Pompa EDC dari R-01</t>
        </is>
      </c>
    </row>
    <row r="44">
      <c r="A44" s="174" t="inlineStr">
        <is>
          <t>Reference state: unsur pada 25 °C dan 1 atm (metode panas pembentukan)</t>
        </is>
      </c>
    </row>
    <row r="45">
      <c r="A45" s="182" t="inlineStr">
        <is>
          <t>No. aliran PFD</t>
        </is>
      </c>
      <c r="B45" s="182" t="n">
        <v>14</v>
      </c>
      <c r="C45" s="184" t="n"/>
      <c r="D45" s="182" t="n">
        <v>15</v>
      </c>
      <c r="E45" s="184" t="n"/>
    </row>
    <row r="46">
      <c r="A46" s="182" t="inlineStr">
        <is>
          <t>Dari</t>
        </is>
      </c>
      <c r="B46" s="192" t="inlineStr">
        <is>
          <t>R-01</t>
        </is>
      </c>
      <c r="C46" s="184" t="n"/>
      <c r="D46" s="192" t="inlineStr">
        <is>
          <t>P-101</t>
        </is>
      </c>
      <c r="E46" s="184" t="n"/>
    </row>
    <row r="47">
      <c r="A47" s="182" t="inlineStr">
        <is>
          <t>Ke</t>
        </is>
      </c>
      <c r="B47" s="192" t="inlineStr">
        <is>
          <t>P-101</t>
        </is>
      </c>
      <c r="C47" s="184" t="n"/>
      <c r="D47" s="192" t="inlineStr">
        <is>
          <t>M-101</t>
        </is>
      </c>
      <c r="E47" s="184" t="n"/>
    </row>
    <row r="48">
      <c r="A48" s="182" t="inlineStr">
        <is>
          <t>T (K)</t>
        </is>
      </c>
      <c r="B48" s="193">
        <f>'NME-1 Klorinasi Langsung'!$J$218</f>
        <v>338.15</v>
      </c>
      <c r="C48" s="184" t="n"/>
      <c r="D48" s="193">
        <f>IFERROR(IF(D48&lt;100,$B$48,D48+(B64-D60)/(SUM(D54:D59)*('Data Termo'!$J$20+'Data Termo'!$K$20*D48+'Data Termo'!$L$20*D48^2+'Data Termo'!$M$20*D48^3))),$B$48)</f>
        <v>338.5094702778024</v>
      </c>
      <c r="E48" s="184" t="n"/>
    </row>
    <row r="49">
      <c r="A49" s="182" t="inlineStr">
        <is>
          <t>T (°C)</t>
        </is>
      </c>
      <c r="B49" s="193">
        <f>'NME-1 Klorinasi Langsung'!$J$219</f>
        <v>65.0</v>
      </c>
      <c r="C49" s="184" t="n"/>
      <c r="D49" s="193">
        <f>IF(ISNUMBER(D48),D48-273.15,"-")</f>
        <v>65.35947027780242</v>
      </c>
      <c r="E49" s="184" t="n"/>
    </row>
    <row r="50">
      <c r="A50" s="182" t="inlineStr">
        <is>
          <t>P (bar abs)</t>
        </is>
      </c>
      <c r="B50" s="194">
        <f>'NME-1 Klorinasi Langsung'!$J$220</f>
        <v>1.01325</v>
      </c>
      <c r="C50" s="184" t="n"/>
      <c r="D50" s="194" t="n">
        <v>5.370225</v>
      </c>
      <c r="E50" s="184" t="n"/>
    </row>
    <row r="51">
      <c r="A51" s="182" t="inlineStr">
        <is>
          <t>Substance</t>
        </is>
      </c>
      <c r="B51" s="182" t="inlineStr">
        <is>
          <t>INLET</t>
        </is>
      </c>
      <c r="C51" s="184" t="n"/>
      <c r="D51" s="182" t="inlineStr">
        <is>
          <t>OUTLET</t>
        </is>
      </c>
      <c r="E51" s="184" t="n"/>
    </row>
    <row r="52">
      <c r="A52" s="185" t="n"/>
      <c r="B52" s="182" t="inlineStr">
        <is>
          <t>Aliran 14</t>
        </is>
      </c>
      <c r="C52" s="184" t="n"/>
      <c r="D52" s="182" t="inlineStr">
        <is>
          <t>Aliran 15</t>
        </is>
      </c>
      <c r="E52" s="184" t="n"/>
    </row>
    <row r="53">
      <c r="A53" s="186" t="n"/>
      <c r="B53" s="182" t="inlineStr">
        <is>
          <t>ṅᵢ (kmol/h)</t>
        </is>
      </c>
      <c r="C53" s="182" t="inlineStr">
        <is>
          <t>Ĥᵢ (kJ/kmol)</t>
        </is>
      </c>
      <c r="D53" s="182" t="inlineStr">
        <is>
          <t>ṅᵢ (kmol/h)</t>
        </is>
      </c>
      <c r="E53" s="182" t="inlineStr">
        <is>
          <t>Ĥᵢ (kJ/kmol)</t>
        </is>
      </c>
    </row>
    <row r="54">
      <c r="A54" s="188" t="inlineStr">
        <is>
          <t>H₂O (l)</t>
        </is>
      </c>
      <c r="B54" s="191">
        <f>'NME-1 Klorinasi Langsung'!Q27</f>
        <v>0.010242885514456384</v>
      </c>
      <c r="C54" s="195">
        <f>'Data Termo'!$X$12+('Data Termo'!$J$12*($B$48-298.15)+'Data Termo'!$K$12/2*($B$48^2-298.15^2)+'Data Termo'!$L$12/3*($B$48^3-298.15^3)+'Data Termo'!$M$12/4*($B$48^4-298.15^4))</f>
        <v>-281483.37349964835</v>
      </c>
      <c r="D54" s="191">
        <f>E23</f>
        <v>0.010242885514456384</v>
      </c>
      <c r="E54" s="195">
        <f>'Data Termo'!$X$12+('Data Termo'!$J$12*($D$48-298.15)+'Data Termo'!$K$12/2*($D$48^2-298.15^2)+'Data Termo'!$L$12/3*($D$48^3-298.15^3)+'Data Termo'!$M$12/4*($D$48^4-298.15^4))</f>
        <v>-281456.3819551334</v>
      </c>
    </row>
    <row r="55">
      <c r="A55" s="188" t="inlineStr">
        <is>
          <t>Br₂ (l)</t>
        </is>
      </c>
      <c r="B55" s="191">
        <f>'NME-1 Klorinasi Langsung'!Q29</f>
        <v>0.008660028716159318</v>
      </c>
      <c r="C55" s="195">
        <f>'Data Termo'!$X$14+('Data Termo'!$J$14*($B$48-298.15)+'Data Termo'!$K$14/2*($B$48^2-298.15^2)+'Data Termo'!$L$14/3*($B$48^3-298.15^3)+'Data Termo'!$M$14/4*($B$48^4-298.15^4))</f>
        <v>2519.5019285526705</v>
      </c>
      <c r="D55" s="191">
        <f>E25</f>
        <v>0.008660028716159318</v>
      </c>
      <c r="E55" s="195">
        <f>'Data Termo'!$X$14+('Data Termo'!$J$14*($D$48-298.15)+'Data Termo'!$K$14/2*($D$48^2-298.15^2)+'Data Termo'!$L$14/3*($D$48^3-298.15^3)+'Data Termo'!$M$14/4*($D$48^4-298.15^4))</f>
        <v>2547.5951687993856</v>
      </c>
    </row>
    <row r="56">
      <c r="A56" s="188" t="inlineStr">
        <is>
          <t>NCl₃ (l)</t>
        </is>
      </c>
      <c r="B56" s="191">
        <f>'NME-1 Klorinasi Langsung'!Q30</f>
        <v>0.0006387709001195385</v>
      </c>
      <c r="C56" s="195">
        <f>'Data Termo'!$X$15+('Data Termo'!$J$15*($B$48-298.15)+'Data Termo'!$K$15/2*($B$48^2-298.15^2)+'Data Termo'!$L$15/3*($B$48^3-298.15^3)+'Data Termo'!$M$15/4*($B$48^4-298.15^4))</f>
        <v>234153.31534308888</v>
      </c>
      <c r="D56" s="191">
        <f>E26</f>
        <v>0.0006387709001195385</v>
      </c>
      <c r="E56" s="195">
        <f>'Data Termo'!$X$15+('Data Termo'!$J$15*($D$48-298.15)+'Data Termo'!$K$15/2*($D$48^2-298.15^2)+'Data Termo'!$L$15/3*($D$48^3-298.15^3)+'Data Termo'!$M$15/4*($D$48^4-298.15^4))</f>
        <v>234191.06348227698</v>
      </c>
    </row>
    <row r="57">
      <c r="A57" s="188" t="inlineStr">
        <is>
          <t>EDC (l)</t>
        </is>
      </c>
      <c r="B57" s="191">
        <f>'NME-1 Klorinasi Langsung'!Q35</f>
        <v>215.97061771148134</v>
      </c>
      <c r="C57" s="195">
        <f>'Data Termo'!$X$20+('Data Termo'!$J$20*($B$48-298.15)+'Data Termo'!$K$20/2*($B$48^2-298.15^2)+'Data Termo'!$L$20/3*($B$48^3-298.15^3)+'Data Termo'!$M$20/4*($B$48^4-298.15^4))</f>
        <v>-159481.33323725834</v>
      </c>
      <c r="D57" s="191">
        <f>E31</f>
        <v>215.97061771148134</v>
      </c>
      <c r="E57" s="195">
        <f>'Data Termo'!$X$20+('Data Termo'!$J$20*($D$48-298.15)+'Data Termo'!$K$20/2*($D$48^2-298.15^2)+'Data Termo'!$L$20/3*($D$48^3-298.15^3)+'Data Termo'!$M$20/4*($D$48^4-298.15^4))</f>
        <v>-159432.8457199762</v>
      </c>
    </row>
    <row r="58">
      <c r="A58" s="188" t="inlineStr">
        <is>
          <t>TCE (l)</t>
        </is>
      </c>
      <c r="B58" s="191">
        <f>'NME-1 Klorinasi Langsung'!Q36</f>
        <v>0.04817685591565345</v>
      </c>
      <c r="C58" s="195">
        <f>'Data Termo'!$X$21+('Data Termo'!$J$21*($B$48-298.15)+'Data Termo'!$K$21/2*($B$48^2-298.15^2)+'Data Termo'!$L$21/3*($B$48^3-298.15^3)+'Data Termo'!$M$21/4*($B$48^4-298.15^4))</f>
        <v>-170626.8981616397</v>
      </c>
      <c r="D58" s="191">
        <f>E32</f>
        <v>0.04817685591565345</v>
      </c>
      <c r="E58" s="195">
        <f>'Data Termo'!$X$21+('Data Termo'!$J$21*($D$48-298.15)+'Data Termo'!$K$21/2*($D$48^2-298.15^2)+'Data Termo'!$L$21/3*($D$48^3-298.15^3)+'Data Termo'!$M$21/4*($D$48^4-298.15^4))</f>
        <v>-170569.96741174953</v>
      </c>
    </row>
    <row r="59">
      <c r="A59" s="188" t="inlineStr">
        <is>
          <t>FeCl₃ (s)</t>
        </is>
      </c>
      <c r="B59" s="191">
        <f>'NME-1 Klorinasi Langsung'!Q38</f>
        <v>0.02642235069805515</v>
      </c>
      <c r="C59" s="195">
        <f>'Data Termo'!$T$23*1000+('Data Termo'!$N$23*($B$48-298.15)+'Data Termo'!$O$23/2*($B$48^2-298.15^2)+'Data Termo'!$P$23/3*($B$48^3-298.15^3))</f>
        <v>-395495.87737688166</v>
      </c>
      <c r="D59" s="191">
        <f>E34</f>
        <v>0.02642235069805515</v>
      </c>
      <c r="E59" s="195">
        <f>'Data Termo'!$T$23*1000+('Data Termo'!$N$23*($D$48-298.15)+'Data Termo'!$O$23/2*($D$48^2-298.15^2)+'Data Termo'!$P$23/3*($D$48^3-298.15^3))</f>
        <v>-395458.92576800165</v>
      </c>
    </row>
    <row r="60">
      <c r="A60" s="196" t="inlineStr">
        <is>
          <t>Sub Total ṅᵢĤᵢ (kJ/h)</t>
        </is>
      </c>
      <c r="B60" s="197">
        <f>SUMPRODUCT(B54:B59,C54:C59)</f>
        <v>-34464664.063646965</v>
      </c>
      <c r="C60" s="184" t="n"/>
      <c r="D60" s="197">
        <f>SUMPRODUCT(D54:D59,E54:E59)</f>
        <v>-34454187.92162336</v>
      </c>
      <c r="E60" s="184" t="n"/>
    </row>
    <row r="61">
      <c r="A61" s="188" t="inlineStr">
        <is>
          <t>Heat of reaction / heat of mixing</t>
        </is>
      </c>
      <c r="B61" s="198" t="inlineStr">
        <is>
          <t>-</t>
        </is>
      </c>
      <c r="C61" s="183" t="n"/>
      <c r="D61" s="183" t="n"/>
      <c r="E61" s="184" t="n"/>
    </row>
    <row r="62">
      <c r="A62" s="196" t="inlineStr">
        <is>
          <t>Q (kJ/h)</t>
        </is>
      </c>
      <c r="B62" s="197" t="n">
        <v>0</v>
      </c>
      <c r="C62" s="183" t="n"/>
      <c r="D62" s="183" t="n"/>
      <c r="E62" s="184" t="n"/>
    </row>
    <row r="63">
      <c r="A63" s="196" t="inlineStr">
        <is>
          <t>W (kJ/h)</t>
        </is>
      </c>
      <c r="B63" s="197">
        <f>'NME-1 Klorinasi Langsung'!O42/(1000*'Data Termo'!$D$33*'Data Termo'!$D$34^(-((1-$B$48/'Data Termo'!$D$36)^'Data Termo'!$D$35)))*MAX(0,($D$50-$B$50)*100)/$B$10</f>
        <v>10476.142023607968</v>
      </c>
      <c r="C63" s="183" t="n"/>
      <c r="D63" s="183" t="n"/>
      <c r="E63" s="184" t="n"/>
    </row>
    <row r="64">
      <c r="A64" s="196" t="inlineStr">
        <is>
          <t>TOTAL (kJ/h)</t>
        </is>
      </c>
      <c r="B64" s="197">
        <f>B60+$B$62+$B$63</f>
        <v>-34454187.92162336</v>
      </c>
      <c r="C64" s="184" t="n"/>
      <c r="D64" s="197">
        <f>D60</f>
        <v>-34454187.92162336</v>
      </c>
      <c r="E64" s="184" t="n"/>
    </row>
    <row r="65">
      <c r="A65" s="188" t="inlineStr">
        <is>
          <t>Selisih masuk − keluar (kJ/h)</t>
        </is>
      </c>
      <c r="B65" s="195">
        <f>B64-D64</f>
        <v>0.0</v>
      </c>
      <c r="C65" s="183" t="n"/>
      <c r="D65" s="183" t="n"/>
      <c r="E65" s="184" t="n"/>
    </row>
    <row r="66">
      <c r="A66" s="188" t="inlineStr">
        <is>
          <t>Q (kW)</t>
        </is>
      </c>
      <c r="B66" s="195">
        <f>$B$62/3600</f>
        <v>0.0</v>
      </c>
      <c r="C66" s="183" t="n"/>
      <c r="D66" s="183" t="n"/>
      <c r="E66" s="184" t="n"/>
    </row>
    <row r="67">
      <c r="A67" s="188" t="inlineStr">
        <is>
          <t>W (kW)</t>
        </is>
      </c>
      <c r="B67" s="195">
        <f>$B$63/3600</f>
        <v>2.9100394510022136</v>
      </c>
      <c r="C67" s="183" t="n"/>
      <c r="D67" s="183" t="n"/>
      <c r="E67" s="184" t="n"/>
    </row>
    <row r="70">
      <c r="A70" s="172" t="inlineStr">
        <is>
          <t>Neraca Energi Blok 3: Q-201, E-104, M-101, D-101, E-105, P-105 (satu volume kontrol)</t>
        </is>
      </c>
    </row>
    <row r="71">
      <c r="A71" s="174" t="inlineStr">
        <is>
          <t>Reference state: unsur pada 25 °C dan 1 atm (metode panas pembentukan)</t>
        </is>
      </c>
    </row>
    <row r="72">
      <c r="A72" s="182" t="inlineStr">
        <is>
          <t>No. aliran PFD</t>
        </is>
      </c>
      <c r="B72" s="182" t="n">
        <v>15</v>
      </c>
      <c r="C72" s="184" t="n"/>
      <c r="D72" s="182" t="n">
        <v>18</v>
      </c>
      <c r="E72" s="184" t="n"/>
      <c r="F72" s="182" t="n">
        <v>25</v>
      </c>
      <c r="G72" s="184" t="n"/>
      <c r="H72" s="182" t="n">
        <v>28</v>
      </c>
      <c r="I72" s="184" t="n"/>
      <c r="J72" s="182" t="n">
        <v>29</v>
      </c>
      <c r="K72" s="184" t="n"/>
    </row>
    <row r="73">
      <c r="A73" s="182" t="inlineStr">
        <is>
          <t>Dari</t>
        </is>
      </c>
      <c r="B73" s="192" t="inlineStr">
        <is>
          <t>P-101</t>
        </is>
      </c>
      <c r="C73" s="184" t="n"/>
      <c r="D73" s="192" t="inlineStr">
        <is>
          <t>R-02</t>
        </is>
      </c>
      <c r="E73" s="184" t="n"/>
      <c r="F73" s="192" t="inlineStr">
        <is>
          <t>E-105</t>
        </is>
      </c>
      <c r="G73" s="184" t="n"/>
      <c r="H73" s="192" t="inlineStr">
        <is>
          <t>P-105</t>
        </is>
      </c>
      <c r="I73" s="184" t="n"/>
      <c r="J73" s="192" t="inlineStr">
        <is>
          <t>D-101</t>
        </is>
      </c>
      <c r="K73" s="184" t="n"/>
    </row>
    <row r="74">
      <c r="A74" s="182" t="inlineStr">
        <is>
          <t>Ke</t>
        </is>
      </c>
      <c r="B74" s="192" t="inlineStr">
        <is>
          <t>M-101</t>
        </is>
      </c>
      <c r="C74" s="184" t="n"/>
      <c r="D74" s="192" t="inlineStr">
        <is>
          <t>Q-201</t>
        </is>
      </c>
      <c r="E74" s="184" t="n"/>
      <c r="F74" s="192" t="inlineStr">
        <is>
          <t>UPL</t>
        </is>
      </c>
      <c r="G74" s="184" t="n"/>
      <c r="H74" s="192" t="inlineStr">
        <is>
          <t>UPL</t>
        </is>
      </c>
      <c r="I74" s="184" t="n"/>
      <c r="J74" s="192" t="inlineStr">
        <is>
          <t>P-102</t>
        </is>
      </c>
      <c r="K74" s="184" t="n"/>
    </row>
    <row r="75">
      <c r="A75" s="182" t="inlineStr">
        <is>
          <t>T (K)</t>
        </is>
      </c>
      <c r="B75" s="193">
        <f>$D$48</f>
        <v>338.5094702778024</v>
      </c>
      <c r="C75" s="184" t="n"/>
      <c r="D75" s="193">
        <f>'NME-2 Oksiklorinasi'!$H$123</f>
        <v>498.15</v>
      </c>
      <c r="E75" s="184" t="n"/>
      <c r="F75" s="193">
        <f>F76+273.15</f>
        <v>248.14999999999998</v>
      </c>
      <c r="G75" s="184" t="n"/>
      <c r="H75" s="193">
        <f>H76+273.15</f>
        <v>308.15</v>
      </c>
      <c r="I75" s="184" t="n"/>
      <c r="J75" s="193">
        <f>J76+273.15</f>
        <v>308.15</v>
      </c>
      <c r="K75" s="184" t="n"/>
    </row>
    <row r="76">
      <c r="A76" s="182" t="inlineStr">
        <is>
          <t>T (°C)</t>
        </is>
      </c>
      <c r="B76" s="193">
        <f>$D$49</f>
        <v>65.35947027780242</v>
      </c>
      <c r="C76" s="184" t="n"/>
      <c r="D76" s="193">
        <f>'NME-2 Oksiklorinasi'!$H$124</f>
        <v>225.0</v>
      </c>
      <c r="E76" s="184" t="n"/>
      <c r="F76" s="193" t="n">
        <v>-25</v>
      </c>
      <c r="G76" s="184" t="n"/>
      <c r="H76" s="193" t="n">
        <v>35</v>
      </c>
      <c r="I76" s="184" t="n"/>
      <c r="J76" s="193" t="n">
        <v>35</v>
      </c>
      <c r="K76" s="184" t="n"/>
    </row>
    <row r="77">
      <c r="A77" s="182" t="inlineStr">
        <is>
          <t>P (bar abs)</t>
        </is>
      </c>
      <c r="B77" s="194">
        <f>$D$50</f>
        <v>5.370225</v>
      </c>
      <c r="C77" s="184" t="n"/>
      <c r="D77" s="194">
        <f>'NME-2 Oksiklorinasi'!$H$125</f>
        <v>5.370225</v>
      </c>
      <c r="E77" s="184" t="n"/>
      <c r="F77" s="194" t="n">
        <v>5.370225</v>
      </c>
      <c r="G77" s="184" t="n"/>
      <c r="H77" s="194" t="n">
        <v>5.370225</v>
      </c>
      <c r="I77" s="184" t="n"/>
      <c r="J77" s="194" t="n">
        <v>5.370225</v>
      </c>
      <c r="K77" s="184" t="n"/>
    </row>
    <row r="78">
      <c r="A78" s="182" t="inlineStr">
        <is>
          <t>Substance</t>
        </is>
      </c>
      <c r="B78" s="182" t="inlineStr">
        <is>
          <t>INLET</t>
        </is>
      </c>
      <c r="C78" s="183" t="n"/>
      <c r="D78" s="183" t="n"/>
      <c r="E78" s="184" t="n"/>
      <c r="F78" s="182" t="inlineStr">
        <is>
          <t>OUTLET</t>
        </is>
      </c>
      <c r="G78" s="183" t="n"/>
      <c r="H78" s="183" t="n"/>
      <c r="I78" s="183" t="n"/>
      <c r="J78" s="183" t="n"/>
      <c r="K78" s="184" t="n"/>
    </row>
    <row r="79">
      <c r="A79" s="185" t="n"/>
      <c r="B79" s="182" t="inlineStr">
        <is>
          <t>Aliran 15</t>
        </is>
      </c>
      <c r="C79" s="184" t="n"/>
      <c r="D79" s="182" t="inlineStr">
        <is>
          <t>Aliran 18</t>
        </is>
      </c>
      <c r="E79" s="184" t="n"/>
      <c r="F79" s="182" t="inlineStr">
        <is>
          <t>Aliran 25</t>
        </is>
      </c>
      <c r="G79" s="184" t="n"/>
      <c r="H79" s="182" t="inlineStr">
        <is>
          <t>Aliran 28</t>
        </is>
      </c>
      <c r="I79" s="184" t="n"/>
      <c r="J79" s="182" t="inlineStr">
        <is>
          <t>Aliran 29</t>
        </is>
      </c>
      <c r="K79" s="184" t="n"/>
    </row>
    <row r="80">
      <c r="A80" s="186" t="n"/>
      <c r="B80" s="182" t="inlineStr">
        <is>
          <t>ṅᵢ (kmol/h)</t>
        </is>
      </c>
      <c r="C80" s="182" t="inlineStr">
        <is>
          <t>Ĥᵢ (kJ/kmol)</t>
        </is>
      </c>
      <c r="D80" s="182" t="inlineStr">
        <is>
          <t>ṅᵢ (kmol/h)</t>
        </is>
      </c>
      <c r="E80" s="182" t="inlineStr">
        <is>
          <t>Ĥᵢ (kJ/kmol)</t>
        </is>
      </c>
      <c r="F80" s="182" t="inlineStr">
        <is>
          <t>ṅᵢ (kmol/h)</t>
        </is>
      </c>
      <c r="G80" s="182" t="inlineStr">
        <is>
          <t>Ĥᵢ (kJ/kmol)</t>
        </is>
      </c>
      <c r="H80" s="182" t="inlineStr">
        <is>
          <t>ṅᵢ (kmol/h)</t>
        </is>
      </c>
      <c r="I80" s="182" t="inlineStr">
        <is>
          <t>Ĥᵢ (kJ/kmol)</t>
        </is>
      </c>
      <c r="J80" s="182" t="inlineStr">
        <is>
          <t>ṅᵢ (kmol/h)</t>
        </is>
      </c>
      <c r="K80" s="182" t="inlineStr">
        <is>
          <t>Ĥᵢ (kJ/kmol)</t>
        </is>
      </c>
    </row>
    <row r="81">
      <c r="A81" s="188" t="inlineStr">
        <is>
          <t>C₂H₄ (g)</t>
        </is>
      </c>
      <c r="B81" s="191">
        <f>E17</f>
        <v>0.0</v>
      </c>
      <c r="C81" s="195">
        <f>'Data Termo'!$W$6+('Data Termo'!$E$6*($B$75-298.15)+'Data Termo'!$F$6/2*($B$75^2-298.15^2)+'Data Termo'!$G$6/3*($B$75^3-298.15^3)+'Data Termo'!$H$6/4*($B$75^4-298.15^4)+'Data Termo'!$I$6/5*($B$75^5-298.15^5))</f>
        <v>54136.73892823712</v>
      </c>
      <c r="D81" s="191">
        <f>'NME-2 Oksiklorinasi'!Q20</f>
        <v>1.0161969310314223</v>
      </c>
      <c r="E81" s="195">
        <f>'Data Termo'!$W$6+('Data Termo'!$E$6*($D$75-298.15)+'Data Termo'!$F$6/2*($D$75^2-298.15^2)+'Data Termo'!$G$6/3*($D$75^3-298.15^3)+'Data Termo'!$H$6/4*($D$75^4-298.15^4)+'Data Termo'!$I$6/5*($D$75^5-298.15^5))</f>
        <v>62752.70875441137</v>
      </c>
      <c r="F81" s="191">
        <f>M17</f>
        <v>1.0161969310314223</v>
      </c>
      <c r="G81" s="195">
        <f>'Data Termo'!$W$6+('Data Termo'!$E$6*($F$75-298.15)+'Data Termo'!$F$6/2*($F$75^2-298.15^2)+'Data Termo'!$G$6/3*($F$75^3-298.15^3)+'Data Termo'!$H$6/4*($F$75^4-298.15^4)+'Data Termo'!$I$6/5*($F$75^5-298.15^5))</f>
        <v>50196.50014525292</v>
      </c>
      <c r="H81" s="191">
        <f>Q17</f>
        <v>0.0</v>
      </c>
      <c r="I81" s="195">
        <f>'Data Termo'!$W$6+('Data Termo'!$E$6*($H$75-298.15)+'Data Termo'!$F$6/2*($H$75^2-298.15^2)+'Data Termo'!$G$6/3*($H$75^3-298.15^3)+'Data Termo'!$H$6/4*($H$75^4-298.15^4)+'Data Termo'!$I$6/5*($H$75^5-298.15^5))</f>
        <v>52743.1038119485</v>
      </c>
      <c r="J81" s="191">
        <f>U17</f>
        <v>0.0</v>
      </c>
      <c r="K81" s="195">
        <f>'Data Termo'!$W$6+('Data Termo'!$E$6*($J$75-298.15)+'Data Termo'!$F$6/2*($J$75^2-298.15^2)+'Data Termo'!$G$6/3*($J$75^3-298.15^3)+'Data Termo'!$H$6/4*($J$75^4-298.15^4)+'Data Termo'!$I$6/5*($J$75^5-298.15^5))</f>
        <v>52743.1038119485</v>
      </c>
    </row>
    <row r="82">
      <c r="A82" s="188" t="inlineStr">
        <is>
          <t>CH₄ (g)</t>
        </is>
      </c>
      <c r="B82" s="191">
        <f>E18</f>
        <v>0.0</v>
      </c>
      <c r="C82" s="195">
        <f>'Data Termo'!$W$7+('Data Termo'!$E$7*($B$75-298.15)+'Data Termo'!$F$7/2*($B$75^2-298.15^2)+'Data Termo'!$G$7/3*($B$75^3-298.15^3)+'Data Termo'!$H$7/4*($B$75^4-298.15^4)+'Data Termo'!$I$7/5*($B$75^5-298.15^5))</f>
        <v>-73351.08066761085</v>
      </c>
      <c r="D82" s="191">
        <f>'NME-2 Oksiklorinasi'!Q21</f>
        <v>0.08228861356962411</v>
      </c>
      <c r="E82" s="195">
        <f>'Data Termo'!$W$7+('Data Termo'!$E$7*($D$75-298.15)+'Data Termo'!$F$7/2*($D$75^2-298.15^2)+'Data Termo'!$G$7/3*($D$75^3-298.15^3)+'Data Termo'!$H$7/4*($D$75^4-298.15^4)+'Data Termo'!$I$7/5*($D$75^5-298.15^5))</f>
        <v>-66664.1297923399</v>
      </c>
      <c r="F82" s="191">
        <f>M18</f>
        <v>0.08228861356962411</v>
      </c>
      <c r="G82" s="195">
        <f>'Data Termo'!$W$7+('Data Termo'!$E$7*($F$75-298.15)+'Data Termo'!$F$7/2*($F$75^2-298.15^2)+'Data Termo'!$G$7/3*($F$75^3-298.15^3)+'Data Termo'!$H$7/4*($F$75^4-298.15^4)+'Data Termo'!$I$7/5*($F$75^5-298.15^5))</f>
        <v>-76622.93805445205</v>
      </c>
      <c r="H82" s="191">
        <f>Q18</f>
        <v>0.0</v>
      </c>
      <c r="I82" s="195">
        <f>'Data Termo'!$W$7+('Data Termo'!$E$7*($H$75-298.15)+'Data Termo'!$F$7/2*($H$75^2-298.15^2)+'Data Termo'!$G$7/3*($H$75^3-298.15^3)+'Data Termo'!$H$7/4*($H$75^4-298.15^4)+'Data Termo'!$I$7/5*($H$75^5-298.15^5))</f>
        <v>-74484.7150796583</v>
      </c>
      <c r="J82" s="191">
        <f>U18</f>
        <v>0.0</v>
      </c>
      <c r="K82" s="195">
        <f>'Data Termo'!$W$7+('Data Termo'!$E$7*($J$75-298.15)+'Data Termo'!$F$7/2*($J$75^2-298.15^2)+'Data Termo'!$G$7/3*($J$75^3-298.15^3)+'Data Termo'!$H$7/4*($J$75^4-298.15^4)+'Data Termo'!$I$7/5*($J$75^5-298.15^5))</f>
        <v>-74484.7150796583</v>
      </c>
    </row>
    <row r="83">
      <c r="A83" s="188" t="inlineStr">
        <is>
          <t>C₂H₆ (g)</t>
        </is>
      </c>
      <c r="B83" s="191">
        <f>E19</f>
        <v>0.0</v>
      </c>
      <c r="C83" s="195">
        <f>'Data Termo'!$W$8+('Data Termo'!$E$8*($B$75-298.15)+'Data Termo'!$F$8/2*($B$75^2-298.15^2)+'Data Termo'!$G$8/3*($B$75^3-298.15^3)+'Data Termo'!$H$8/4*($B$75^4-298.15^4)+'Data Termo'!$I$8/5*($B$75^5-298.15^5))</f>
        <v>-82437.10352543832</v>
      </c>
      <c r="D83" s="191">
        <f>'NME-2 Oksiklorinasi'!Q22</f>
        <v>0.00239582171861632</v>
      </c>
      <c r="E83" s="195">
        <f>'Data Termo'!$W$8+('Data Termo'!$E$8*($D$75-298.15)+'Data Termo'!$F$8/2*($D$75^2-298.15^2)+'Data Termo'!$G$8/3*($D$75^3-298.15^3)+'Data Termo'!$H$8/4*($D$75^4-298.15^4)+'Data Termo'!$I$8/5*($D$75^5-298.15^5))</f>
        <v>-71716.581758155</v>
      </c>
      <c r="F83" s="191">
        <f>M19</f>
        <v>0.00239582171861632</v>
      </c>
      <c r="G83" s="195">
        <f>'Data Termo'!$W$8+('Data Termo'!$E$8*($F$75-298.15)+'Data Termo'!$F$8/2*($F$75^2-298.15^2)+'Data Termo'!$G$8/3*($F$75^3-298.15^3)+'Data Termo'!$H$8/4*($F$75^4-298.15^4)+'Data Termo'!$I$8/5*($F$75^5-298.15^5))</f>
        <v>-87208.46417629589</v>
      </c>
      <c r="H83" s="191">
        <f>Q19</f>
        <v>0.0</v>
      </c>
      <c r="I83" s="195">
        <f>'Data Termo'!$W$8+('Data Termo'!$E$8*($H$75-298.15)+'Data Termo'!$F$8/2*($H$75^2-298.15^2)+'Data Termo'!$G$8/3*($H$75^3-298.15^3)+'Data Termo'!$H$8/4*($H$75^4-298.15^4)+'Data Termo'!$I$8/5*($H$75^5-298.15^5))</f>
        <v>-84141.36883188365</v>
      </c>
      <c r="J83" s="191">
        <f>U19</f>
        <v>0.0</v>
      </c>
      <c r="K83" s="195">
        <f>'Data Termo'!$W$8+('Data Termo'!$E$8*($J$75-298.15)+'Data Termo'!$F$8/2*($J$75^2-298.15^2)+'Data Termo'!$G$8/3*($J$75^3-298.15^3)+'Data Termo'!$H$8/4*($J$75^4-298.15^4)+'Data Termo'!$I$8/5*($J$75^5-298.15^5))</f>
        <v>-84141.36883188365</v>
      </c>
    </row>
    <row r="84">
      <c r="A84" s="188" t="inlineStr">
        <is>
          <t>C₂H₂ (g)</t>
        </is>
      </c>
      <c r="B84" s="191">
        <f>E20</f>
        <v>0.0</v>
      </c>
      <c r="C84" s="195">
        <f>'Data Termo'!$W$9+('Data Termo'!$E$9*($B$75-298.15)+'Data Termo'!$F$9/2*($B$75^2-298.15^2)+'Data Termo'!$G$9/3*($B$75^3-298.15^3)+'Data Termo'!$H$9/4*($B$75^4-298.15^4)+'Data Termo'!$I$9/5*($B$75^5-298.15^5))</f>
        <v>228572.19572956383</v>
      </c>
      <c r="D84" s="191">
        <f>'NME-2 Oksiklorinasi'!Q23</f>
        <v>0.0010597077334245327</v>
      </c>
      <c r="E84" s="195">
        <f>'Data Termo'!$W$9+('Data Termo'!$E$9*($D$75-298.15)+'Data Termo'!$F$9/2*($D$75^2-298.15^2)+'Data Termo'!$G$9/3*($D$75^3-298.15^3)+'Data Termo'!$H$9/4*($D$75^4-298.15^4)+'Data Termo'!$I$9/5*($D$75^5-298.15^5))</f>
        <v>236646.15314114728</v>
      </c>
      <c r="F84" s="191">
        <f>M20</f>
        <v>0.0010597077334245327</v>
      </c>
      <c r="G84" s="195">
        <f>'Data Termo'!$W$9+('Data Termo'!$E$9*($F$75-298.15)+'Data Termo'!$F$9/2*($F$75^2-298.15^2)+'Data Termo'!$G$9/3*($F$75^3-298.15^3)+'Data Termo'!$H$9/4*($F$75^4-298.15^4)+'Data Termo'!$I$9/5*($F$75^5-298.15^5))</f>
        <v>224582.03171011122</v>
      </c>
      <c r="H84" s="191">
        <f>Q20</f>
        <v>0.0</v>
      </c>
      <c r="I84" s="195">
        <f>'Data Termo'!$W$9+('Data Termo'!$E$9*($H$75-298.15)+'Data Termo'!$F$9/2*($H$75^2-298.15^2)+'Data Termo'!$G$9/3*($H$75^3-298.15^3)+'Data Termo'!$H$9/4*($H$75^4-298.15^4)+'Data Termo'!$I$9/5*($H$75^5-298.15^5))</f>
        <v>227177.83669959859</v>
      </c>
      <c r="J84" s="191">
        <f>U20</f>
        <v>0.0</v>
      </c>
      <c r="K84" s="195">
        <f>'Data Termo'!$W$9+('Data Termo'!$E$9*($J$75-298.15)+'Data Termo'!$F$9/2*($J$75^2-298.15^2)+'Data Termo'!$G$9/3*($J$75^3-298.15^3)+'Data Termo'!$H$9/4*($J$75^4-298.15^4)+'Data Termo'!$I$9/5*($J$75^5-298.15^5))</f>
        <v>227177.83669959859</v>
      </c>
    </row>
    <row r="85">
      <c r="A85" s="188" t="inlineStr">
        <is>
          <t>Cl₂ (l / g / g / l / l)</t>
        </is>
      </c>
      <c r="B85" s="191">
        <f>E21</f>
        <v>0.0</v>
      </c>
      <c r="C85" s="195">
        <f>'Data Termo'!$X$10+('Data Termo'!$J$10*($B$75-298.15)+'Data Termo'!$K$10/2*($B$75^2-298.15^2)+'Data Termo'!$L$10/3*($B$75^3-298.15^3)+'Data Termo'!$M$10/4*($B$75^4-298.15^4))</f>
        <v>-14090.59463802771</v>
      </c>
      <c r="D85" s="191">
        <f>'NME-2 Oksiklorinasi'!Q24</f>
        <v>3.095018670362267</v>
      </c>
      <c r="E85" s="195">
        <f>'Data Termo'!$W$10+('Data Termo'!$E$10*($D$75-298.15)+'Data Termo'!$F$10/2*($D$75^2-298.15^2)+'Data Termo'!$G$10/3*($D$75^3-298.15^3)+'Data Termo'!$H$10/4*($D$75^4-298.15^4)+'Data Termo'!$I$10/5*($D$75^5-298.15^5))</f>
        <v>6984.624893208501</v>
      </c>
      <c r="F85" s="191">
        <f>M21</f>
        <v>3.095018670362267</v>
      </c>
      <c r="G85" s="195">
        <f>'Data Termo'!$W$10+('Data Termo'!$E$10*($F$75-298.15)+'Data Termo'!$F$10/2*($F$75^2-298.15^2)+'Data Termo'!$G$10/3*($F$75^3-298.15^3)+'Data Termo'!$H$10/4*($F$75^4-298.15^4)+'Data Termo'!$I$10/5*($F$75^5-298.15^5))</f>
        <v>-1667.0565308734328</v>
      </c>
      <c r="H85" s="191">
        <f>Q21</f>
        <v>0.0</v>
      </c>
      <c r="I85" s="195">
        <f>'Data Termo'!$X$10+('Data Termo'!$J$10*($H$75-298.15)+'Data Termo'!$K$10/2*($H$75^2-298.15^2)+'Data Termo'!$L$10/3*($H$75^3-298.15^3)+'Data Termo'!$M$10/4*($H$75^4-298.15^4))</f>
        <v>-16518.349136331202</v>
      </c>
      <c r="J85" s="191">
        <f>U21</f>
        <v>0.0</v>
      </c>
      <c r="K85" s="195">
        <f>'Data Termo'!$X$10+('Data Termo'!$J$10*($J$75-298.15)+'Data Termo'!$K$10/2*($J$75^2-298.15^2)+'Data Termo'!$L$10/3*($J$75^3-298.15^3)+'Data Termo'!$M$10/4*($J$75^4-298.15^4))</f>
        <v>-16518.349136331202</v>
      </c>
    </row>
    <row r="86">
      <c r="A86" s="188" t="inlineStr">
        <is>
          <t>H₂O (l / g / g / l / l)</t>
        </is>
      </c>
      <c r="B86" s="191">
        <f>E23</f>
        <v>0.010242885514456384</v>
      </c>
      <c r="C86" s="195">
        <f>'Data Termo'!$X$12+('Data Termo'!$J$12*($B$75-298.15)+'Data Termo'!$K$12/2*($B$75^2-298.15^2)+'Data Termo'!$L$12/3*($B$75^3-298.15^3)+'Data Termo'!$M$12/4*($B$75^4-298.15^4))</f>
        <v>-281456.3819551334</v>
      </c>
      <c r="D86" s="191">
        <f>'NME-2 Oksiklorinasi'!Q26</f>
        <v>201.61347111664787</v>
      </c>
      <c r="E86" s="195">
        <f>'Data Termo'!$W$12+('Data Termo'!$E$12*($D$75-298.15)+'Data Termo'!$F$12/2*($D$75^2-298.15^2)+'Data Termo'!$G$12/3*($D$75^3-298.15^3)+'Data Termo'!$H$12/4*($D$75^4-298.15^4)+'Data Termo'!$I$12/5*($D$75^5-298.15^5))</f>
        <v>-234933.95891247338</v>
      </c>
      <c r="F86" s="191">
        <f>M23</f>
        <v>0.0</v>
      </c>
      <c r="G86" s="195">
        <f>'Data Termo'!$W$12+('Data Termo'!$E$12*($F$75-298.15)+'Data Termo'!$F$12/2*($F$75^2-298.15^2)+'Data Termo'!$G$12/3*($F$75^3-298.15^3)+'Data Termo'!$H$12/4*($F$75^4-298.15^4)+'Data Termo'!$I$12/5*($F$75^5-298.15^5))</f>
        <v>-243476.27965578728</v>
      </c>
      <c r="H86" s="191">
        <f>Q23</f>
        <v>197.04795968731017</v>
      </c>
      <c r="I86" s="195">
        <f>'Data Termo'!$X$12+('Data Termo'!$J$12*($H$75-298.15)+'Data Termo'!$K$12/2*($H$75^2-298.15^2)+'Data Termo'!$L$12/3*($H$75^3-298.15^3)+'Data Termo'!$M$12/4*($H$75^4-298.15^4))</f>
        <v>-283738.51777097327</v>
      </c>
      <c r="J86" s="191">
        <f>U23</f>
        <v>4.575754314852013</v>
      </c>
      <c r="K86" s="195">
        <f>'Data Termo'!$X$12+('Data Termo'!$J$12*($J$75-298.15)+'Data Termo'!$K$12/2*($J$75^2-298.15^2)+'Data Termo'!$L$12/3*($J$75^3-298.15^3)+'Data Termo'!$M$12/4*($J$75^4-298.15^4))</f>
        <v>-283738.51777097327</v>
      </c>
    </row>
    <row r="87">
      <c r="A87" s="188" t="inlineStr">
        <is>
          <t>Br₂ (l / g / g / l / l)</t>
        </is>
      </c>
      <c r="B87" s="191">
        <f>E25</f>
        <v>0.008660028716159318</v>
      </c>
      <c r="C87" s="195">
        <f>'Data Termo'!$X$14+('Data Termo'!$J$14*($B$75-298.15)+'Data Termo'!$K$14/2*($B$75^2-298.15^2)+'Data Termo'!$L$14/3*($B$75^3-298.15^3)+'Data Termo'!$M$14/4*($B$75^4-298.15^4))</f>
        <v>2547.5951687993856</v>
      </c>
      <c r="D87" s="191">
        <f>'NME-2 Oksiklorinasi'!Q28</f>
        <v>0.0</v>
      </c>
      <c r="E87" s="195">
        <f>'Data Termo'!$W$14+('Data Termo'!$E$14*($D$75-298.15)+'Data Termo'!$F$14/2*($D$75^2-298.15^2)+'Data Termo'!$G$14/3*($D$75^3-298.15^3)+'Data Termo'!$H$14/4*($D$75^4-298.15^4)+'Data Termo'!$I$14/5*($D$75^5-298.15^5))</f>
        <v>38245.84601008138</v>
      </c>
      <c r="F87" s="191">
        <f>M25</f>
        <v>0.0</v>
      </c>
      <c r="G87" s="195">
        <f>'Data Termo'!$W$14+('Data Termo'!$E$14*($F$75-298.15)+'Data Termo'!$F$14/2*($F$75^2-298.15^2)+'Data Termo'!$G$14/3*($F$75^3-298.15^3)+'Data Termo'!$H$14/4*($F$75^4-298.15^4)+'Data Termo'!$I$14/5*($F$75^5-298.15^5))</f>
        <v>29128.226646704738</v>
      </c>
      <c r="H87" s="191">
        <f>Q25</f>
        <v>0.0</v>
      </c>
      <c r="I87" s="195">
        <f>'Data Termo'!$X$14+('Data Termo'!$J$14*($H$75-298.15)+'Data Termo'!$K$14/2*($H$75^2-298.15^2)+'Data Termo'!$L$14/3*($H$75^3-298.15^3)+'Data Termo'!$M$14/4*($H$75^4-298.15^4))</f>
        <v>199.12488878664635</v>
      </c>
      <c r="J87" s="191">
        <f>U25</f>
        <v>0.008660028716159318</v>
      </c>
      <c r="K87" s="195">
        <f>'Data Termo'!$X$14+('Data Termo'!$J$14*($J$75-298.15)+'Data Termo'!$K$14/2*($J$75^2-298.15^2)+'Data Termo'!$L$14/3*($J$75^3-298.15^3)+'Data Termo'!$M$14/4*($J$75^4-298.15^4))</f>
        <v>199.12488878664635</v>
      </c>
    </row>
    <row r="88">
      <c r="A88" s="188" t="inlineStr">
        <is>
          <t>NCl₃ (l / g / g / l / l)</t>
        </is>
      </c>
      <c r="B88" s="191">
        <f>E26</f>
        <v>0.0006387709001195385</v>
      </c>
      <c r="C88" s="195">
        <f>'Data Termo'!$X$15+('Data Termo'!$J$15*($B$75-298.15)+'Data Termo'!$K$15/2*($B$75^2-298.15^2)+'Data Termo'!$L$15/3*($B$75^3-298.15^3)+'Data Termo'!$M$15/4*($B$75^4-298.15^4))</f>
        <v>234191.06348227698</v>
      </c>
      <c r="D88" s="191">
        <f>'NME-2 Oksiklorinasi'!Q29</f>
        <v>0.0</v>
      </c>
      <c r="E88" s="195">
        <f>'Data Termo'!$X$15+('Data Termo'!$J$15*($D$75-298.15)+'Data Termo'!$K$15/2*($D$75^2-298.15^2)+'Data Termo'!$L$15/3*($D$75^3-298.15^3)+'Data Termo'!$M$15/4*($D$75^4-298.15^4))+('Data Termo'!$Q$15*1000*MAX(0,1-$D$75/'Data Termo'!$R$15)^'Data Termo'!$S$15)</f>
        <v>272638.41957773216</v>
      </c>
      <c r="F88" s="191">
        <f>M26</f>
        <v>0.0</v>
      </c>
      <c r="G88" s="195">
        <f>'Data Termo'!$X$15+('Data Termo'!$J$15*($F$75-298.15)+'Data Termo'!$K$15/2*($F$75^2-298.15^2)+'Data Termo'!$L$15/3*($F$75^3-298.15^3)+'Data Termo'!$M$15/4*($F$75^4-298.15^4))+('Data Termo'!$Q$15*1000*MAX(0,1-$F$75/'Data Termo'!$R$15)^'Data Termo'!$S$15)</f>
        <v>259737.61701401806</v>
      </c>
      <c r="H88" s="191">
        <f>Q26</f>
        <v>0.0</v>
      </c>
      <c r="I88" s="195">
        <f>'Data Termo'!$X$15+('Data Termo'!$J$15*($H$75-298.15)+'Data Termo'!$K$15/2*($H$75^2-298.15^2)+'Data Termo'!$L$15/3*($H$75^3-298.15^3)+'Data Termo'!$M$15/4*($H$75^4-298.15^4))</f>
        <v>231032.60807587663</v>
      </c>
      <c r="J88" s="191">
        <f>U26</f>
        <v>0.0006387709001195385</v>
      </c>
      <c r="K88" s="195">
        <f>'Data Termo'!$X$15+('Data Termo'!$J$15*($J$75-298.15)+'Data Termo'!$K$15/2*($J$75^2-298.15^2)+'Data Termo'!$L$15/3*($J$75^3-298.15^3)+'Data Termo'!$M$15/4*($J$75^4-298.15^4))</f>
        <v>231032.60807587663</v>
      </c>
    </row>
    <row r="89">
      <c r="A89" s="188" t="inlineStr">
        <is>
          <t>O₂ (g)</t>
        </is>
      </c>
      <c r="B89" s="191">
        <f>E28</f>
        <v>0.0</v>
      </c>
      <c r="C89" s="195">
        <f>'Data Termo'!$W$17+('Data Termo'!$E$17*($B$75-298.15)+'Data Termo'!$F$17/2*($B$75^2-298.15^2)+'Data Termo'!$G$17/3*($B$75^3-298.15^3)+'Data Termo'!$H$17/4*($B$75^4-298.15^4)+'Data Termo'!$I$17/5*($B$75^5-298.15^5))</f>
        <v>1194.3222316925894</v>
      </c>
      <c r="D89" s="191">
        <f>'NME-2 Oksiklorinasi'!Q31</f>
        <v>59.75237954463306</v>
      </c>
      <c r="E89" s="195">
        <f>'Data Termo'!$W$17+('Data Termo'!$E$17*($D$75-298.15)+'Data Termo'!$F$17/2*($D$75^2-298.15^2)+'Data Termo'!$G$17/3*($D$75^3-298.15^3)+'Data Termo'!$H$17/4*($D$75^4-298.15^4)+'Data Termo'!$I$17/5*($D$75^5-298.15^5))</f>
        <v>6041.620866904568</v>
      </c>
      <c r="F89" s="191">
        <f>M28</f>
        <v>59.75237954463306</v>
      </c>
      <c r="G89" s="195">
        <f>'Data Termo'!$W$17+('Data Termo'!$E$17*($F$75-298.15)+'Data Termo'!$F$17/2*($F$75^2-298.15^2)+'Data Termo'!$G$17/3*($F$75^3-298.15^3)+'Data Termo'!$H$17/4*($F$75^4-298.15^4)+'Data Termo'!$I$17/5*($F$75^5-298.15^5))</f>
        <v>-1466.196911279335</v>
      </c>
      <c r="H89" s="191">
        <f>Q28</f>
        <v>0.0</v>
      </c>
      <c r="I89" s="195">
        <f>'Data Termo'!$W$17+('Data Termo'!$E$17*($H$75-298.15)+'Data Termo'!$F$17/2*($H$75^2-298.15^2)+'Data Termo'!$G$17/3*($H$75^3-298.15^3)+'Data Termo'!$H$17/4*($H$75^4-298.15^4)+'Data Termo'!$I$17/5*($H$75^5-298.15^5))</f>
        <v>294.9373837169245</v>
      </c>
      <c r="J89" s="191">
        <f>U28</f>
        <v>0.0</v>
      </c>
      <c r="K89" s="195">
        <f>'Data Termo'!$W$17+('Data Termo'!$E$17*($J$75-298.15)+'Data Termo'!$F$17/2*($J$75^2-298.15^2)+'Data Termo'!$G$17/3*($J$75^3-298.15^3)+'Data Termo'!$H$17/4*($J$75^4-298.15^4)+'Data Termo'!$I$17/5*($J$75^5-298.15^5))</f>
        <v>294.9373837169245</v>
      </c>
    </row>
    <row r="90">
      <c r="A90" s="188" t="inlineStr">
        <is>
          <t>N₂ (g)</t>
        </is>
      </c>
      <c r="B90" s="191">
        <f>E29</f>
        <v>0.0</v>
      </c>
      <c r="C90" s="195">
        <f>'Data Termo'!$W$18+('Data Termo'!$E$18*($B$75-298.15)+'Data Termo'!$F$18/2*($B$75^2-298.15^2)+'Data Termo'!$G$18/3*($B$75^3-298.15^3)+'Data Termo'!$H$18/4*($B$75^4-298.15^4)+'Data Termo'!$I$18/5*($B$75^5-298.15^5))</f>
        <v>1174.48976942646</v>
      </c>
      <c r="D90" s="191">
        <f>'NME-2 Oksiklorinasi'!Q32</f>
        <v>611.6537718208176</v>
      </c>
      <c r="E90" s="195">
        <f>'Data Termo'!$W$18+('Data Termo'!$E$18*($D$75-298.15)+'Data Termo'!$F$18/2*($D$75^2-298.15^2)+'Data Termo'!$G$18/3*($D$75^3-298.15^3)+'Data Termo'!$H$18/4*($D$75^4-298.15^4)+'Data Termo'!$I$18/5*($D$75^5-298.15^5))</f>
        <v>5856.3327122126875</v>
      </c>
      <c r="F90" s="191">
        <f>M29</f>
        <v>611.6537718208176</v>
      </c>
      <c r="G90" s="195">
        <f>'Data Termo'!$W$18+('Data Termo'!$E$18*($F$75-298.15)+'Data Termo'!$F$18/2*($F$75^2-298.15^2)+'Data Termo'!$G$18/3*($F$75^3-298.15^3)+'Data Termo'!$H$18/4*($F$75^4-298.15^4)+'Data Termo'!$I$18/5*($F$75^5-298.15^5))</f>
        <v>-1452.0962993633736</v>
      </c>
      <c r="H90" s="191">
        <f>Q29</f>
        <v>0.0</v>
      </c>
      <c r="I90" s="195">
        <f>'Data Termo'!$W$18+('Data Termo'!$E$18*($H$75-298.15)+'Data Termo'!$F$18/2*($H$75^2-298.15^2)+'Data Termo'!$G$18/3*($H$75^3-298.15^3)+'Data Termo'!$H$18/4*($H$75^4-298.15^4)+'Data Termo'!$I$18/5*($H$75^5-298.15^5))</f>
        <v>290.77108187013283</v>
      </c>
      <c r="J90" s="191">
        <f>U29</f>
        <v>0.0</v>
      </c>
      <c r="K90" s="195">
        <f>'Data Termo'!$W$18+('Data Termo'!$E$18*($J$75-298.15)+'Data Termo'!$F$18/2*($J$75^2-298.15^2)+'Data Termo'!$G$18/3*($J$75^3-298.15^3)+'Data Termo'!$H$18/4*($J$75^4-298.15^4)+'Data Termo'!$I$18/5*($J$75^5-298.15^5))</f>
        <v>290.77108187013283</v>
      </c>
    </row>
    <row r="91">
      <c r="A91" s="188" t="inlineStr">
        <is>
          <t>CO₂ (g)</t>
        </is>
      </c>
      <c r="B91" s="191">
        <f>E30</f>
        <v>0.0</v>
      </c>
      <c r="C91" s="195">
        <f>'Data Termo'!$W$19+('Data Termo'!$E$19*($B$75-298.15)+'Data Termo'!$F$19/2*($B$75^2-298.15^2)+'Data Termo'!$G$19/3*($B$75^3-298.15^3)+'Data Termo'!$H$19/4*($B$75^4-298.15^4)+'Data Termo'!$I$19/5*($B$75^5-298.15^5))</f>
        <v>-391923.9934172015</v>
      </c>
      <c r="D91" s="191">
        <f>'NME-2 Oksiklorinasi'!Q33</f>
        <v>2.0323938620725244</v>
      </c>
      <c r="E91" s="195">
        <f>'Data Termo'!$W$19+('Data Termo'!$E$19*($D$75-298.15)+'Data Termo'!$F$19/2*($D$75^2-298.15^2)+'Data Termo'!$G$19/3*($D$75^3-298.15^3)+'Data Termo'!$H$19/4*($D$75^4-298.15^4)+'Data Termo'!$I$19/5*($D$75^5-298.15^5))</f>
        <v>-385224.1351426729</v>
      </c>
      <c r="F91" s="191">
        <f>M30</f>
        <v>2.0323938620725244</v>
      </c>
      <c r="G91" s="195">
        <f>'Data Termo'!$W$19+('Data Termo'!$E$19*($F$75-298.15)+'Data Termo'!$F$19/2*($F$75^2-298.15^2)+'Data Termo'!$G$19/3*($F$75^3-298.15^3)+'Data Termo'!$H$19/4*($F$75^4-298.15^4)+'Data Termo'!$I$19/5*($F$75^5-298.15^5))</f>
        <v>-395380.63489571976</v>
      </c>
      <c r="H91" s="191">
        <f>Q30</f>
        <v>0.0</v>
      </c>
      <c r="I91" s="195">
        <f>'Data Termo'!$W$19+('Data Termo'!$E$19*($H$75-298.15)+'Data Termo'!$F$19/2*($H$75^2-298.15^2)+'Data Termo'!$G$19/3*($H$75^3-298.15^3)+'Data Termo'!$H$19/4*($H$75^4-298.15^4)+'Data Termo'!$I$19/5*($H$75^5-298.15^5))</f>
        <v>-393114.2361894734</v>
      </c>
      <c r="J91" s="191">
        <f>U30</f>
        <v>0.0</v>
      </c>
      <c r="K91" s="195">
        <f>'Data Termo'!$W$19+('Data Termo'!$E$19*($J$75-298.15)+'Data Termo'!$F$19/2*($J$75^2-298.15^2)+'Data Termo'!$G$19/3*($J$75^3-298.15^3)+'Data Termo'!$H$19/4*($J$75^4-298.15^4)+'Data Termo'!$I$19/5*($J$75^5-298.15^5))</f>
        <v>-393114.2361894734</v>
      </c>
    </row>
    <row r="92">
      <c r="A92" s="188" t="inlineStr">
        <is>
          <t>EDC (l / g / g / l / l)</t>
        </is>
      </c>
      <c r="B92" s="191">
        <f>E31</f>
        <v>215.97061771148134</v>
      </c>
      <c r="C92" s="195">
        <f>'Data Termo'!$X$20+('Data Termo'!$J$20*($B$75-298.15)+'Data Termo'!$K$20/2*($B$75^2-298.15^2)+'Data Termo'!$L$20/3*($B$75^3-298.15^3)+'Data Termo'!$M$20/4*($B$75^4-298.15^4))</f>
        <v>-159432.8457199762</v>
      </c>
      <c r="D92" s="191">
        <f>'NME-2 Oksiklorinasi'!Q34</f>
        <v>199.58107725457117</v>
      </c>
      <c r="E92" s="195">
        <f>'Data Termo'!$W$20+('Data Termo'!$E$20*($D$75-298.15)+'Data Termo'!$F$20/2*($D$75^2-298.15^2)+'Data Termo'!$G$20/3*($D$75^3-298.15^3)+'Data Termo'!$H$20/4*($D$75^4-298.15^4)+'Data Termo'!$I$20/5*($D$75^5-298.15^5))</f>
        <v>-111359.87320254392</v>
      </c>
      <c r="F92" s="191">
        <f>M31</f>
        <v>0.9984023424483701</v>
      </c>
      <c r="G92" s="195">
        <f>'Data Termo'!$W$20+('Data Termo'!$E$20*($F$75-298.15)+'Data Termo'!$F$20/2*($F$75^2-298.15^2)+'Data Termo'!$G$20/3*($F$75^3-298.15^3)+'Data Termo'!$H$20/4*($F$75^4-298.15^4)+'Data Termo'!$I$20/5*($F$75^5-298.15^5))</f>
        <v>-133491.77372997807</v>
      </c>
      <c r="H92" s="191">
        <f>Q31</f>
        <v>0.030432657600596623</v>
      </c>
      <c r="I92" s="195">
        <f>'Data Termo'!$X$20+('Data Termo'!$J$20*($H$75-298.15)+'Data Termo'!$K$20/2*($H$75^2-298.15^2)+'Data Termo'!$L$20/3*($H$75^3-298.15^3)+'Data Termo'!$M$20/4*($H$75^4-298.15^4))</f>
        <v>-163456.0408027372</v>
      </c>
      <c r="J92" s="191">
        <f>U31</f>
        <v>414.5228599660036</v>
      </c>
      <c r="K92" s="195">
        <f>'Data Termo'!$X$20+('Data Termo'!$J$20*($J$75-298.15)+'Data Termo'!$K$20/2*($J$75^2-298.15^2)+'Data Termo'!$L$20/3*($J$75^3-298.15^3)+'Data Termo'!$M$20/4*($J$75^4-298.15^4))</f>
        <v>-163456.0408027372</v>
      </c>
    </row>
    <row r="93">
      <c r="A93" s="188" t="inlineStr">
        <is>
          <t>TCE (l / g / g / l / l)</t>
        </is>
      </c>
      <c r="B93" s="191">
        <f>E32</f>
        <v>0.04817685591565345</v>
      </c>
      <c r="C93" s="195">
        <f>'Data Termo'!$X$21+('Data Termo'!$J$21*($B$75-298.15)+'Data Termo'!$K$21/2*($B$75^2-298.15^2)+'Data Termo'!$L$21/3*($B$75^3-298.15^3)+'Data Termo'!$M$21/4*($B$75^4-298.15^4))</f>
        <v>-170569.96741174953</v>
      </c>
      <c r="D93" s="191">
        <f>'NME-2 Oksiklorinasi'!Q35</f>
        <v>0.0</v>
      </c>
      <c r="E93" s="195">
        <f>'Data Termo'!$W$21+('Data Termo'!$E$21*($D$75-298.15)+'Data Termo'!$F$21/2*($D$75^2-298.15^2)+'Data Termo'!$G$21/3*($D$75^3-298.15^3)+'Data Termo'!$H$21/4*($D$75^4-298.15^4)+'Data Termo'!$I$21/5*($D$75^5-298.15^5))</f>
        <v>-117915.39300648746</v>
      </c>
      <c r="F93" s="191">
        <f>M32</f>
        <v>0.0</v>
      </c>
      <c r="G93" s="195">
        <f>'Data Termo'!$W$21+('Data Termo'!$E$21*($F$75-298.15)+'Data Termo'!$F$21/2*($F$75^2-298.15^2)+'Data Termo'!$G$21/3*($F$75^3-298.15^3)+'Data Termo'!$H$21/4*($F$75^4-298.15^4)+'Data Termo'!$I$21/5*($F$75^5-298.15^5))</f>
        <v>-142727.01482199485</v>
      </c>
      <c r="H93" s="191">
        <f>Q32</f>
        <v>0.0</v>
      </c>
      <c r="I93" s="195">
        <f>'Data Termo'!$X$21+('Data Termo'!$J$21*($H$75-298.15)+'Data Termo'!$K$21/2*($H$75^2-298.15^2)+'Data Termo'!$L$21/3*($H$75^3-298.15^3)+'Data Termo'!$M$21/4*($H$75^4-298.15^4))</f>
        <v>-175297.94394529494</v>
      </c>
      <c r="J93" s="191">
        <f>U32</f>
        <v>0.04817685591565345</v>
      </c>
      <c r="K93" s="195">
        <f>'Data Termo'!$X$21+('Data Termo'!$J$21*($J$75-298.15)+'Data Termo'!$K$21/2*($J$75^2-298.15^2)+'Data Termo'!$L$21/3*($J$75^3-298.15^3)+'Data Termo'!$M$21/4*($J$75^4-298.15^4))</f>
        <v>-175297.94394529494</v>
      </c>
    </row>
    <row r="94">
      <c r="A94" s="188" t="inlineStr">
        <is>
          <t>HCl (l / g / g / aq / l)</t>
        </is>
      </c>
      <c r="B94" s="191">
        <f>E33</f>
        <v>0.0</v>
      </c>
      <c r="C94" s="195">
        <f>'Data Termo'!$X$22+('Data Termo'!$J$22*($B$75-298.15)+'Data Termo'!$K$22/2*($B$75^2-298.15^2)+'Data Termo'!$L$22/3*($B$75^3-298.15^3)+'Data Termo'!$M$22/4*($B$75^4-298.15^4))</f>
        <v>-93885.40801022646</v>
      </c>
      <c r="D94" s="191">
        <f>'NME-2 Oksiklorinasi'!Q36</f>
        <v>5.690702813775847</v>
      </c>
      <c r="E94" s="195">
        <f>'Data Termo'!$W$22+('Data Termo'!$E$22*($D$75-298.15)+'Data Termo'!$F$22/2*($D$75^2-298.15^2)+'Data Termo'!$G$22/3*($D$75^3-298.15^3)+'Data Termo'!$H$22/4*($D$75^4-298.15^4)+'Data Termo'!$I$22/5*($D$75^5-298.15^5))</f>
        <v>-86462.84126718517</v>
      </c>
      <c r="F94" s="191">
        <f>M33</f>
        <v>0.0</v>
      </c>
      <c r="G94" s="195">
        <f>'Data Termo'!$W$22+('Data Termo'!$E$22*($F$75-298.15)+'Data Termo'!$F$22/2*($F$75^2-298.15^2)+'Data Termo'!$G$22/3*($F$75^3-298.15^3)+'Data Termo'!$H$22/4*($F$75^4-298.15^4)+'Data Termo'!$I$22/5*($F$75^5-298.15^5))</f>
        <v>-93753.56259465829</v>
      </c>
      <c r="H94" s="191">
        <f>Q33</f>
        <v>5.690702813775847</v>
      </c>
      <c r="I94" s="195">
        <f>'Data Termo'!$D$29*1000+('Data Termo'!$E$22*($H$75-298.15)+'Data Termo'!$F$22/2*($H$75^2-298.15^2)+'Data Termo'!$G$22/3*($H$75^3-298.15^3)+'Data Termo'!$H$22/4*($H$75^4-298.15^4)+'Data Termo'!$I$22/5*($H$75^5-298.15^5))</f>
        <v>-166789.18056472522</v>
      </c>
      <c r="J94" s="191">
        <f>U33</f>
        <v>0.0</v>
      </c>
      <c r="K94" s="195">
        <f>'Data Termo'!$X$22+('Data Termo'!$J$22*($J$75-298.15)+'Data Termo'!$K$22/2*($J$75^2-298.15^2)+'Data Termo'!$L$22/3*($J$75^3-298.15^3)+'Data Termo'!$M$22/4*($J$75^4-298.15^4))</f>
        <v>-97326.20661282224</v>
      </c>
    </row>
    <row r="95">
      <c r="A95" s="188" t="inlineStr">
        <is>
          <t>FeCl₃ (s)</t>
        </is>
      </c>
      <c r="B95" s="191">
        <f>E34</f>
        <v>0.02642235069805515</v>
      </c>
      <c r="C95" s="195">
        <f>'Data Termo'!$T$23*1000+('Data Termo'!$N$23*($B$75-298.15)+'Data Termo'!$O$23/2*($B$75^2-298.15^2)+'Data Termo'!$P$23/3*($B$75^3-298.15^3))</f>
        <v>-395458.92576800165</v>
      </c>
      <c r="D95" s="191">
        <f>'NME-2 Oksiklorinasi'!Q37</f>
        <v>0.0</v>
      </c>
      <c r="E95" s="195">
        <f>'Data Termo'!$T$23*1000+('Data Termo'!$N$23*($D$75-298.15)+'Data Termo'!$O$23/2*($D$75^2-298.15^2)+'Data Termo'!$P$23/3*($D$75^3-298.15^3))</f>
        <v>-377698.40776440833</v>
      </c>
      <c r="F95" s="191">
        <f>M34</f>
        <v>0.0</v>
      </c>
      <c r="G95" s="195">
        <f>'Data Termo'!$T$23*1000+('Data Termo'!$N$23*($F$75-298.15)+'Data Termo'!$O$23/2*($F$75^2-298.15^2)+'Data Termo'!$P$23/3*($F$75^3-298.15^3))</f>
        <v>-404176.9468401479</v>
      </c>
      <c r="H95" s="191">
        <f>Q34</f>
        <v>0.025661573995069138</v>
      </c>
      <c r="I95" s="195">
        <f>'Data Termo'!$T$23*1000+('Data Termo'!$N$23*($H$75-298.15)+'Data Termo'!$O$23/2*($H$75^2-298.15^2)+'Data Termo'!$P$23/3*($H$75^3-298.15^3))</f>
        <v>-398519.6056734704</v>
      </c>
      <c r="J95" s="191">
        <f>U34</f>
        <v>0.0007607767029859938</v>
      </c>
      <c r="K95" s="195">
        <f>'Data Termo'!$T$23*1000+('Data Termo'!$N$23*($J$75-298.15)+'Data Termo'!$O$23/2*($J$75^2-298.15^2)+'Data Termo'!$P$23/3*($J$75^3-298.15^3))</f>
        <v>-398519.6056734704</v>
      </c>
    </row>
    <row r="96">
      <c r="A96" s="188" t="inlineStr">
        <is>
          <t>C₂H₅Cl (l / g / g / l / l)</t>
        </is>
      </c>
      <c r="B96" s="191">
        <f>E35</f>
        <v>0.0</v>
      </c>
      <c r="C96" s="195">
        <f>'Data Termo'!$X$24+('Data Termo'!$J$24*($B$75-298.15)+'Data Termo'!$K$24/2*($B$75^2-298.15^2)+'Data Termo'!$L$24/3*($B$75^3-298.15^3)+'Data Termo'!$M$24/4*($B$75^4-298.15^4))</f>
        <v>-131364.32225425626</v>
      </c>
      <c r="D96" s="191">
        <f>'NME-2 Oksiklorinasi'!Q38</f>
        <v>1.6259150896419214</v>
      </c>
      <c r="E96" s="195">
        <f>'Data Termo'!$W$24+('Data Termo'!$E$24*($D$75-298.15)+'Data Termo'!$F$24/2*($D$75^2-298.15^2)+'Data Termo'!$G$24/3*($D$75^3-298.15^3)+'Data Termo'!$H$24/4*($D$75^4-298.15^4)+'Data Termo'!$I$24/5*($D$75^5-298.15^5))</f>
        <v>-96445.91146210281</v>
      </c>
      <c r="F96" s="191">
        <f>M35</f>
        <v>0.0</v>
      </c>
      <c r="G96" s="195">
        <f>'Data Termo'!$W$24+('Data Termo'!$E$24*($F$75-298.15)+'Data Termo'!$F$24/2*($F$75^2-298.15^2)+'Data Termo'!$G$24/3*($F$75^3-298.15^3)+'Data Termo'!$H$24/4*($F$75^4-298.15^4)+'Data Termo'!$I$24/5*($F$75^5-298.15^5))</f>
        <v>-114767.0421027959</v>
      </c>
      <c r="H96" s="191">
        <f>Q35</f>
        <v>0.0</v>
      </c>
      <c r="I96" s="195">
        <f>'Data Termo'!$X$24+('Data Termo'!$J$24*($H$75-298.15)+'Data Termo'!$K$24/2*($H$75^2-298.15^2)+'Data Termo'!$L$24/3*($H$75^3-298.15^3)+'Data Termo'!$M$24/4*($H$75^4-298.15^4))</f>
        <v>-134718.29696040117</v>
      </c>
      <c r="J96" s="191">
        <f>U35</f>
        <v>1.6259150896419214</v>
      </c>
      <c r="K96" s="195">
        <f>'Data Termo'!$X$24+('Data Termo'!$J$24*($J$75-298.15)+'Data Termo'!$K$24/2*($J$75^2-298.15^2)+'Data Termo'!$L$24/3*($J$75^3-298.15^3)+'Data Termo'!$M$24/4*($J$75^4-298.15^4))</f>
        <v>-134718.29696040117</v>
      </c>
    </row>
    <row r="97">
      <c r="A97" s="188" t="inlineStr">
        <is>
          <t>VCM (l / g / g / l / l)</t>
        </is>
      </c>
      <c r="B97" s="191">
        <f>E36</f>
        <v>0.0</v>
      </c>
      <c r="C97" s="195">
        <f>'Data Termo'!$X$25+('Data Termo'!$J$25*($B$75-298.15)+'Data Termo'!$K$25/2*($B$75^2-298.15^2)+'Data Termo'!$L$25/3*($B$75^3-298.15^3)+'Data Termo'!$M$25/4*($B$75^4-298.15^4))</f>
        <v>11877.477385482518</v>
      </c>
      <c r="D97" s="191">
        <f>'NME-2 Oksiklorinasi'!Q39</f>
        <v>0.0409614752558173</v>
      </c>
      <c r="E97" s="195">
        <f>'Data Termo'!$W$25+('Data Termo'!$E$25*($D$75-298.15)+'Data Termo'!$F$25/2*($D$75^2-298.15^2)+'Data Termo'!$G$25/3*($D$75^3-298.15^3)+'Data Termo'!$H$25/4*($D$75^4-298.15^4)+'Data Termo'!$I$25/5*($D$75^5-298.15^5))</f>
        <v>41400.03981990923</v>
      </c>
      <c r="F97" s="191">
        <f>M36</f>
        <v>0.0409614752558173</v>
      </c>
      <c r="G97" s="195">
        <f>'Data Termo'!$W$25+('Data Termo'!$E$25*($F$75-298.15)+'Data Termo'!$F$25/2*($F$75^2-298.15^2)+'Data Termo'!$G$25/3*($F$75^3-298.15^3)+'Data Termo'!$H$25/4*($F$75^4-298.15^4)+'Data Termo'!$I$25/5*($F$75^5-298.15^5))</f>
        <v>25843.15109480651</v>
      </c>
      <c r="H97" s="191">
        <f>Q36</f>
        <v>0.0</v>
      </c>
      <c r="I97" s="195">
        <f>'Data Termo'!$X$25+('Data Termo'!$J$25*($H$75-298.15)+'Data Termo'!$K$25/2*($H$75^2-298.15^2)+'Data Termo'!$L$25/3*($H$75^3-298.15^3)+'Data Termo'!$M$25/4*($H$75^4-298.15^4))</f>
        <v>9112.474986527177</v>
      </c>
      <c r="J97" s="191">
        <f>U36</f>
        <v>0.0</v>
      </c>
      <c r="K97" s="195">
        <f>'Data Termo'!$X$25+('Data Termo'!$J$25*($J$75-298.15)+'Data Termo'!$K$25/2*($J$75^2-298.15^2)+'Data Termo'!$L$25/3*($J$75^3-298.15^3)+'Data Termo'!$M$25/4*($J$75^4-298.15^4))</f>
        <v>9112.474986527177</v>
      </c>
    </row>
    <row r="98">
      <c r="A98" s="196" t="inlineStr">
        <is>
          <t>Sub Total ṅᵢĤᵢ (kJ/h)</t>
        </is>
      </c>
      <c r="B98" s="197">
        <f>SUMPRODUCT(B81:B97,C81:C97)</f>
        <v>-34454187.92162336</v>
      </c>
      <c r="C98" s="184" t="n"/>
      <c r="D98" s="197">
        <f>SUMPRODUCT(D81:D97,E81:E97)</f>
        <v>-66998223.82729641</v>
      </c>
      <c r="E98" s="184" t="n"/>
      <c r="F98" s="197">
        <f>SUMPRODUCT(F81:F97,G81:G97)</f>
        <v>-1872004.216070824</v>
      </c>
      <c r="G98" s="184" t="n"/>
      <c r="H98" s="197">
        <f>SUMPRODUCT(H81:H97,I81:I97)</f>
        <v>-56874444.712690905</v>
      </c>
      <c r="I98" s="184" t="n"/>
      <c r="J98" s="197">
        <f>SUMPRODUCT(J81:J97,K81:K97)</f>
        <v>-69282222.95801459</v>
      </c>
      <c r="K98" s="184" t="n"/>
    </row>
    <row r="99">
      <c r="A99" s="188" t="inlineStr">
        <is>
          <t>Heat of reaction / heat of mixing</t>
        </is>
      </c>
      <c r="B99" s="198" t="inlineStr">
        <is>
          <t>-</t>
        </is>
      </c>
      <c r="C99" s="183" t="n"/>
      <c r="D99" s="183" t="n"/>
      <c r="E99" s="183" t="n"/>
      <c r="F99" s="183" t="n"/>
      <c r="G99" s="183" t="n"/>
      <c r="H99" s="183" t="n"/>
      <c r="I99" s="183" t="n"/>
      <c r="J99" s="183" t="n"/>
      <c r="K99" s="184" t="n"/>
    </row>
    <row r="100">
      <c r="A100" s="196" t="inlineStr">
        <is>
          <t>Q (kJ/h)</t>
        </is>
      </c>
      <c r="B100" s="197">
        <f>(F98+H98+J98)-(B98+D98)</f>
        <v>-26576260.137856558</v>
      </c>
      <c r="C100" s="183" t="n"/>
      <c r="D100" s="183" t="n"/>
      <c r="E100" s="183" t="n"/>
      <c r="F100" s="183" t="n"/>
      <c r="G100" s="183" t="n"/>
      <c r="H100" s="183" t="n"/>
      <c r="I100" s="183" t="n"/>
      <c r="J100" s="183" t="n"/>
      <c r="K100" s="184" t="n"/>
    </row>
    <row r="101">
      <c r="A101" s="196" t="inlineStr">
        <is>
          <t>W (kJ/h)</t>
        </is>
      </c>
      <c r="B101" s="197" t="n">
        <v>0</v>
      </c>
      <c r="C101" s="183" t="n"/>
      <c r="D101" s="183" t="n"/>
      <c r="E101" s="183" t="n"/>
      <c r="F101" s="183" t="n"/>
      <c r="G101" s="183" t="n"/>
      <c r="H101" s="183" t="n"/>
      <c r="I101" s="183" t="n"/>
      <c r="J101" s="183" t="n"/>
      <c r="K101" s="184" t="n"/>
    </row>
    <row r="102">
      <c r="A102" s="196" t="inlineStr">
        <is>
          <t>TOTAL (kJ/h)</t>
        </is>
      </c>
      <c r="B102" s="197">
        <f>B98+D98+$B$100+$B$101</f>
        <v>-128028671.88677633</v>
      </c>
      <c r="C102" s="183" t="n"/>
      <c r="D102" s="183" t="n"/>
      <c r="E102" s="184" t="n"/>
      <c r="F102" s="197">
        <f>F98+H98+J98</f>
        <v>-128028671.88677633</v>
      </c>
      <c r="G102" s="183" t="n"/>
      <c r="H102" s="183" t="n"/>
      <c r="I102" s="183" t="n"/>
      <c r="J102" s="183" t="n"/>
      <c r="K102" s="184" t="n"/>
    </row>
    <row r="103">
      <c r="A103" s="188" t="inlineStr">
        <is>
          <t>Selisih masuk − keluar (kJ/h)</t>
        </is>
      </c>
      <c r="B103" s="195">
        <f>B102-F102</f>
        <v>0.0</v>
      </c>
      <c r="C103" s="183" t="n"/>
      <c r="D103" s="183" t="n"/>
      <c r="E103" s="183" t="n"/>
      <c r="F103" s="183" t="n"/>
      <c r="G103" s="183" t="n"/>
      <c r="H103" s="183" t="n"/>
      <c r="I103" s="183" t="n"/>
      <c r="J103" s="183" t="n"/>
      <c r="K103" s="184" t="n"/>
    </row>
    <row r="104">
      <c r="A104" s="188" t="inlineStr">
        <is>
          <t>Q (kW)</t>
        </is>
      </c>
      <c r="B104" s="195">
        <f>$B$100/3600</f>
        <v>-7382.294482737932</v>
      </c>
      <c r="C104" s="183" t="n"/>
      <c r="D104" s="183" t="n"/>
      <c r="E104" s="183" t="n"/>
      <c r="F104" s="183" t="n"/>
      <c r="G104" s="183" t="n"/>
      <c r="H104" s="183" t="n"/>
      <c r="I104" s="183" t="n"/>
      <c r="J104" s="183" t="n"/>
      <c r="K104" s="184" t="n"/>
    </row>
    <row r="105">
      <c r="A105" s="188" t="inlineStr">
        <is>
          <t>W (kW)</t>
        </is>
      </c>
      <c r="B105" s="195">
        <f>$B$101/3600</f>
        <v>0.0</v>
      </c>
      <c r="C105" s="183" t="n"/>
      <c r="D105" s="183" t="n"/>
      <c r="E105" s="183" t="n"/>
      <c r="F105" s="183" t="n"/>
      <c r="G105" s="183" t="n"/>
      <c r="H105" s="183" t="n"/>
      <c r="I105" s="183" t="n"/>
      <c r="J105" s="183" t="n"/>
      <c r="K105" s="184" t="n"/>
    </row>
  </sheetData>
  <mergeCells count="96">
    <mergeCell ref="D60:E60"/>
    <mergeCell ref="B65:E65"/>
    <mergeCell ref="C7:L7"/>
    <mergeCell ref="D45:E45"/>
    <mergeCell ref="B77:C77"/>
    <mergeCell ref="D77:E77"/>
    <mergeCell ref="D48:E48"/>
    <mergeCell ref="F79:G79"/>
    <mergeCell ref="H79:I79"/>
    <mergeCell ref="B102:E102"/>
    <mergeCell ref="D72:E72"/>
    <mergeCell ref="F72:G72"/>
    <mergeCell ref="H72:I72"/>
    <mergeCell ref="B105:K105"/>
    <mergeCell ref="F15:I15"/>
    <mergeCell ref="J39:U39"/>
    <mergeCell ref="B49:C49"/>
    <mergeCell ref="B64:C64"/>
    <mergeCell ref="D64:E64"/>
    <mergeCell ref="B51:C51"/>
    <mergeCell ref="D73:E73"/>
    <mergeCell ref="D98:E98"/>
    <mergeCell ref="D51:E51"/>
    <mergeCell ref="F98:G98"/>
    <mergeCell ref="B78:E78"/>
    <mergeCell ref="C12:L12"/>
    <mergeCell ref="B99:K99"/>
    <mergeCell ref="J73:K73"/>
    <mergeCell ref="A14:A16"/>
    <mergeCell ref="F74:G74"/>
    <mergeCell ref="H74:I74"/>
    <mergeCell ref="B63:E63"/>
    <mergeCell ref="J77:K77"/>
    <mergeCell ref="B39:I39"/>
    <mergeCell ref="D76:E76"/>
    <mergeCell ref="F76:G76"/>
    <mergeCell ref="B100:K100"/>
    <mergeCell ref="B14:I14"/>
    <mergeCell ref="D75:E75"/>
    <mergeCell ref="B66:E66"/>
    <mergeCell ref="F75:G75"/>
    <mergeCell ref="D47:E47"/>
    <mergeCell ref="A51:A53"/>
    <mergeCell ref="H75:I75"/>
    <mergeCell ref="J75:K75"/>
    <mergeCell ref="C10:L10"/>
    <mergeCell ref="B67:E67"/>
    <mergeCell ref="B61:E61"/>
    <mergeCell ref="B40:U40"/>
    <mergeCell ref="C9:L9"/>
    <mergeCell ref="J14:U14"/>
    <mergeCell ref="B79:C79"/>
    <mergeCell ref="D79:E79"/>
    <mergeCell ref="F73:G73"/>
    <mergeCell ref="B72:C72"/>
    <mergeCell ref="B15:E15"/>
    <mergeCell ref="N15:Q15"/>
    <mergeCell ref="B52:C52"/>
    <mergeCell ref="D52:E52"/>
    <mergeCell ref="H73:I73"/>
    <mergeCell ref="D49:E49"/>
    <mergeCell ref="B98:C98"/>
    <mergeCell ref="B60:C60"/>
    <mergeCell ref="C6:L6"/>
    <mergeCell ref="J74:K74"/>
    <mergeCell ref="F77:G77"/>
    <mergeCell ref="H77:I77"/>
    <mergeCell ref="B101:K101"/>
    <mergeCell ref="B76:C76"/>
    <mergeCell ref="B45:C45"/>
    <mergeCell ref="B5:L5"/>
    <mergeCell ref="B103:K103"/>
    <mergeCell ref="B75:C75"/>
    <mergeCell ref="B47:C47"/>
    <mergeCell ref="C8:L8"/>
    <mergeCell ref="J72:K72"/>
    <mergeCell ref="B46:C46"/>
    <mergeCell ref="D46:E46"/>
    <mergeCell ref="B104:K104"/>
    <mergeCell ref="B48:C48"/>
    <mergeCell ref="H98:I98"/>
    <mergeCell ref="B62:E62"/>
    <mergeCell ref="J98:K98"/>
    <mergeCell ref="F102:K102"/>
    <mergeCell ref="B73:C73"/>
    <mergeCell ref="J79:K79"/>
    <mergeCell ref="R15:U15"/>
    <mergeCell ref="J15:M15"/>
    <mergeCell ref="F78:K78"/>
    <mergeCell ref="B74:C74"/>
    <mergeCell ref="A78:A80"/>
    <mergeCell ref="D74:E74"/>
    <mergeCell ref="H76:I76"/>
    <mergeCell ref="J76:K76"/>
    <mergeCell ref="B50:C50"/>
    <mergeCell ref="D50:E5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Q180"/>
  <sheetViews>
    <sheetView tabSelected="0" zoomScale="85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3">
      <c r="A3" s="172" t="inlineStr">
        <is>
          <t>Neraca Massa dan Energi</t>
        </is>
      </c>
    </row>
    <row r="4">
      <c r="A4" s="172" t="inlineStr">
        <is>
          <t>NM Blok 4: Pemisahan Fraksi Ringan (Kolom Ringan)</t>
        </is>
      </c>
    </row>
    <row r="5">
      <c r="A5" s="173" t="inlineStr">
        <is>
          <t>Tujuan:</t>
        </is>
      </c>
      <c r="B5" s="174" t="inlineStr">
        <is>
          <t>Memisahkan air dan komponen yang lebih ringan dari EDC</t>
        </is>
      </c>
    </row>
    <row r="6">
      <c r="A6" s="173" t="inlineStr">
        <is>
          <t>Unjuk Kerja</t>
        </is>
      </c>
      <c r="B6" s="176">
        <f>35/1000000</f>
        <v>3.5e-05</v>
      </c>
      <c r="C6" s="174" t="inlineStr">
        <is>
          <t>Kadar air dalam EDC kering di produk bawah (fraksi berat)</t>
        </is>
      </c>
    </row>
    <row r="7">
      <c r="B7" s="176">
        <f>10/1000000</f>
        <v>1e-05</v>
      </c>
      <c r="C7" s="174" t="inlineStr">
        <is>
          <t>Kadar VCM dalam produk bawah (fraksi berat)</t>
        </is>
      </c>
    </row>
    <row r="8">
      <c r="B8" s="202">
        <f>3/1000</f>
        <v>0.003</v>
      </c>
      <c r="C8" s="174" t="inlineStr">
        <is>
          <t>EDC terbawa keluar lewat vent kolom (kg/kg EDC R-01 + R-02)</t>
        </is>
      </c>
    </row>
    <row r="9">
      <c r="B9" s="203" t="inlineStr">
        <is>
          <t>Ringan</t>
        </is>
      </c>
      <c r="C9" s="174" t="inlineStr">
        <is>
          <t>Etil klorida, Br₂, NCl₃, dan gas terlarut ke distilat</t>
        </is>
      </c>
    </row>
    <row r="10">
      <c r="B10" s="199" t="n">
        <v>0.6</v>
      </c>
      <c r="C10" s="174" t="inlineStr">
        <is>
          <t>Boil-up ratio V/B reboiler KD-101</t>
        </is>
      </c>
    </row>
    <row r="12">
      <c r="A12" s="173" t="inlineStr">
        <is>
          <t>Basis Perhitungan</t>
        </is>
      </c>
      <c r="B12" s="181">
        <f>'NME-1 Klorinasi Langsung'!$B$16</f>
        <v>6100.572183061604</v>
      </c>
      <c r="C12" s="174" t="inlineStr">
        <is>
          <t>kg/h aliran etilena ke R-01 (NME-1)</t>
        </is>
      </c>
    </row>
    <row r="14">
      <c r="A14" s="182" t="inlineStr">
        <is>
          <t>Substance</t>
        </is>
      </c>
      <c r="B14" s="182" t="inlineStr">
        <is>
          <t>Inlet</t>
        </is>
      </c>
      <c r="C14" s="183" t="n"/>
      <c r="D14" s="183" t="n"/>
      <c r="E14" s="183" t="n"/>
      <c r="F14" s="183" t="n"/>
      <c r="G14" s="183" t="n"/>
      <c r="H14" s="183" t="n"/>
      <c r="I14" s="184" t="n"/>
      <c r="J14" s="182" t="inlineStr">
        <is>
          <t>Outlet</t>
        </is>
      </c>
      <c r="K14" s="183" t="n"/>
      <c r="L14" s="183" t="n"/>
      <c r="M14" s="183" t="n"/>
      <c r="N14" s="183" t="n"/>
      <c r="O14" s="183" t="n"/>
      <c r="P14" s="183" t="n"/>
      <c r="Q14" s="184" t="n"/>
    </row>
    <row r="15">
      <c r="A15" s="185" t="n"/>
      <c r="B15" s="182" t="inlineStr">
        <is>
          <t>Aliran 31</t>
        </is>
      </c>
      <c r="C15" s="183" t="n"/>
      <c r="D15" s="183" t="n"/>
      <c r="E15" s="184" t="n"/>
      <c r="F15" s="182" t="inlineStr">
        <is>
          <t>Aliran 51</t>
        </is>
      </c>
      <c r="G15" s="183" t="n"/>
      <c r="H15" s="183" t="n"/>
      <c r="I15" s="184" t="n"/>
      <c r="J15" s="182" t="inlineStr">
        <is>
          <t>Aliran 32</t>
        </is>
      </c>
      <c r="K15" s="183" t="n"/>
      <c r="L15" s="183" t="n"/>
      <c r="M15" s="184" t="n"/>
      <c r="N15" s="182" t="inlineStr">
        <is>
          <t>Aliran 33</t>
        </is>
      </c>
      <c r="O15" s="183" t="n"/>
      <c r="P15" s="183" t="n"/>
      <c r="Q15" s="184" t="n"/>
    </row>
    <row r="16">
      <c r="A16" s="186" t="n"/>
      <c r="B16" s="187" t="inlineStr">
        <is>
          <t>ẋᵢ</t>
        </is>
      </c>
      <c r="C16" s="187" t="inlineStr">
        <is>
          <t>ṁᵢ (kg/h)</t>
        </is>
      </c>
      <c r="D16" s="187" t="inlineStr">
        <is>
          <t>ẏᵢ</t>
        </is>
      </c>
      <c r="E16" s="187" t="inlineStr">
        <is>
          <t>ṅᵢ (kmol/h)</t>
        </is>
      </c>
      <c r="F16" s="187" t="inlineStr">
        <is>
          <t>ẋᵢ</t>
        </is>
      </c>
      <c r="G16" s="187" t="inlineStr">
        <is>
          <t>ṁᵢ (kg/h)</t>
        </is>
      </c>
      <c r="H16" s="187" t="inlineStr">
        <is>
          <t>ẏᵢ</t>
        </is>
      </c>
      <c r="I16" s="187" t="inlineStr">
        <is>
          <t>ṅᵢ (kmol/h)</t>
        </is>
      </c>
      <c r="J16" s="187" t="inlineStr">
        <is>
          <t>ẋᵢ</t>
        </is>
      </c>
      <c r="K16" s="187" t="inlineStr">
        <is>
          <t>ṁᵢ (kg/h)</t>
        </is>
      </c>
      <c r="L16" s="187" t="inlineStr">
        <is>
          <t>ẏᵢ</t>
        </is>
      </c>
      <c r="M16" s="187" t="inlineStr">
        <is>
          <t>ṅᵢ (kmol/h)</t>
        </is>
      </c>
      <c r="N16" s="187" t="inlineStr">
        <is>
          <t>ẋᵢ</t>
        </is>
      </c>
      <c r="O16" s="187" t="inlineStr">
        <is>
          <t>ṁᵢ (kg/h)</t>
        </is>
      </c>
      <c r="P16" s="187" t="inlineStr">
        <is>
          <t>ẏᵢ</t>
        </is>
      </c>
      <c r="Q16" s="187" t="inlineStr">
        <is>
          <t>ṅᵢ (kmol/h)</t>
        </is>
      </c>
    </row>
    <row r="17">
      <c r="A17" s="188" t="inlineStr">
        <is>
          <t>C₂H₄</t>
        </is>
      </c>
      <c r="B17" s="189">
        <f>C17/C$38</f>
        <v>0.0</v>
      </c>
      <c r="C17" s="190">
        <f>E17*'Data Komponen'!$D$3</f>
        <v>0.0</v>
      </c>
      <c r="D17" s="189">
        <f>E17/E$38</f>
        <v>0.0</v>
      </c>
      <c r="E17" s="191">
        <f>'NME-3 Kondensasi-Dekantasi'!U17</f>
        <v>0.0</v>
      </c>
      <c r="F17" s="189">
        <f>G17/G$38</f>
        <v>0.0</v>
      </c>
      <c r="G17" s="190">
        <f>I17*'Data Komponen'!$D$3</f>
        <v>0.0</v>
      </c>
      <c r="H17" s="189">
        <f>I17/I$38</f>
        <v>0.0</v>
      </c>
      <c r="I17" s="191">
        <f>'NME-8 Kolom VCM'!M16</f>
        <v>0.0</v>
      </c>
      <c r="J17" s="189">
        <f>K17/K$38</f>
        <v>0.0</v>
      </c>
      <c r="K17" s="190">
        <f>M17*'Data Komponen'!$D$3</f>
        <v>0.0</v>
      </c>
      <c r="L17" s="189">
        <f>M17/M$38</f>
        <v>0.0</v>
      </c>
      <c r="M17" s="191">
        <f>E17+I17</f>
        <v>0.0</v>
      </c>
      <c r="N17" s="189">
        <f>O17/O$38</f>
        <v>0.0</v>
      </c>
      <c r="O17" s="190">
        <f>Q17*'Data Komponen'!$D$3</f>
        <v>0.0</v>
      </c>
      <c r="P17" s="189">
        <f>Q17/Q$38</f>
        <v>0.0</v>
      </c>
      <c r="Q17" s="191">
        <f>0</f>
        <v>0.0</v>
      </c>
    </row>
    <row r="18">
      <c r="A18" s="188" t="inlineStr">
        <is>
          <t>CH₄</t>
        </is>
      </c>
      <c r="B18" s="189">
        <f>C18/C$38</f>
        <v>0.0</v>
      </c>
      <c r="C18" s="190">
        <f>E18*'Data Komponen'!$D$4</f>
        <v>0.0</v>
      </c>
      <c r="D18" s="189">
        <f>E18/E$38</f>
        <v>0.0</v>
      </c>
      <c r="E18" s="191">
        <f>'NME-3 Kondensasi-Dekantasi'!U18</f>
        <v>0.0</v>
      </c>
      <c r="F18" s="189">
        <f>G18/G$38</f>
        <v>0.0</v>
      </c>
      <c r="G18" s="190">
        <f>I18*'Data Komponen'!$D$4</f>
        <v>0.0</v>
      </c>
      <c r="H18" s="189">
        <f>I18/I$38</f>
        <v>0.0</v>
      </c>
      <c r="I18" s="191">
        <f>'NME-8 Kolom VCM'!M17</f>
        <v>0.0</v>
      </c>
      <c r="J18" s="189">
        <f>K18/K$38</f>
        <v>0.0</v>
      </c>
      <c r="K18" s="190">
        <f>M18*'Data Komponen'!$D$4</f>
        <v>0.0</v>
      </c>
      <c r="L18" s="189">
        <f>M18/M$38</f>
        <v>0.0</v>
      </c>
      <c r="M18" s="191">
        <f>E18+I18</f>
        <v>0.0</v>
      </c>
      <c r="N18" s="189">
        <f>O18/O$38</f>
        <v>0.0</v>
      </c>
      <c r="O18" s="190">
        <f>Q18*'Data Komponen'!$D$4</f>
        <v>0.0</v>
      </c>
      <c r="P18" s="189">
        <f>Q18/Q$38</f>
        <v>0.0</v>
      </c>
      <c r="Q18" s="191">
        <f>0</f>
        <v>0.0</v>
      </c>
    </row>
    <row r="19">
      <c r="A19" s="188" t="inlineStr">
        <is>
          <t>C₂H₆</t>
        </is>
      </c>
      <c r="B19" s="189">
        <f>C19/C$38</f>
        <v>0.0</v>
      </c>
      <c r="C19" s="190">
        <f>E19*'Data Komponen'!$D$5</f>
        <v>0.0</v>
      </c>
      <c r="D19" s="189">
        <f>E19/E$38</f>
        <v>0.0</v>
      </c>
      <c r="E19" s="191">
        <f>'NME-3 Kondensasi-Dekantasi'!U19</f>
        <v>0.0</v>
      </c>
      <c r="F19" s="189">
        <f>G19/G$38</f>
        <v>0.0</v>
      </c>
      <c r="G19" s="190">
        <f>I19*'Data Komponen'!$D$5</f>
        <v>0.0</v>
      </c>
      <c r="H19" s="189">
        <f>I19/I$38</f>
        <v>0.0</v>
      </c>
      <c r="I19" s="191">
        <f>'NME-8 Kolom VCM'!M18</f>
        <v>0.0</v>
      </c>
      <c r="J19" s="189">
        <f>K19/K$38</f>
        <v>0.0</v>
      </c>
      <c r="K19" s="190">
        <f>M19*'Data Komponen'!$D$5</f>
        <v>0.0</v>
      </c>
      <c r="L19" s="189">
        <f>M19/M$38</f>
        <v>0.0</v>
      </c>
      <c r="M19" s="191">
        <f>E19+I19</f>
        <v>0.0</v>
      </c>
      <c r="N19" s="189">
        <f>O19/O$38</f>
        <v>0.0</v>
      </c>
      <c r="O19" s="190">
        <f>Q19*'Data Komponen'!$D$5</f>
        <v>0.0</v>
      </c>
      <c r="P19" s="189">
        <f>Q19/Q$38</f>
        <v>0.0</v>
      </c>
      <c r="Q19" s="191">
        <f>0</f>
        <v>0.0</v>
      </c>
    </row>
    <row r="20">
      <c r="A20" s="188" t="inlineStr">
        <is>
          <t>C₂H₂</t>
        </is>
      </c>
      <c r="B20" s="189">
        <f>C20/C$38</f>
        <v>0.0</v>
      </c>
      <c r="C20" s="190">
        <f>E20*'Data Komponen'!$D$6</f>
        <v>0.0</v>
      </c>
      <c r="D20" s="189">
        <f>E20/E$38</f>
        <v>0.0</v>
      </c>
      <c r="E20" s="191">
        <f>'NME-3 Kondensasi-Dekantasi'!U20</f>
        <v>0.0</v>
      </c>
      <c r="F20" s="189">
        <f>G20/G$38</f>
        <v>0.0</v>
      </c>
      <c r="G20" s="190">
        <f>I20*'Data Komponen'!$D$6</f>
        <v>0.0</v>
      </c>
      <c r="H20" s="189">
        <f>I20/I$38</f>
        <v>0.0</v>
      </c>
      <c r="I20" s="191">
        <f>'NME-8 Kolom VCM'!M19</f>
        <v>0.0</v>
      </c>
      <c r="J20" s="189">
        <f>K20/K$38</f>
        <v>0.0</v>
      </c>
      <c r="K20" s="190">
        <f>M20*'Data Komponen'!$D$6</f>
        <v>0.0</v>
      </c>
      <c r="L20" s="189">
        <f>M20/M$38</f>
        <v>0.0</v>
      </c>
      <c r="M20" s="191">
        <f>E20+I20</f>
        <v>0.0</v>
      </c>
      <c r="N20" s="189">
        <f>O20/O$38</f>
        <v>0.0</v>
      </c>
      <c r="O20" s="190">
        <f>Q20*'Data Komponen'!$D$6</f>
        <v>0.0</v>
      </c>
      <c r="P20" s="189">
        <f>Q20/Q$38</f>
        <v>0.0</v>
      </c>
      <c r="Q20" s="191">
        <f>0</f>
        <v>0.0</v>
      </c>
    </row>
    <row r="21">
      <c r="A21" s="188" t="inlineStr">
        <is>
          <t>Cl₂</t>
        </is>
      </c>
      <c r="B21" s="189">
        <f>C21/C$38</f>
        <v>0.0</v>
      </c>
      <c r="C21" s="190">
        <f>E21*'Data Komponen'!$D$7</f>
        <v>0.0</v>
      </c>
      <c r="D21" s="189">
        <f>E21/E$38</f>
        <v>0.0</v>
      </c>
      <c r="E21" s="191">
        <f>'NME-3 Kondensasi-Dekantasi'!U21</f>
        <v>0.0</v>
      </c>
      <c r="F21" s="189">
        <f>G21/G$38</f>
        <v>0.0</v>
      </c>
      <c r="G21" s="190">
        <f>I21*'Data Komponen'!$D$7</f>
        <v>0.0</v>
      </c>
      <c r="H21" s="189">
        <f>I21/I$38</f>
        <v>0.0</v>
      </c>
      <c r="I21" s="191">
        <f>'NME-8 Kolom VCM'!M20</f>
        <v>0.0</v>
      </c>
      <c r="J21" s="189">
        <f>K21/K$38</f>
        <v>0.0</v>
      </c>
      <c r="K21" s="190">
        <f>M21*'Data Komponen'!$D$7</f>
        <v>0.0</v>
      </c>
      <c r="L21" s="189">
        <f>M21/M$38</f>
        <v>0.0</v>
      </c>
      <c r="M21" s="191">
        <f>E21+I21</f>
        <v>0.0</v>
      </c>
      <c r="N21" s="189">
        <f>O21/O$38</f>
        <v>0.0</v>
      </c>
      <c r="O21" s="190">
        <f>Q21*'Data Komponen'!$D$7</f>
        <v>0.0</v>
      </c>
      <c r="P21" s="189">
        <f>Q21/Q$38</f>
        <v>0.0</v>
      </c>
      <c r="Q21" s="191">
        <f>0</f>
        <v>0.0</v>
      </c>
    </row>
    <row r="22">
      <c r="A22" s="188" t="inlineStr">
        <is>
          <t>CₙHₘ</t>
        </is>
      </c>
      <c r="B22" s="189">
        <f>C22/C$38</f>
        <v>0.0</v>
      </c>
      <c r="C22" s="190">
        <f>E22*'Data Komponen'!$D$8</f>
        <v>0.0</v>
      </c>
      <c r="D22" s="189">
        <f>E22/E$38</f>
        <v>0.0</v>
      </c>
      <c r="E22" s="191">
        <f>'NME-3 Kondensasi-Dekantasi'!U22</f>
        <v>0.0</v>
      </c>
      <c r="F22" s="189">
        <f>G22/G$38</f>
        <v>0.0</v>
      </c>
      <c r="G22" s="190">
        <f>I22*'Data Komponen'!$D$8</f>
        <v>0.0</v>
      </c>
      <c r="H22" s="189">
        <f>I22/I$38</f>
        <v>0.0</v>
      </c>
      <c r="I22" s="191">
        <f>'NME-8 Kolom VCM'!M21</f>
        <v>0.0</v>
      </c>
      <c r="J22" s="189">
        <f>K22/K$38</f>
        <v>0.0</v>
      </c>
      <c r="K22" s="190">
        <f>M22*'Data Komponen'!$D$8</f>
        <v>0.0</v>
      </c>
      <c r="L22" s="189">
        <f>M22/M$38</f>
        <v>0.0</v>
      </c>
      <c r="M22" s="191">
        <f>E22+I22</f>
        <v>0.0</v>
      </c>
      <c r="N22" s="189">
        <f>O22/O$38</f>
        <v>0.0</v>
      </c>
      <c r="O22" s="190">
        <f>Q22*'Data Komponen'!$D$8</f>
        <v>0.0</v>
      </c>
      <c r="P22" s="189">
        <f>Q22/Q$38</f>
        <v>0.0</v>
      </c>
      <c r="Q22" s="191">
        <f>0</f>
        <v>0.0</v>
      </c>
    </row>
    <row r="23">
      <c r="A23" s="188" t="inlineStr">
        <is>
          <t>H₂O</t>
        </is>
      </c>
      <c r="B23" s="189">
        <f>C23/C$38</f>
        <v>0.0020000000000000456</v>
      </c>
      <c r="C23" s="190">
        <f>E23*'Data Komponen'!$D$9</f>
        <v>82.43221398205901</v>
      </c>
      <c r="D23" s="189">
        <f>E23/E$38</f>
        <v>0.010874386231391371</v>
      </c>
      <c r="E23" s="191">
        <f>'NME-3 Kondensasi-Dekantasi'!U23</f>
        <v>4.575754314852013</v>
      </c>
      <c r="F23" s="189">
        <f>G23/G$38</f>
        <v>7.698402996787963e-05</v>
      </c>
      <c r="G23" s="190">
        <f>I23*'Data Komponen'!$D$9</f>
        <v>2.614266409950987</v>
      </c>
      <c r="H23" s="189">
        <f>I23/I$38</f>
        <v>0.0004225882076954554</v>
      </c>
      <c r="I23" s="191">
        <f>'NME-8 Kolom VCM'!M22</f>
        <v>0.14511609269780668</v>
      </c>
      <c r="J23" s="189">
        <f>K23/K$38</f>
        <v>0.171257143156629</v>
      </c>
      <c r="K23" s="190">
        <f>M23*'Data Komponen'!$D$9</f>
        <v>82.43221398205901</v>
      </c>
      <c r="L23" s="189">
        <f>M23/M$38</f>
        <v>0.4502015289509185</v>
      </c>
      <c r="M23" s="191">
        <f>E23+I23-Q23</f>
        <v>4.575754314852013</v>
      </c>
      <c r="N23" s="189">
        <f>O23/O$38</f>
        <v>3.500000000000072e-05</v>
      </c>
      <c r="O23" s="190">
        <f>Q23*'Data Komponen'!$D$9</f>
        <v>2.614266409950987</v>
      </c>
      <c r="P23" s="189">
        <f>Q23/Q$38</f>
        <v>0.00019245723964859897</v>
      </c>
      <c r="Q23" s="191">
        <f>$B$6/(1-$B$6-$B$7)*(O31+O32+O34+O37)/'Data Komponen'!$D$9</f>
        <v>0.14511609269780668</v>
      </c>
    </row>
    <row r="24">
      <c r="A24" s="188" t="inlineStr">
        <is>
          <t>CₓHᵧCl</t>
        </is>
      </c>
      <c r="B24" s="189">
        <f>C24/C$38</f>
        <v>0.0</v>
      </c>
      <c r="C24" s="190">
        <f>E24*'Data Komponen'!$D$10</f>
        <v>0.0</v>
      </c>
      <c r="D24" s="189">
        <f>E24/E$38</f>
        <v>0.0</v>
      </c>
      <c r="E24" s="191">
        <f>'NME-3 Kondensasi-Dekantasi'!U24</f>
        <v>0.0</v>
      </c>
      <c r="F24" s="189">
        <f>G24/G$38</f>
        <v>0.0</v>
      </c>
      <c r="G24" s="190">
        <f>I24*'Data Komponen'!$D$10</f>
        <v>0.0</v>
      </c>
      <c r="H24" s="189">
        <f>I24/I$38</f>
        <v>0.0</v>
      </c>
      <c r="I24" s="191">
        <f>'NME-8 Kolom VCM'!M23</f>
        <v>0.0</v>
      </c>
      <c r="J24" s="189">
        <f>K24/K$38</f>
        <v>0.0</v>
      </c>
      <c r="K24" s="190">
        <f>M24*'Data Komponen'!$D$10</f>
        <v>0.0</v>
      </c>
      <c r="L24" s="189">
        <f>M24/M$38</f>
        <v>0.0</v>
      </c>
      <c r="M24" s="191">
        <f>E24+I24</f>
        <v>0.0</v>
      </c>
      <c r="N24" s="189">
        <f>O24/O$38</f>
        <v>0.0</v>
      </c>
      <c r="O24" s="190">
        <f>Q24*'Data Komponen'!$D$10</f>
        <v>0.0</v>
      </c>
      <c r="P24" s="189">
        <f>Q24/Q$38</f>
        <v>0.0</v>
      </c>
      <c r="Q24" s="191">
        <f>0</f>
        <v>0.0</v>
      </c>
    </row>
    <row r="25">
      <c r="A25" s="188" t="inlineStr">
        <is>
          <t>Br₂</t>
        </is>
      </c>
      <c r="B25" s="189">
        <f>C25/C$38</f>
        <v>3.3577694986409765e-05</v>
      </c>
      <c r="C25" s="190">
        <f>E25*'Data Komponen'!$D$11</f>
        <v>1.3839418690719882</v>
      </c>
      <c r="D25" s="189">
        <f>E25/E$38</f>
        <v>2.0580759051855356e-05</v>
      </c>
      <c r="E25" s="191">
        <f>'NME-3 Kondensasi-Dekantasi'!U25</f>
        <v>0.008660028716159318</v>
      </c>
      <c r="F25" s="189">
        <f>G25/G$38</f>
        <v>0.0</v>
      </c>
      <c r="G25" s="190">
        <f>I25*'Data Komponen'!$D$11</f>
        <v>0.0</v>
      </c>
      <c r="H25" s="189">
        <f>I25/I$38</f>
        <v>0.0</v>
      </c>
      <c r="I25" s="191">
        <f>'NME-8 Kolom VCM'!M24</f>
        <v>0.0</v>
      </c>
      <c r="J25" s="189">
        <f>K25/K$38</f>
        <v>0.002875210058578535</v>
      </c>
      <c r="K25" s="190">
        <f>M25*'Data Komponen'!$D$11</f>
        <v>1.3839418690719882</v>
      </c>
      <c r="L25" s="189">
        <f>M25/M$38</f>
        <v>0.0008520470944253213</v>
      </c>
      <c r="M25" s="191">
        <f>E25+I25</f>
        <v>0.008660028716159318</v>
      </c>
      <c r="N25" s="189">
        <f>O25/O$38</f>
        <v>0.0</v>
      </c>
      <c r="O25" s="190">
        <f>Q25*'Data Komponen'!$D$11</f>
        <v>0.0</v>
      </c>
      <c r="P25" s="189">
        <f>Q25/Q$38</f>
        <v>0.0</v>
      </c>
      <c r="Q25" s="191">
        <f>0</f>
        <v>0.0</v>
      </c>
    </row>
    <row r="26">
      <c r="A26" s="188" t="inlineStr">
        <is>
          <t>NCl₃</t>
        </is>
      </c>
      <c r="B26" s="189">
        <f>C26/C$38</f>
        <v>1.865427499244987e-06</v>
      </c>
      <c r="C26" s="190">
        <f>E26*'Data Komponen'!$D$12</f>
        <v>0.07688565939288824</v>
      </c>
      <c r="D26" s="189">
        <f>E26/E$38</f>
        <v>1.518053855891525e-06</v>
      </c>
      <c r="E26" s="191">
        <f>'NME-3 Kondensasi-Dekantasi'!U26</f>
        <v>0.0006387709001195385</v>
      </c>
      <c r="F26" s="189">
        <f>G26/G$38</f>
        <v>0.0</v>
      </c>
      <c r="G26" s="190">
        <f>I26*'Data Komponen'!$D$12</f>
        <v>0.0</v>
      </c>
      <c r="H26" s="189">
        <f>I26/I$38</f>
        <v>0.0</v>
      </c>
      <c r="I26" s="191">
        <f>'NME-8 Kolom VCM'!M25</f>
        <v>0.0</v>
      </c>
      <c r="J26" s="189">
        <f>K26/K$38</f>
        <v>0.00015973389214325194</v>
      </c>
      <c r="K26" s="190">
        <f>M26*'Data Komponen'!$D$12</f>
        <v>0.07688565939288824</v>
      </c>
      <c r="L26" s="189">
        <f>M26/M$38</f>
        <v>6.284770031243936e-05</v>
      </c>
      <c r="M26" s="191">
        <f>E26+I26</f>
        <v>0.0006387709001195385</v>
      </c>
      <c r="N26" s="189">
        <f>O26/O$38</f>
        <v>0.0</v>
      </c>
      <c r="O26" s="190">
        <f>Q26*'Data Komponen'!$D$12</f>
        <v>0.0</v>
      </c>
      <c r="P26" s="189">
        <f>Q26/Q$38</f>
        <v>0.0</v>
      </c>
      <c r="Q26" s="191">
        <f>0</f>
        <v>0.0</v>
      </c>
    </row>
    <row r="27">
      <c r="A27" s="188" t="inlineStr">
        <is>
          <t>H₂</t>
        </is>
      </c>
      <c r="B27" s="189">
        <f>C27/C$38</f>
        <v>0.0</v>
      </c>
      <c r="C27" s="190">
        <f>E27*'Data Komponen'!$D$13</f>
        <v>0.0</v>
      </c>
      <c r="D27" s="189">
        <f>E27/E$38</f>
        <v>0.0</v>
      </c>
      <c r="E27" s="191">
        <f>'NME-3 Kondensasi-Dekantasi'!U27</f>
        <v>0.0</v>
      </c>
      <c r="F27" s="189">
        <f>G27/G$38</f>
        <v>0.0</v>
      </c>
      <c r="G27" s="190">
        <f>I27*'Data Komponen'!$D$13</f>
        <v>0.0</v>
      </c>
      <c r="H27" s="189">
        <f>I27/I$38</f>
        <v>0.0</v>
      </c>
      <c r="I27" s="191">
        <f>'NME-8 Kolom VCM'!M26</f>
        <v>0.0</v>
      </c>
      <c r="J27" s="189">
        <f>K27/K$38</f>
        <v>0.0</v>
      </c>
      <c r="K27" s="190">
        <f>M27*'Data Komponen'!$D$13</f>
        <v>0.0</v>
      </c>
      <c r="L27" s="189">
        <f>M27/M$38</f>
        <v>0.0</v>
      </c>
      <c r="M27" s="191">
        <f>E27+I27</f>
        <v>0.0</v>
      </c>
      <c r="N27" s="189">
        <f>O27/O$38</f>
        <v>0.0</v>
      </c>
      <c r="O27" s="190">
        <f>Q27*'Data Komponen'!$D$13</f>
        <v>0.0</v>
      </c>
      <c r="P27" s="189">
        <f>Q27/Q$38</f>
        <v>0.0</v>
      </c>
      <c r="Q27" s="191">
        <f>0</f>
        <v>0.0</v>
      </c>
    </row>
    <row r="28">
      <c r="A28" s="188" t="inlineStr">
        <is>
          <t>O₂</t>
        </is>
      </c>
      <c r="B28" s="189">
        <f>C28/C$38</f>
        <v>0.0</v>
      </c>
      <c r="C28" s="190">
        <f>E28*'Data Komponen'!$D$14</f>
        <v>0.0</v>
      </c>
      <c r="D28" s="189">
        <f>E28/E$38</f>
        <v>0.0</v>
      </c>
      <c r="E28" s="191">
        <f>'NME-3 Kondensasi-Dekantasi'!U28</f>
        <v>0.0</v>
      </c>
      <c r="F28" s="189">
        <f>G28/G$38</f>
        <v>0.0</v>
      </c>
      <c r="G28" s="190">
        <f>I28*'Data Komponen'!$D$14</f>
        <v>0.0</v>
      </c>
      <c r="H28" s="189">
        <f>I28/I$38</f>
        <v>0.0</v>
      </c>
      <c r="I28" s="191">
        <f>'NME-8 Kolom VCM'!M27</f>
        <v>0.0</v>
      </c>
      <c r="J28" s="189">
        <f>K28/K$38</f>
        <v>0.0</v>
      </c>
      <c r="K28" s="190">
        <f>M28*'Data Komponen'!$D$14</f>
        <v>0.0</v>
      </c>
      <c r="L28" s="189">
        <f>M28/M$38</f>
        <v>0.0</v>
      </c>
      <c r="M28" s="191">
        <f>E28+I28</f>
        <v>0.0</v>
      </c>
      <c r="N28" s="189">
        <f>O28/O$38</f>
        <v>0.0</v>
      </c>
      <c r="O28" s="190">
        <f>Q28*'Data Komponen'!$D$14</f>
        <v>0.0</v>
      </c>
      <c r="P28" s="189">
        <f>Q28/Q$38</f>
        <v>0.0</v>
      </c>
      <c r="Q28" s="191">
        <f>0</f>
        <v>0.0</v>
      </c>
    </row>
    <row r="29">
      <c r="A29" s="188" t="inlineStr">
        <is>
          <t>N₂</t>
        </is>
      </c>
      <c r="B29" s="189">
        <f>C29/C$38</f>
        <v>0.0</v>
      </c>
      <c r="C29" s="190">
        <f>E29*'Data Komponen'!$D$15</f>
        <v>0.0</v>
      </c>
      <c r="D29" s="189">
        <f>E29/E$38</f>
        <v>0.0</v>
      </c>
      <c r="E29" s="191">
        <f>'NME-3 Kondensasi-Dekantasi'!U29</f>
        <v>0.0</v>
      </c>
      <c r="F29" s="189">
        <f>G29/G$38</f>
        <v>0.0</v>
      </c>
      <c r="G29" s="190">
        <f>I29*'Data Komponen'!$D$15</f>
        <v>0.0</v>
      </c>
      <c r="H29" s="189">
        <f>I29/I$38</f>
        <v>0.0</v>
      </c>
      <c r="I29" s="191">
        <f>'NME-8 Kolom VCM'!M28</f>
        <v>0.0</v>
      </c>
      <c r="J29" s="189">
        <f>K29/K$38</f>
        <v>0.0</v>
      </c>
      <c r="K29" s="190">
        <f>M29*'Data Komponen'!$D$15</f>
        <v>0.0</v>
      </c>
      <c r="L29" s="189">
        <f>M29/M$38</f>
        <v>0.0</v>
      </c>
      <c r="M29" s="191">
        <f>E29+I29</f>
        <v>0.0</v>
      </c>
      <c r="N29" s="189">
        <f>O29/O$38</f>
        <v>0.0</v>
      </c>
      <c r="O29" s="190">
        <f>Q29*'Data Komponen'!$D$15</f>
        <v>0.0</v>
      </c>
      <c r="P29" s="189">
        <f>Q29/Q$38</f>
        <v>0.0</v>
      </c>
      <c r="Q29" s="191">
        <f>0</f>
        <v>0.0</v>
      </c>
    </row>
    <row r="30">
      <c r="A30" s="188" t="inlineStr">
        <is>
          <t>CO₂</t>
        </is>
      </c>
      <c r="B30" s="189">
        <f>C30/C$38</f>
        <v>0.0</v>
      </c>
      <c r="C30" s="190">
        <f>E30*'Data Komponen'!$D$16</f>
        <v>0.0</v>
      </c>
      <c r="D30" s="189">
        <f>E30/E$38</f>
        <v>0.0</v>
      </c>
      <c r="E30" s="191">
        <f>'NME-3 Kondensasi-Dekantasi'!U30</f>
        <v>0.0</v>
      </c>
      <c r="F30" s="189">
        <f>G30/G$38</f>
        <v>0.0</v>
      </c>
      <c r="G30" s="190">
        <f>I30*'Data Komponen'!$D$16</f>
        <v>0.0</v>
      </c>
      <c r="H30" s="189">
        <f>I30/I$38</f>
        <v>0.0</v>
      </c>
      <c r="I30" s="191">
        <f>'NME-8 Kolom VCM'!M29</f>
        <v>0.0</v>
      </c>
      <c r="J30" s="189">
        <f>K30/K$38</f>
        <v>0.0</v>
      </c>
      <c r="K30" s="190">
        <f>M30*'Data Komponen'!$D$16</f>
        <v>0.0</v>
      </c>
      <c r="L30" s="189">
        <f>M30/M$38</f>
        <v>0.0</v>
      </c>
      <c r="M30" s="191">
        <f>E30+I30</f>
        <v>0.0</v>
      </c>
      <c r="N30" s="189">
        <f>O30/O$38</f>
        <v>0.0</v>
      </c>
      <c r="O30" s="190">
        <f>Q30*'Data Komponen'!$D$16</f>
        <v>0.0</v>
      </c>
      <c r="P30" s="189">
        <f>Q30/Q$38</f>
        <v>0.0</v>
      </c>
      <c r="Q30" s="191">
        <f>0</f>
        <v>0.0</v>
      </c>
    </row>
    <row r="31">
      <c r="A31" s="188" t="inlineStr">
        <is>
          <t>EDC</t>
        </is>
      </c>
      <c r="B31" s="189">
        <f>C31/C$38</f>
        <v>0.9952606079051731</v>
      </c>
      <c r="C31" s="190">
        <f>E31*'Data Komponen'!$D$17</f>
        <v>41020.76769937575</v>
      </c>
      <c r="D31" s="189">
        <f>E31/E$38</f>
        <v>0.9851231886249269</v>
      </c>
      <c r="E31" s="191">
        <f>'NME-3 Kondensasi-Dekantasi'!U31</f>
        <v>414.5228599660036</v>
      </c>
      <c r="F31" s="189">
        <f>G31/G$38</f>
        <v>0.9833272358941256</v>
      </c>
      <c r="G31" s="190">
        <f>I31*'Data Komponen'!$D$17</f>
        <v>33392.37194857867</v>
      </c>
      <c r="H31" s="189">
        <f>I31/I$38</f>
        <v>0.982638483963473</v>
      </c>
      <c r="I31" s="191">
        <f>'NME-8 Kolom VCM'!M30</f>
        <v>337.43643275072174</v>
      </c>
      <c r="J31" s="189">
        <f>K31/K$38</f>
        <v>0.2565799008322923</v>
      </c>
      <c r="K31" s="190">
        <f>M31*'Data Komponen'!$D$17</f>
        <v>123.50112175793534</v>
      </c>
      <c r="L31" s="189">
        <f>M31/M$38</f>
        <v>0.12278911578018468</v>
      </c>
      <c r="M31" s="191">
        <f>$B$8*('NME-1 Klorinasi Langsung'!Q35+'NME-1 Klorinasi Langsung'!U35+'NME-2 Oksiklorinasi'!Q34)</f>
        <v>1.2480029280604628</v>
      </c>
      <c r="N31" s="189">
        <f>O31/O$38</f>
        <v>0.9945954010347825</v>
      </c>
      <c r="O31" s="190">
        <f>Q31*'Data Komponen'!$D$17</f>
        <v>74289.63852619742</v>
      </c>
      <c r="P31" s="189">
        <f>Q31/Q$38</f>
        <v>0.9956154408500664</v>
      </c>
      <c r="Q31" s="191">
        <f>E31+I31-M31</f>
        <v>750.7112897886648</v>
      </c>
    </row>
    <row r="32">
      <c r="A32" s="188" t="inlineStr">
        <is>
          <t>TCE</t>
        </is>
      </c>
      <c r="B32" s="189">
        <f>C32/C$38</f>
        <v>0.00015593265785909514</v>
      </c>
      <c r="C32" s="190">
        <f>E32*'Data Komponen'!$D$18</f>
        <v>6.426937109715917</v>
      </c>
      <c r="D32" s="189">
        <f>E32/E$38</f>
        <v>0.00011449341520379496</v>
      </c>
      <c r="E32" s="191">
        <f>'NME-3 Kondensasi-Dekantasi'!U32</f>
        <v>0.04817685591565345</v>
      </c>
      <c r="F32" s="189">
        <f>G32/G$38</f>
        <v>1.9680702534415202e-05</v>
      </c>
      <c r="G32" s="190">
        <f>I32*'Data Komponen'!$D$18</f>
        <v>0.6683282179619057</v>
      </c>
      <c r="H32" s="189">
        <f>I32/I$38</f>
        <v>1.458901596459023e-05</v>
      </c>
      <c r="I32" s="191">
        <f>'NME-8 Kolom VCM'!M31</f>
        <v>0.005009843991228876</v>
      </c>
      <c r="J32" s="189">
        <f>K32/K$38</f>
        <v>0.0</v>
      </c>
      <c r="K32" s="190">
        <f>M32*'Data Komponen'!$D$18</f>
        <v>0.0</v>
      </c>
      <c r="L32" s="189">
        <f>M32/M$38</f>
        <v>0.0</v>
      </c>
      <c r="M32" s="191">
        <f>0</f>
        <v>0.0</v>
      </c>
      <c r="N32" s="189">
        <f>O32/O$38</f>
        <v>9.499195855612233e-05</v>
      </c>
      <c r="O32" s="190">
        <f>Q32*'Data Komponen'!$D$18</f>
        <v>7.095265327677765</v>
      </c>
      <c r="P32" s="189">
        <f>Q32/Q$38</f>
        <v>7.053776917362992e-05</v>
      </c>
      <c r="Q32" s="191">
        <f>E32+I32</f>
        <v>0.05318669990688233</v>
      </c>
    </row>
    <row r="33">
      <c r="A33" s="188" t="inlineStr">
        <is>
          <t>HCl</t>
        </is>
      </c>
      <c r="B33" s="189">
        <f>C33/C$38</f>
        <v>0.0</v>
      </c>
      <c r="C33" s="190">
        <f>E33*'Data Komponen'!$D$19</f>
        <v>0.0</v>
      </c>
      <c r="D33" s="189">
        <f>E33/E$38</f>
        <v>0.0</v>
      </c>
      <c r="E33" s="191">
        <f>'NME-3 Kondensasi-Dekantasi'!U33</f>
        <v>0.0</v>
      </c>
      <c r="F33" s="189">
        <f>G33/G$38</f>
        <v>0.0</v>
      </c>
      <c r="G33" s="190">
        <f>I33*'Data Komponen'!$D$19</f>
        <v>0.0</v>
      </c>
      <c r="H33" s="189">
        <f>I33/I$38</f>
        <v>0.0</v>
      </c>
      <c r="I33" s="191">
        <f>'NME-8 Kolom VCM'!M32</f>
        <v>0.0</v>
      </c>
      <c r="J33" s="189">
        <f>K33/K$38</f>
        <v>0.0</v>
      </c>
      <c r="K33" s="190">
        <f>M33*'Data Komponen'!$D$19</f>
        <v>0.0</v>
      </c>
      <c r="L33" s="189">
        <f>M33/M$38</f>
        <v>0.0</v>
      </c>
      <c r="M33" s="191">
        <f>E33+I33</f>
        <v>0.0</v>
      </c>
      <c r="N33" s="189">
        <f>O33/O$38</f>
        <v>0.0</v>
      </c>
      <c r="O33" s="190">
        <f>Q33*'Data Komponen'!$D$19</f>
        <v>0.0</v>
      </c>
      <c r="P33" s="189">
        <f>Q33/Q$38</f>
        <v>0.0</v>
      </c>
      <c r="Q33" s="191">
        <f>0</f>
        <v>0.0</v>
      </c>
    </row>
    <row r="34">
      <c r="A34" s="188" t="inlineStr">
        <is>
          <t>FeCl₃</t>
        </is>
      </c>
      <c r="B34" s="189">
        <f>C34/C$38</f>
        <v>2.994000000000015e-06</v>
      </c>
      <c r="C34" s="190">
        <f>E34*'Data Komponen'!$D$20</f>
        <v>0.12340102433114014</v>
      </c>
      <c r="D34" s="189">
        <f>E34/E$38</f>
        <v>1.8080034754623346e-06</v>
      </c>
      <c r="E34" s="191">
        <f>'NME-3 Kondensasi-Dekantasi'!U34</f>
        <v>0.0007607767029859938</v>
      </c>
      <c r="F34" s="189">
        <f>G34/G$38</f>
        <v>0.0</v>
      </c>
      <c r="G34" s="190">
        <f>I34*'Data Komponen'!$D$20</f>
        <v>0.0</v>
      </c>
      <c r="H34" s="189">
        <f>I34/I$38</f>
        <v>0.0</v>
      </c>
      <c r="I34" s="191">
        <f>'NME-8 Kolom VCM'!M33</f>
        <v>0.0</v>
      </c>
      <c r="J34" s="189">
        <f>K34/K$38</f>
        <v>0.0</v>
      </c>
      <c r="K34" s="190">
        <f>M34*'Data Komponen'!$D$20</f>
        <v>0.0</v>
      </c>
      <c r="L34" s="189">
        <f>M34/M$38</f>
        <v>0.0</v>
      </c>
      <c r="M34" s="191">
        <f>0</f>
        <v>0.0</v>
      </c>
      <c r="N34" s="189">
        <f>O34/O$38</f>
        <v>1.6521024158632195e-06</v>
      </c>
      <c r="O34" s="190">
        <f>Q34*'Data Komponen'!$D$20</f>
        <v>0.12340102433114294</v>
      </c>
      <c r="P34" s="189">
        <f>Q34/Q$38</f>
        <v>1.0089644885253956e-06</v>
      </c>
      <c r="Q34" s="191">
        <f>E34+I34</f>
        <v>0.0007607767029859938</v>
      </c>
    </row>
    <row r="35">
      <c r="A35" s="188" t="inlineStr">
        <is>
          <t>C₂H₅Cl</t>
        </is>
      </c>
      <c r="B35" s="189">
        <f>C35/C$38</f>
        <v>0.0025450223144820798</v>
      </c>
      <c r="C35" s="190">
        <f>E35*'Data Komponen'!$D$21</f>
        <v>104.89591200824856</v>
      </c>
      <c r="D35" s="189">
        <f>E35/E$38</f>
        <v>0.0038640249120948274</v>
      </c>
      <c r="E35" s="191">
        <f>'NME-3 Kondensasi-Dekantasi'!U35</f>
        <v>1.6259150896419214</v>
      </c>
      <c r="F35" s="189">
        <f>G35/G$38</f>
        <v>0.0</v>
      </c>
      <c r="G35" s="190">
        <f>I35*'Data Komponen'!$D$21</f>
        <v>0.0</v>
      </c>
      <c r="H35" s="189">
        <f>I35/I$38</f>
        <v>0.0</v>
      </c>
      <c r="I35" s="191">
        <f>'NME-8 Kolom VCM'!M34</f>
        <v>0.0</v>
      </c>
      <c r="J35" s="189">
        <f>K35/K$38</f>
        <v>0.21792662542403146</v>
      </c>
      <c r="K35" s="190">
        <f>M35*'Data Komponen'!$D$21</f>
        <v>104.89591200824856</v>
      </c>
      <c r="L35" s="189">
        <f>M35/M$38</f>
        <v>0.15997132034061937</v>
      </c>
      <c r="M35" s="191">
        <f>E35+I35</f>
        <v>1.6259150896419214</v>
      </c>
      <c r="N35" s="189">
        <f>O35/O$38</f>
        <v>0.0</v>
      </c>
      <c r="O35" s="190">
        <f>Q35*'Data Komponen'!$D$21</f>
        <v>0.0</v>
      </c>
      <c r="P35" s="189">
        <f>Q35/Q$38</f>
        <v>0.0</v>
      </c>
      <c r="Q35" s="191">
        <f>0</f>
        <v>0.0</v>
      </c>
    </row>
    <row r="36">
      <c r="A36" s="188" t="inlineStr">
        <is>
          <t>VCM</t>
        </is>
      </c>
      <c r="B36" s="189">
        <f>C36/C$38</f>
        <v>0.0</v>
      </c>
      <c r="C36" s="190">
        <f>E36*'Data Komponen'!$D$22</f>
        <v>0.0</v>
      </c>
      <c r="D36" s="189">
        <f>E36/E$38</f>
        <v>0.0</v>
      </c>
      <c r="E36" s="191">
        <f>'NME-3 Kondensasi-Dekantasi'!U36</f>
        <v>0.0</v>
      </c>
      <c r="F36" s="189">
        <f>G36/G$38</f>
        <v>0.005000000000000001</v>
      </c>
      <c r="G36" s="190">
        <f>I36*'Data Komponen'!$D$22</f>
        <v>169.79277462103175</v>
      </c>
      <c r="H36" s="189">
        <f>I36/I$38</f>
        <v>0.007911428057227938</v>
      </c>
      <c r="I36" s="191">
        <f>'NME-8 Kolom VCM'!M35</f>
        <v>2.716771330619088</v>
      </c>
      <c r="J36" s="189">
        <f>K36/K$38</f>
        <v>0.3512013866363254</v>
      </c>
      <c r="K36" s="190">
        <f>M36*'Data Komponen'!$D$22</f>
        <v>169.04584136104577</v>
      </c>
      <c r="L36" s="189">
        <f>M36/M$38</f>
        <v>0.26612314013353977</v>
      </c>
      <c r="M36" s="191">
        <f>E36+I36-Q36</f>
        <v>2.704820016017245</v>
      </c>
      <c r="N36" s="189">
        <f>O36/O$38</f>
        <v>1e-05</v>
      </c>
      <c r="O36" s="190">
        <f>Q36*'Data Komponen'!$D$22</f>
        <v>0.746933259985981</v>
      </c>
      <c r="P36" s="189">
        <f>Q36/Q$38</f>
        <v>1.58501857077458e-05</v>
      </c>
      <c r="Q36" s="191">
        <f>$B$7/(1-$B$6-$B$7)*(O31+O32+O34+O37)/'Data Komponen'!$D$22</f>
        <v>0.011951314601842957</v>
      </c>
    </row>
    <row r="37">
      <c r="A37" s="188" t="inlineStr">
        <is>
          <t>C₄H₈Cl₂ (berat)</t>
        </is>
      </c>
      <c r="B37" s="189">
        <f>C37/C$38</f>
        <v>0.0</v>
      </c>
      <c r="C37" s="190">
        <f>E37*'Data Komponen'!$D$23</f>
        <v>0.0</v>
      </c>
      <c r="D37" s="189">
        <f>E37/E$38</f>
        <v>0.0</v>
      </c>
      <c r="E37" s="191">
        <f>'NME-3 Kondensasi-Dekantasi'!U37</f>
        <v>0.0</v>
      </c>
      <c r="F37" s="189">
        <f>G37/G$38</f>
        <v>0.01157609937337197</v>
      </c>
      <c r="G37" s="190">
        <f>I37*'Data Komponen'!$D$23</f>
        <v>393.10760637872266</v>
      </c>
      <c r="H37" s="189">
        <f>I37/I$38</f>
        <v>0.009012910755638958</v>
      </c>
      <c r="I37" s="191">
        <f>'NME-8 Kolom VCM'!M36</f>
        <v>3.095018670362267</v>
      </c>
      <c r="J37" s="189">
        <f>K37/K$38</f>
        <v>0.0</v>
      </c>
      <c r="K37" s="190">
        <f>M37*'Data Komponen'!$D$23</f>
        <v>0.0</v>
      </c>
      <c r="L37" s="189">
        <f>M37/M$38</f>
        <v>0.0</v>
      </c>
      <c r="M37" s="191">
        <f>0</f>
        <v>0.0</v>
      </c>
      <c r="N37" s="189">
        <f>O37/O$38</f>
        <v>0.005262954904245515</v>
      </c>
      <c r="O37" s="190">
        <f>Q37*'Data Komponen'!$D$23</f>
        <v>393.10760637873085</v>
      </c>
      <c r="P37" s="189">
        <f>Q37/Q$38</f>
        <v>0.004104704990915194</v>
      </c>
      <c r="Q37" s="191">
        <f>E37+I37</f>
        <v>3.095018670362267</v>
      </c>
    </row>
    <row r="38">
      <c r="A38" s="182" t="inlineStr">
        <is>
          <t>Sub Total</t>
        </is>
      </c>
      <c r="B38" s="189">
        <f>SUM(B17:B37)</f>
        <v>1.0</v>
      </c>
      <c r="C38" s="190">
        <f>SUM(C17:C37)</f>
        <v>41216.106991028566</v>
      </c>
      <c r="D38" s="189">
        <f>SUM(D17:D37)</f>
        <v>1.0</v>
      </c>
      <c r="E38" s="191">
        <f>SUM(E17:E37)</f>
        <v>420.7827658027324</v>
      </c>
      <c r="F38" s="189">
        <f>SUM(F17:F37)</f>
        <v>1.0</v>
      </c>
      <c r="G38" s="190">
        <f>SUM(G17:G37)</f>
        <v>33958.55492420634</v>
      </c>
      <c r="H38" s="189">
        <f>SUM(H17:H37)</f>
        <v>0.9999999999999999</v>
      </c>
      <c r="I38" s="191">
        <f>SUM(I17:I37)</f>
        <v>343.39834868839216</v>
      </c>
      <c r="J38" s="189">
        <f>SUM(J17:J37)</f>
        <v>0.9999999999999999</v>
      </c>
      <c r="K38" s="190">
        <f>SUM(K17:K37)</f>
        <v>481.3359166377536</v>
      </c>
      <c r="L38" s="189">
        <f>SUM(L17:L37)</f>
        <v>1.0</v>
      </c>
      <c r="M38" s="191">
        <f>SUM(M17:M37)</f>
        <v>10.16379114818792</v>
      </c>
      <c r="N38" s="189">
        <f>SUM(N17:N37)</f>
        <v>1.0</v>
      </c>
      <c r="O38" s="190">
        <f>SUM(O17:O37)</f>
        <v>74693.3259985981</v>
      </c>
      <c r="P38" s="189">
        <f>SUM(P17:P37)</f>
        <v>1.0</v>
      </c>
      <c r="Q38" s="191">
        <f>SUM(Q17:Q37)</f>
        <v>754.0173233429365</v>
      </c>
    </row>
    <row r="39">
      <c r="A39" s="182" t="inlineStr">
        <is>
          <t>TOTAL MASSA</t>
        </is>
      </c>
      <c r="B39" s="190">
        <f>C38+G38</f>
        <v>75174.6619152349</v>
      </c>
      <c r="C39" s="183" t="n"/>
      <c r="D39" s="183" t="n"/>
      <c r="E39" s="183" t="n"/>
      <c r="F39" s="183" t="n"/>
      <c r="G39" s="183" t="n"/>
      <c r="H39" s="183" t="n"/>
      <c r="I39" s="184" t="n"/>
      <c r="J39" s="190">
        <f>K38+O38</f>
        <v>75174.66191523585</v>
      </c>
      <c r="K39" s="183" t="n"/>
      <c r="L39" s="183" t="n"/>
      <c r="M39" s="183" t="n"/>
      <c r="N39" s="183" t="n"/>
      <c r="O39" s="183" t="n"/>
      <c r="P39" s="183" t="n"/>
      <c r="Q39" s="184" t="n"/>
    </row>
    <row r="40">
      <c r="A40" s="182" t="inlineStr">
        <is>
          <t>Selisih (Inlet − Outlet), kg/h</t>
        </is>
      </c>
      <c r="B40" s="190">
        <f>B39-J39</f>
        <v>-9.458744898438454e-10</v>
      </c>
      <c r="C40" s="183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4" t="n"/>
    </row>
    <row r="43">
      <c r="A43" s="172" t="inlineStr">
        <is>
          <t>Neraca Energi P-102: Pompa EDC basah</t>
        </is>
      </c>
    </row>
    <row r="44">
      <c r="A44" s="174" t="inlineStr">
        <is>
          <t>Reference state: unsur pada 25 °C dan 1 atm (metode panas pembentukan)</t>
        </is>
      </c>
    </row>
    <row r="45">
      <c r="A45" s="182" t="inlineStr">
        <is>
          <t>No. aliran PFD</t>
        </is>
      </c>
      <c r="B45" s="182" t="n">
        <v>29</v>
      </c>
      <c r="C45" s="184" t="n"/>
      <c r="D45" s="182" t="n">
        <v>30</v>
      </c>
      <c r="E45" s="184" t="n"/>
    </row>
    <row r="46">
      <c r="A46" s="182" t="inlineStr">
        <is>
          <t>Dari</t>
        </is>
      </c>
      <c r="B46" s="192" t="inlineStr">
        <is>
          <t>D-101</t>
        </is>
      </c>
      <c r="C46" s="184" t="n"/>
      <c r="D46" s="192" t="inlineStr">
        <is>
          <t>P-102</t>
        </is>
      </c>
      <c r="E46" s="184" t="n"/>
    </row>
    <row r="47">
      <c r="A47" s="182" t="inlineStr">
        <is>
          <t>Ke</t>
        </is>
      </c>
      <c r="B47" s="192" t="inlineStr">
        <is>
          <t>P-102</t>
        </is>
      </c>
      <c r="C47" s="184" t="n"/>
      <c r="D47" s="192" t="inlineStr">
        <is>
          <t>E-106</t>
        </is>
      </c>
      <c r="E47" s="184" t="n"/>
    </row>
    <row r="48">
      <c r="A48" s="182" t="inlineStr">
        <is>
          <t>T (K)</t>
        </is>
      </c>
      <c r="B48" s="193">
        <f>'NME-3 Kondensasi-Dekantasi'!$J$75</f>
        <v>308.15</v>
      </c>
      <c r="C48" s="184" t="n"/>
      <c r="D48" s="193">
        <f>'NME-3 Kondensasi-Dekantasi'!$J$75</f>
        <v>308.15</v>
      </c>
      <c r="E48" s="184" t="n"/>
    </row>
    <row r="49">
      <c r="A49" s="182" t="inlineStr">
        <is>
          <t>T (°C)</t>
        </is>
      </c>
      <c r="B49" s="193">
        <f>'NME-3 Kondensasi-Dekantasi'!$J$76</f>
        <v>35.0</v>
      </c>
      <c r="C49" s="184" t="n"/>
      <c r="D49" s="193">
        <f>IF(ISNUMBER(D48),D48-273.15,"-")</f>
        <v>35.0</v>
      </c>
      <c r="E49" s="184" t="n"/>
    </row>
    <row r="50">
      <c r="A50" s="182" t="inlineStr">
        <is>
          <t>P (bar abs)</t>
        </is>
      </c>
      <c r="B50" s="194">
        <f>'NME-3 Kondensasi-Dekantasi'!$J$77</f>
        <v>5.370225</v>
      </c>
      <c r="C50" s="184" t="n"/>
      <c r="D50" s="194" t="n">
        <v>5.370225</v>
      </c>
      <c r="E50" s="184" t="n"/>
    </row>
    <row r="51">
      <c r="A51" s="182" t="inlineStr">
        <is>
          <t>Substance</t>
        </is>
      </c>
      <c r="B51" s="182" t="inlineStr">
        <is>
          <t>INLET</t>
        </is>
      </c>
      <c r="C51" s="184" t="n"/>
      <c r="D51" s="182" t="inlineStr">
        <is>
          <t>OUTLET</t>
        </is>
      </c>
      <c r="E51" s="184" t="n"/>
    </row>
    <row r="52">
      <c r="A52" s="185" t="n"/>
      <c r="B52" s="182" t="inlineStr">
        <is>
          <t>Aliran 29</t>
        </is>
      </c>
      <c r="C52" s="184" t="n"/>
      <c r="D52" s="182" t="inlineStr">
        <is>
          <t>Aliran 30</t>
        </is>
      </c>
      <c r="E52" s="184" t="n"/>
    </row>
    <row r="53">
      <c r="A53" s="186" t="n"/>
      <c r="B53" s="182" t="inlineStr">
        <is>
          <t>ṅᵢ (kmol/h)</t>
        </is>
      </c>
      <c r="C53" s="182" t="inlineStr">
        <is>
          <t>Ĥᵢ (kJ/kmol)</t>
        </is>
      </c>
      <c r="D53" s="182" t="inlineStr">
        <is>
          <t>ṅᵢ (kmol/h)</t>
        </is>
      </c>
      <c r="E53" s="182" t="inlineStr">
        <is>
          <t>Ĥᵢ (kJ/kmol)</t>
        </is>
      </c>
    </row>
    <row r="54">
      <c r="A54" s="188" t="inlineStr">
        <is>
          <t>H₂O (l)</t>
        </is>
      </c>
      <c r="B54" s="191">
        <f>'NME-3 Kondensasi-Dekantasi'!U23</f>
        <v>4.575754314852013</v>
      </c>
      <c r="C54" s="195">
        <f>'Data Termo'!$X$12+('Data Termo'!$J$12*($B$48-298.15)+'Data Termo'!$K$12/2*($B$48^2-298.15^2)+'Data Termo'!$L$12/3*($B$48^3-298.15^3)+'Data Termo'!$M$12/4*($B$48^4-298.15^4))</f>
        <v>-283738.51777097327</v>
      </c>
      <c r="D54" s="191">
        <f>'NME-3 Kondensasi-Dekantasi'!U23</f>
        <v>4.575754314852013</v>
      </c>
      <c r="E54" s="195">
        <f>'Data Termo'!$X$12+('Data Termo'!$J$12*($D$48-298.15)+'Data Termo'!$K$12/2*($D$48^2-298.15^2)+'Data Termo'!$L$12/3*($D$48^3-298.15^3)+'Data Termo'!$M$12/4*($D$48^4-298.15^4))</f>
        <v>-283738.51777097327</v>
      </c>
    </row>
    <row r="55">
      <c r="A55" s="188" t="inlineStr">
        <is>
          <t>Br₂ (l)</t>
        </is>
      </c>
      <c r="B55" s="191">
        <f>'NME-3 Kondensasi-Dekantasi'!U25</f>
        <v>0.008660028716159318</v>
      </c>
      <c r="C55" s="195">
        <f>'Data Termo'!$X$14+('Data Termo'!$J$14*($B$48-298.15)+'Data Termo'!$K$14/2*($B$48^2-298.15^2)+'Data Termo'!$L$14/3*($B$48^3-298.15^3)+'Data Termo'!$M$14/4*($B$48^4-298.15^4))</f>
        <v>199.12488878664635</v>
      </c>
      <c r="D55" s="191">
        <f>'NME-3 Kondensasi-Dekantasi'!U25</f>
        <v>0.008660028716159318</v>
      </c>
      <c r="E55" s="195">
        <f>'Data Termo'!$X$14+('Data Termo'!$J$14*($D$48-298.15)+'Data Termo'!$K$14/2*($D$48^2-298.15^2)+'Data Termo'!$L$14/3*($D$48^3-298.15^3)+'Data Termo'!$M$14/4*($D$48^4-298.15^4))</f>
        <v>199.12488878664635</v>
      </c>
    </row>
    <row r="56">
      <c r="A56" s="188" t="inlineStr">
        <is>
          <t>NCl₃ (l)</t>
        </is>
      </c>
      <c r="B56" s="191">
        <f>'NME-3 Kondensasi-Dekantasi'!U26</f>
        <v>0.0006387709001195385</v>
      </c>
      <c r="C56" s="195">
        <f>'Data Termo'!$X$15+('Data Termo'!$J$15*($B$48-298.15)+'Data Termo'!$K$15/2*($B$48^2-298.15^2)+'Data Termo'!$L$15/3*($B$48^3-298.15^3)+'Data Termo'!$M$15/4*($B$48^4-298.15^4))</f>
        <v>231032.60807587663</v>
      </c>
      <c r="D56" s="191">
        <f>'NME-3 Kondensasi-Dekantasi'!U26</f>
        <v>0.0006387709001195385</v>
      </c>
      <c r="E56" s="195">
        <f>'Data Termo'!$X$15+('Data Termo'!$J$15*($D$48-298.15)+'Data Termo'!$K$15/2*($D$48^2-298.15^2)+'Data Termo'!$L$15/3*($D$48^3-298.15^3)+'Data Termo'!$M$15/4*($D$48^4-298.15^4))</f>
        <v>231032.60807587663</v>
      </c>
    </row>
    <row r="57">
      <c r="A57" s="188" t="inlineStr">
        <is>
          <t>EDC (l)</t>
        </is>
      </c>
      <c r="B57" s="191">
        <f>'NME-3 Kondensasi-Dekantasi'!U31</f>
        <v>414.5228599660036</v>
      </c>
      <c r="C57" s="195">
        <f>'Data Termo'!$X$20+('Data Termo'!$J$20*($B$48-298.15)+'Data Termo'!$K$20/2*($B$48^2-298.15^2)+'Data Termo'!$L$20/3*($B$48^3-298.15^3)+'Data Termo'!$M$20/4*($B$48^4-298.15^4))</f>
        <v>-163456.0408027372</v>
      </c>
      <c r="D57" s="191">
        <f>'NME-3 Kondensasi-Dekantasi'!U31</f>
        <v>414.5228599660036</v>
      </c>
      <c r="E57" s="195">
        <f>'Data Termo'!$X$20+('Data Termo'!$J$20*($D$48-298.15)+'Data Termo'!$K$20/2*($D$48^2-298.15^2)+'Data Termo'!$L$20/3*($D$48^3-298.15^3)+'Data Termo'!$M$20/4*($D$48^4-298.15^4))</f>
        <v>-163456.0408027372</v>
      </c>
    </row>
    <row r="58">
      <c r="A58" s="188" t="inlineStr">
        <is>
          <t>TCE (l)</t>
        </is>
      </c>
      <c r="B58" s="191">
        <f>'NME-3 Kondensasi-Dekantasi'!U32</f>
        <v>0.04817685591565345</v>
      </c>
      <c r="C58" s="195">
        <f>'Data Termo'!$X$21+('Data Termo'!$J$21*($B$48-298.15)+'Data Termo'!$K$21/2*($B$48^2-298.15^2)+'Data Termo'!$L$21/3*($B$48^3-298.15^3)+'Data Termo'!$M$21/4*($B$48^4-298.15^4))</f>
        <v>-175297.94394529494</v>
      </c>
      <c r="D58" s="191">
        <f>'NME-3 Kondensasi-Dekantasi'!U32</f>
        <v>0.04817685591565345</v>
      </c>
      <c r="E58" s="195">
        <f>'Data Termo'!$X$21+('Data Termo'!$J$21*($D$48-298.15)+'Data Termo'!$K$21/2*($D$48^2-298.15^2)+'Data Termo'!$L$21/3*($D$48^3-298.15^3)+'Data Termo'!$M$21/4*($D$48^4-298.15^4))</f>
        <v>-175297.94394529494</v>
      </c>
    </row>
    <row r="59">
      <c r="A59" s="188" t="inlineStr">
        <is>
          <t>FeCl₃ (s)</t>
        </is>
      </c>
      <c r="B59" s="191">
        <f>'NME-3 Kondensasi-Dekantasi'!U34</f>
        <v>0.0007607767029859938</v>
      </c>
      <c r="C59" s="195">
        <f>'Data Termo'!$T$23*1000+('Data Termo'!$N$23*($B$48-298.15)+'Data Termo'!$O$23/2*($B$48^2-298.15^2)+'Data Termo'!$P$23/3*($B$48^3-298.15^3))</f>
        <v>-398519.6056734704</v>
      </c>
      <c r="D59" s="191">
        <f>'NME-3 Kondensasi-Dekantasi'!U34</f>
        <v>0.0007607767029859938</v>
      </c>
      <c r="E59" s="195">
        <f>'Data Termo'!$T$23*1000+('Data Termo'!$N$23*($D$48-298.15)+'Data Termo'!$O$23/2*($D$48^2-298.15^2)+'Data Termo'!$P$23/3*($D$48^3-298.15^3))</f>
        <v>-398519.6056734704</v>
      </c>
    </row>
    <row r="60">
      <c r="A60" s="188" t="inlineStr">
        <is>
          <t>C₂H₅Cl (l)</t>
        </is>
      </c>
      <c r="B60" s="191">
        <f>'NME-3 Kondensasi-Dekantasi'!U35</f>
        <v>1.6259150896419214</v>
      </c>
      <c r="C60" s="195">
        <f>'Data Termo'!$X$24+('Data Termo'!$J$24*($B$48-298.15)+'Data Termo'!$K$24/2*($B$48^2-298.15^2)+'Data Termo'!$L$24/3*($B$48^3-298.15^3)+'Data Termo'!$M$24/4*($B$48^4-298.15^4))</f>
        <v>-134718.29696040117</v>
      </c>
      <c r="D60" s="191">
        <f>'NME-3 Kondensasi-Dekantasi'!U35</f>
        <v>1.6259150896419214</v>
      </c>
      <c r="E60" s="195">
        <f>'Data Termo'!$X$24+('Data Termo'!$J$24*($D$48-298.15)+'Data Termo'!$K$24/2*($D$48^2-298.15^2)+'Data Termo'!$L$24/3*($D$48^3-298.15^3)+'Data Termo'!$M$24/4*($D$48^4-298.15^4))</f>
        <v>-134718.29696040117</v>
      </c>
    </row>
    <row r="61">
      <c r="A61" s="196" t="inlineStr">
        <is>
          <t>Sub Total ṅᵢĤᵢ (kJ/h)</t>
        </is>
      </c>
      <c r="B61" s="197">
        <f>SUMPRODUCT(B54:B60,C54:C60)</f>
        <v>-69282222.95801459</v>
      </c>
      <c r="C61" s="184" t="n"/>
      <c r="D61" s="197">
        <f>SUMPRODUCT(D54:D60,E54:E60)</f>
        <v>-69282222.95801459</v>
      </c>
      <c r="E61" s="184" t="n"/>
    </row>
    <row r="62">
      <c r="A62" s="188" t="inlineStr">
        <is>
          <t>Heat of reaction / heat of mixing</t>
        </is>
      </c>
      <c r="B62" s="198" t="inlineStr">
        <is>
          <t>-</t>
        </is>
      </c>
      <c r="C62" s="183" t="n"/>
      <c r="D62" s="183" t="n"/>
      <c r="E62" s="184" t="n"/>
    </row>
    <row r="63">
      <c r="A63" s="196" t="inlineStr">
        <is>
          <t>Q (kJ/h)</t>
        </is>
      </c>
      <c r="B63" s="197" t="n">
        <v>0</v>
      </c>
      <c r="C63" s="183" t="n"/>
      <c r="D63" s="183" t="n"/>
      <c r="E63" s="184" t="n"/>
    </row>
    <row r="64">
      <c r="A64" s="196" t="inlineStr">
        <is>
          <t>W (kJ/h)</t>
        </is>
      </c>
      <c r="B64" s="197" t="n">
        <v>0</v>
      </c>
      <c r="C64" s="183" t="n"/>
      <c r="D64" s="183" t="n"/>
      <c r="E64" s="184" t="n"/>
    </row>
    <row r="65">
      <c r="A65" s="196" t="inlineStr">
        <is>
          <t>TOTAL (kJ/h)</t>
        </is>
      </c>
      <c r="B65" s="197">
        <f>B61+$B$63+$B$64</f>
        <v>-69282222.95801459</v>
      </c>
      <c r="C65" s="184" t="n"/>
      <c r="D65" s="197">
        <f>D61</f>
        <v>-69282222.95801459</v>
      </c>
      <c r="E65" s="184" t="n"/>
    </row>
    <row r="66">
      <c r="A66" s="188" t="inlineStr">
        <is>
          <t>Selisih masuk − keluar (kJ/h)</t>
        </is>
      </c>
      <c r="B66" s="195">
        <f>B65-D65</f>
        <v>0.0</v>
      </c>
      <c r="C66" s="183" t="n"/>
      <c r="D66" s="183" t="n"/>
      <c r="E66" s="184" t="n"/>
    </row>
    <row r="67">
      <c r="A67" s="188" t="inlineStr">
        <is>
          <t>Q (kW)</t>
        </is>
      </c>
      <c r="B67" s="195">
        <f>$B$63/3600</f>
        <v>0.0</v>
      </c>
      <c r="C67" s="183" t="n"/>
      <c r="D67" s="183" t="n"/>
      <c r="E67" s="184" t="n"/>
    </row>
    <row r="68">
      <c r="A68" s="188" t="inlineStr">
        <is>
          <t>W (kW)</t>
        </is>
      </c>
      <c r="B68" s="195">
        <f>$B$64/3600</f>
        <v>0.0</v>
      </c>
      <c r="C68" s="183" t="n"/>
      <c r="D68" s="183" t="n"/>
      <c r="E68" s="184" t="n"/>
    </row>
    <row r="71">
      <c r="A71" s="172" t="inlineStr">
        <is>
          <t>Neraca Energi E-106: Pemanas umpan kolom ringan</t>
        </is>
      </c>
    </row>
    <row r="72">
      <c r="A72" s="174" t="inlineStr">
        <is>
          <t>Reference state: unsur pada 25 °C dan 1 atm (metode panas pembentukan)</t>
        </is>
      </c>
    </row>
    <row r="73">
      <c r="A73" s="182" t="inlineStr">
        <is>
          <t>No. aliran PFD</t>
        </is>
      </c>
      <c r="B73" s="182" t="n">
        <v>30</v>
      </c>
      <c r="C73" s="184" t="n"/>
      <c r="D73" s="182" t="n">
        <v>31</v>
      </c>
      <c r="E73" s="184" t="n"/>
    </row>
    <row r="74">
      <c r="A74" s="182" t="inlineStr">
        <is>
          <t>Dari</t>
        </is>
      </c>
      <c r="B74" s="192" t="inlineStr">
        <is>
          <t>P-102</t>
        </is>
      </c>
      <c r="C74" s="184" t="n"/>
      <c r="D74" s="192" t="inlineStr">
        <is>
          <t>E-106</t>
        </is>
      </c>
      <c r="E74" s="184" t="n"/>
    </row>
    <row r="75">
      <c r="A75" s="182" t="inlineStr">
        <is>
          <t>Ke</t>
        </is>
      </c>
      <c r="B75" s="192" t="inlineStr">
        <is>
          <t>E-106</t>
        </is>
      </c>
      <c r="C75" s="184" t="n"/>
      <c r="D75" s="192" t="inlineStr">
        <is>
          <t>KD-101</t>
        </is>
      </c>
      <c r="E75" s="184" t="n"/>
    </row>
    <row r="76">
      <c r="A76" s="182" t="inlineStr">
        <is>
          <t>T (K)</t>
        </is>
      </c>
      <c r="B76" s="193">
        <f>$D$48</f>
        <v>308.15</v>
      </c>
      <c r="C76" s="184" t="n"/>
      <c r="D76" s="193">
        <f>'Data Termo'!$D$39</f>
        <v>356.59</v>
      </c>
      <c r="E76" s="184" t="n"/>
    </row>
    <row r="77">
      <c r="A77" s="182" t="inlineStr">
        <is>
          <t>T (°C)</t>
        </is>
      </c>
      <c r="B77" s="193">
        <f>$D$49</f>
        <v>35.0</v>
      </c>
      <c r="C77" s="184" t="n"/>
      <c r="D77" s="193">
        <f>IF(ISNUMBER(D76),D76-273.15,"-")</f>
        <v>83.44</v>
      </c>
      <c r="E77" s="184" t="n"/>
    </row>
    <row r="78">
      <c r="A78" s="182" t="inlineStr">
        <is>
          <t>P (bar abs)</t>
        </is>
      </c>
      <c r="B78" s="194">
        <f>$D$50</f>
        <v>5.370225</v>
      </c>
      <c r="C78" s="184" t="n"/>
      <c r="D78" s="194" t="n">
        <v>1.01325</v>
      </c>
      <c r="E78" s="184" t="n"/>
    </row>
    <row r="79">
      <c r="A79" s="182" t="inlineStr">
        <is>
          <t>Substance</t>
        </is>
      </c>
      <c r="B79" s="182" t="inlineStr">
        <is>
          <t>INLET</t>
        </is>
      </c>
      <c r="C79" s="184" t="n"/>
      <c r="D79" s="182" t="inlineStr">
        <is>
          <t>OUTLET</t>
        </is>
      </c>
      <c r="E79" s="184" t="n"/>
    </row>
    <row r="80">
      <c r="A80" s="185" t="n"/>
      <c r="B80" s="182" t="inlineStr">
        <is>
          <t>Aliran 30</t>
        </is>
      </c>
      <c r="C80" s="184" t="n"/>
      <c r="D80" s="182" t="inlineStr">
        <is>
          <t>Aliran 31</t>
        </is>
      </c>
      <c r="E80" s="184" t="n"/>
    </row>
    <row r="81">
      <c r="A81" s="186" t="n"/>
      <c r="B81" s="182" t="inlineStr">
        <is>
          <t>ṅᵢ (kmol/h)</t>
        </is>
      </c>
      <c r="C81" s="182" t="inlineStr">
        <is>
          <t>Ĥᵢ (kJ/kmol)</t>
        </is>
      </c>
      <c r="D81" s="182" t="inlineStr">
        <is>
          <t>ṅᵢ (kmol/h)</t>
        </is>
      </c>
      <c r="E81" s="182" t="inlineStr">
        <is>
          <t>Ĥᵢ (kJ/kmol)</t>
        </is>
      </c>
    </row>
    <row r="82">
      <c r="A82" s="188" t="inlineStr">
        <is>
          <t>H₂O (l)</t>
        </is>
      </c>
      <c r="B82" s="191">
        <f>'NME-3 Kondensasi-Dekantasi'!U23</f>
        <v>4.575754314852013</v>
      </c>
      <c r="C82" s="195">
        <f>'Data Termo'!$X$12+('Data Termo'!$J$12*($B$76-298.15)+'Data Termo'!$K$12/2*($B$76^2-298.15^2)+'Data Termo'!$L$12/3*($B$76^3-298.15^3)+'Data Termo'!$M$12/4*($B$76^4-298.15^4))</f>
        <v>-283738.51777097327</v>
      </c>
      <c r="D82" s="191">
        <f>E23</f>
        <v>4.575754314852013</v>
      </c>
      <c r="E82" s="195">
        <f>'Data Termo'!$X$12+('Data Termo'!$J$12*($D$76-298.15)+'Data Termo'!$K$12/2*($D$76^2-298.15^2)+'Data Termo'!$L$12/3*($D$76^3-298.15^3)+'Data Termo'!$M$12/4*($D$76^4-298.15^4))</f>
        <v>-280097.9371456609</v>
      </c>
    </row>
    <row r="83">
      <c r="A83" s="188" t="inlineStr">
        <is>
          <t>Br₂ (l)</t>
        </is>
      </c>
      <c r="B83" s="191">
        <f>'NME-3 Kondensasi-Dekantasi'!U25</f>
        <v>0.008660028716159318</v>
      </c>
      <c r="C83" s="195">
        <f>'Data Termo'!$X$14+('Data Termo'!$J$14*($B$76-298.15)+'Data Termo'!$K$14/2*($B$76^2-298.15^2)+'Data Termo'!$L$14/3*($B$76^3-298.15^3)+'Data Termo'!$M$14/4*($B$76^4-298.15^4))</f>
        <v>199.12488878664635</v>
      </c>
      <c r="D83" s="191">
        <f>E25</f>
        <v>0.008660028716159318</v>
      </c>
      <c r="E83" s="195">
        <f>'Data Termo'!$X$14+('Data Termo'!$J$14*($D$76-298.15)+'Data Termo'!$K$14/2*($D$76^2-298.15^2)+'Data Termo'!$L$14/3*($D$76^3-298.15^3)+'Data Termo'!$M$14/4*($D$76^4-298.15^4))</f>
        <v>3973.6018942021747</v>
      </c>
    </row>
    <row r="84">
      <c r="A84" s="188" t="inlineStr">
        <is>
          <t>NCl₃ (l)</t>
        </is>
      </c>
      <c r="B84" s="191">
        <f>'NME-3 Kondensasi-Dekantasi'!U26</f>
        <v>0.0006387709001195385</v>
      </c>
      <c r="C84" s="195">
        <f>'Data Termo'!$X$15+('Data Termo'!$J$15*($B$76-298.15)+'Data Termo'!$K$15/2*($B$76^2-298.15^2)+'Data Termo'!$L$15/3*($B$76^3-298.15^3)+'Data Termo'!$M$15/4*($B$76^4-298.15^4))</f>
        <v>231032.60807587663</v>
      </c>
      <c r="D84" s="191">
        <f>E26</f>
        <v>0.0006387709001195385</v>
      </c>
      <c r="E84" s="195">
        <f>'Data Termo'!$X$15+('Data Termo'!$J$15*($D$76-298.15)+'Data Termo'!$K$15/2*($D$76^2-298.15^2)+'Data Termo'!$L$15/3*($D$76^3-298.15^3)+'Data Termo'!$M$15/4*($D$76^4-298.15^4))</f>
        <v>236105.90816307024</v>
      </c>
    </row>
    <row r="85">
      <c r="A85" s="188" t="inlineStr">
        <is>
          <t>EDC (l)</t>
        </is>
      </c>
      <c r="B85" s="191">
        <f>'NME-3 Kondensasi-Dekantasi'!U31</f>
        <v>414.5228599660036</v>
      </c>
      <c r="C85" s="195">
        <f>'Data Termo'!$X$20+('Data Termo'!$J$20*($B$76-298.15)+'Data Termo'!$K$20/2*($B$76^2-298.15^2)+'Data Termo'!$L$20/3*($B$76^3-298.15^3)+'Data Termo'!$M$20/4*($B$76^4-298.15^4))</f>
        <v>-163456.0408027372</v>
      </c>
      <c r="D85" s="191">
        <f>E31</f>
        <v>414.5228599660036</v>
      </c>
      <c r="E85" s="195">
        <f>'Data Termo'!$X$20+('Data Termo'!$J$20*($D$76-298.15)+'Data Termo'!$K$20/2*($D$76^2-298.15^2)+'Data Termo'!$L$20/3*($D$76^3-298.15^3)+'Data Termo'!$M$20/4*($D$76^4-298.15^4))</f>
        <v>-156965.5735711347</v>
      </c>
    </row>
    <row r="86">
      <c r="A86" s="188" t="inlineStr">
        <is>
          <t>TCE (l)</t>
        </is>
      </c>
      <c r="B86" s="191">
        <f>'NME-3 Kondensasi-Dekantasi'!U32</f>
        <v>0.04817685591565345</v>
      </c>
      <c r="C86" s="195">
        <f>'Data Termo'!$X$21+('Data Termo'!$J$21*($B$76-298.15)+'Data Termo'!$K$21/2*($B$76^2-298.15^2)+'Data Termo'!$L$21/3*($B$76^3-298.15^3)+'Data Termo'!$M$21/4*($B$76^4-298.15^4))</f>
        <v>-175297.94394529494</v>
      </c>
      <c r="D86" s="191">
        <f>E32</f>
        <v>0.04817685591565345</v>
      </c>
      <c r="E86" s="195">
        <f>'Data Termo'!$X$21+('Data Termo'!$J$21*($D$76-298.15)+'Data Termo'!$K$21/2*($D$76^2-298.15^2)+'Data Termo'!$L$21/3*($D$76^3-298.15^3)+'Data Termo'!$M$21/4*($D$76^4-298.15^4))</f>
        <v>-167675.3510147304</v>
      </c>
    </row>
    <row r="87">
      <c r="A87" s="188" t="inlineStr">
        <is>
          <t>FeCl₃ (s)</t>
        </is>
      </c>
      <c r="B87" s="191">
        <f>'NME-3 Kondensasi-Dekantasi'!U34</f>
        <v>0.0007607767029859938</v>
      </c>
      <c r="C87" s="195">
        <f>'Data Termo'!$T$23*1000+('Data Termo'!$N$23*($B$76-298.15)+'Data Termo'!$O$23/2*($B$76^2-298.15^2)+'Data Termo'!$P$23/3*($B$76^3-298.15^3))</f>
        <v>-398519.6056734704</v>
      </c>
      <c r="D87" s="191">
        <f>E34</f>
        <v>0.0007607767029859938</v>
      </c>
      <c r="E87" s="195">
        <f>'Data Termo'!$T$23*1000+('Data Termo'!$N$23*($D$76-298.15)+'Data Termo'!$O$23/2*($D$76^2-298.15^2)+'Data Termo'!$P$23/3*($D$76^3-298.15^3))</f>
        <v>-393579.4567711952</v>
      </c>
    </row>
    <row r="88">
      <c r="A88" s="188" t="inlineStr">
        <is>
          <t>C₂H₅Cl (l)</t>
        </is>
      </c>
      <c r="B88" s="191">
        <f>'NME-3 Kondensasi-Dekantasi'!U35</f>
        <v>1.6259150896419214</v>
      </c>
      <c r="C88" s="195">
        <f>'Data Termo'!$X$24+('Data Termo'!$J$24*($B$76-298.15)+'Data Termo'!$K$24/2*($B$76^2-298.15^2)+'Data Termo'!$L$24/3*($B$76^3-298.15^3)+'Data Termo'!$M$24/4*($B$76^4-298.15^4))</f>
        <v>-134718.29696040117</v>
      </c>
      <c r="D88" s="191">
        <f>E35</f>
        <v>1.6259150896419214</v>
      </c>
      <c r="E88" s="195">
        <f>'Data Termo'!$X$24+('Data Termo'!$J$24*($D$76-298.15)+'Data Termo'!$K$24/2*($D$76^2-298.15^2)+'Data Termo'!$L$24/3*($D$76^3-298.15^3)+'Data Termo'!$M$24/4*($D$76^4-298.15^4))</f>
        <v>-129272.84569781274</v>
      </c>
    </row>
    <row r="89">
      <c r="A89" s="196" t="inlineStr">
        <is>
          <t>Sub Total ṅᵢĤᵢ (kJ/h)</t>
        </is>
      </c>
      <c r="B89" s="197">
        <f>SUMPRODUCT(B82:B88,C82:C88)</f>
        <v>-69282222.95801459</v>
      </c>
      <c r="C89" s="184" t="n"/>
      <c r="D89" s="197">
        <f>SUMPRODUCT(D82:D88,E82:E88)</f>
        <v>-66565856.75610527</v>
      </c>
      <c r="E89" s="184" t="n"/>
    </row>
    <row r="90">
      <c r="A90" s="188" t="inlineStr">
        <is>
          <t>Heat of reaction / heat of mixing</t>
        </is>
      </c>
      <c r="B90" s="198" t="inlineStr">
        <is>
          <t>-</t>
        </is>
      </c>
      <c r="C90" s="183" t="n"/>
      <c r="D90" s="183" t="n"/>
      <c r="E90" s="184" t="n"/>
    </row>
    <row r="91">
      <c r="A91" s="196" t="inlineStr">
        <is>
          <t>Q (kJ/h)</t>
        </is>
      </c>
      <c r="B91" s="197">
        <f>(D89)-(B89)</f>
        <v>2716366.201909326</v>
      </c>
      <c r="C91" s="183" t="n"/>
      <c r="D91" s="183" t="n"/>
      <c r="E91" s="184" t="n"/>
    </row>
    <row r="92">
      <c r="A92" s="196" t="inlineStr">
        <is>
          <t>W (kJ/h)</t>
        </is>
      </c>
      <c r="B92" s="197" t="n">
        <v>0</v>
      </c>
      <c r="C92" s="183" t="n"/>
      <c r="D92" s="183" t="n"/>
      <c r="E92" s="184" t="n"/>
    </row>
    <row r="93">
      <c r="A93" s="196" t="inlineStr">
        <is>
          <t>TOTAL (kJ/h)</t>
        </is>
      </c>
      <c r="B93" s="197">
        <f>B89+$B$91+$B$92</f>
        <v>-66565856.75610527</v>
      </c>
      <c r="C93" s="184" t="n"/>
      <c r="D93" s="197">
        <f>D89</f>
        <v>-66565856.75610527</v>
      </c>
      <c r="E93" s="184" t="n"/>
    </row>
    <row r="94">
      <c r="A94" s="188" t="inlineStr">
        <is>
          <t>Selisih masuk − keluar (kJ/h)</t>
        </is>
      </c>
      <c r="B94" s="195">
        <f>B93-D93</f>
        <v>0.0</v>
      </c>
      <c r="C94" s="183" t="n"/>
      <c r="D94" s="183" t="n"/>
      <c r="E94" s="184" t="n"/>
    </row>
    <row r="95">
      <c r="A95" s="188" t="inlineStr">
        <is>
          <t>Q (kW)</t>
        </is>
      </c>
      <c r="B95" s="195">
        <f>$B$91/3600</f>
        <v>754.5461671970351</v>
      </c>
      <c r="C95" s="183" t="n"/>
      <c r="D95" s="183" t="n"/>
      <c r="E95" s="184" t="n"/>
    </row>
    <row r="96">
      <c r="A96" s="188" t="inlineStr">
        <is>
          <t>W (kW)</t>
        </is>
      </c>
      <c r="B96" s="195">
        <f>$B$92/3600</f>
        <v>0.0</v>
      </c>
      <c r="C96" s="183" t="n"/>
      <c r="D96" s="183" t="n"/>
      <c r="E96" s="184" t="n"/>
    </row>
    <row r="99">
      <c r="A99" s="172" t="inlineStr">
        <is>
          <t>Neraca Energi E-111: Pendingin EDC daur ulang</t>
        </is>
      </c>
    </row>
    <row r="100">
      <c r="A100" s="174" t="inlineStr">
        <is>
          <t>Reference state: unsur pada 25 °C dan 1 atm (metode panas pembentukan)</t>
        </is>
      </c>
    </row>
    <row r="101">
      <c r="A101" s="182" t="inlineStr">
        <is>
          <t>No. aliran PFD</t>
        </is>
      </c>
      <c r="B101" s="182" t="n">
        <v>49</v>
      </c>
      <c r="C101" s="184" t="n"/>
      <c r="D101" s="182" t="n">
        <v>50</v>
      </c>
      <c r="E101" s="184" t="n"/>
    </row>
    <row r="102">
      <c r="A102" s="182" t="inlineStr">
        <is>
          <t>Dari</t>
        </is>
      </c>
      <c r="B102" s="192" t="inlineStr">
        <is>
          <t>KD-104</t>
        </is>
      </c>
      <c r="C102" s="184" t="n"/>
      <c r="D102" s="192" t="inlineStr">
        <is>
          <t>E-111</t>
        </is>
      </c>
      <c r="E102" s="184" t="n"/>
    </row>
    <row r="103">
      <c r="A103" s="182" t="inlineStr">
        <is>
          <t>Ke</t>
        </is>
      </c>
      <c r="B103" s="192" t="inlineStr">
        <is>
          <t>E-111</t>
        </is>
      </c>
      <c r="C103" s="184" t="n"/>
      <c r="D103" s="192" t="inlineStr">
        <is>
          <t>V-106</t>
        </is>
      </c>
      <c r="E103" s="184" t="n"/>
    </row>
    <row r="104">
      <c r="A104" s="182" t="inlineStr">
        <is>
          <t>T (K)</t>
        </is>
      </c>
      <c r="B104" s="193">
        <f>'NME-8 Kolom VCM'!$F$74</f>
        <v>425.15</v>
      </c>
      <c r="C104" s="184" t="n"/>
      <c r="D104" s="193">
        <f>'Data Termo'!$D$39</f>
        <v>356.59</v>
      </c>
      <c r="E104" s="184" t="n"/>
    </row>
    <row r="105">
      <c r="A105" s="182" t="inlineStr">
        <is>
          <t>T (°C)</t>
        </is>
      </c>
      <c r="B105" s="193">
        <f>'NME-8 Kolom VCM'!$F$75</f>
        <v>152.0</v>
      </c>
      <c r="C105" s="184" t="n"/>
      <c r="D105" s="193">
        <f>IF(ISNUMBER(D104),D104-273.15,"-")</f>
        <v>83.44</v>
      </c>
      <c r="E105" s="184" t="n"/>
    </row>
    <row r="106">
      <c r="A106" s="182" t="inlineStr">
        <is>
          <t>P (bar abs)</t>
        </is>
      </c>
      <c r="B106" s="194">
        <f>'NME-8 Kolom VCM'!$F$76</f>
        <v>6.5</v>
      </c>
      <c r="C106" s="184" t="n"/>
      <c r="D106" s="194" t="n">
        <v>6.5</v>
      </c>
      <c r="E106" s="184" t="n"/>
    </row>
    <row r="107">
      <c r="A107" s="182" t="inlineStr">
        <is>
          <t>Substance</t>
        </is>
      </c>
      <c r="B107" s="182" t="inlineStr">
        <is>
          <t>INLET</t>
        </is>
      </c>
      <c r="C107" s="184" t="n"/>
      <c r="D107" s="182" t="inlineStr">
        <is>
          <t>OUTLET</t>
        </is>
      </c>
      <c r="E107" s="184" t="n"/>
    </row>
    <row r="108">
      <c r="A108" s="185" t="n"/>
      <c r="B108" s="182" t="inlineStr">
        <is>
          <t>Aliran 49</t>
        </is>
      </c>
      <c r="C108" s="184" t="n"/>
      <c r="D108" s="182" t="inlineStr">
        <is>
          <t>Aliran 50</t>
        </is>
      </c>
      <c r="E108" s="184" t="n"/>
    </row>
    <row r="109">
      <c r="A109" s="186" t="n"/>
      <c r="B109" s="182" t="inlineStr">
        <is>
          <t>ṅᵢ (kmol/h)</t>
        </is>
      </c>
      <c r="C109" s="182" t="inlineStr">
        <is>
          <t>Ĥᵢ (kJ/kmol)</t>
        </is>
      </c>
      <c r="D109" s="182" t="inlineStr">
        <is>
          <t>ṅᵢ (kmol/h)</t>
        </is>
      </c>
      <c r="E109" s="182" t="inlineStr">
        <is>
          <t>Ĥᵢ (kJ/kmol)</t>
        </is>
      </c>
    </row>
    <row r="110">
      <c r="A110" s="188" t="inlineStr">
        <is>
          <t>H₂O (l)</t>
        </is>
      </c>
      <c r="B110" s="191">
        <f>'NME-8 Kolom VCM'!M22</f>
        <v>0.14511609269780668</v>
      </c>
      <c r="C110" s="195">
        <f>'Data Termo'!$X$12+('Data Termo'!$J$12*($B$104-298.15)+'Data Termo'!$K$12/2*($B$104^2-298.15^2)+'Data Termo'!$L$12/3*($B$104^3-298.15^3)+'Data Termo'!$M$12/4*($B$104^4-298.15^4))</f>
        <v>-274867.59853025567</v>
      </c>
      <c r="D110" s="191">
        <f>'NME-8 Kolom VCM'!M22</f>
        <v>0.14511609269780668</v>
      </c>
      <c r="E110" s="195">
        <f>'Data Termo'!$X$12+('Data Termo'!$J$12*($D$104-298.15)+'Data Termo'!$K$12/2*($D$104^2-298.15^2)+'Data Termo'!$L$12/3*($D$104^3-298.15^3)+'Data Termo'!$M$12/4*($D$104^4-298.15^4))</f>
        <v>-280097.9371456609</v>
      </c>
    </row>
    <row r="111">
      <c r="A111" s="188" t="inlineStr">
        <is>
          <t>EDC (l)</t>
        </is>
      </c>
      <c r="B111" s="191">
        <f>'NME-8 Kolom VCM'!M30</f>
        <v>337.4364327507174</v>
      </c>
      <c r="C111" s="195">
        <f>'Data Termo'!$X$20+('Data Termo'!$J$20*($B$104-298.15)+'Data Termo'!$K$20/2*($B$104^2-298.15^2)+'Data Termo'!$L$20/3*($B$104^3-298.15^3)+'Data Termo'!$M$20/4*($B$104^4-298.15^4))</f>
        <v>-146994.48433037964</v>
      </c>
      <c r="D111" s="191">
        <f>'NME-8 Kolom VCM'!M30</f>
        <v>337.4364327507174</v>
      </c>
      <c r="E111" s="195">
        <f>'Data Termo'!$X$20+('Data Termo'!$J$20*($D$104-298.15)+'Data Termo'!$K$20/2*($D$104^2-298.15^2)+'Data Termo'!$L$20/3*($D$104^3-298.15^3)+'Data Termo'!$M$20/4*($D$104^4-298.15^4))</f>
        <v>-156965.5735711347</v>
      </c>
    </row>
    <row r="112">
      <c r="A112" s="188" t="inlineStr">
        <is>
          <t>TCE (l)</t>
        </is>
      </c>
      <c r="B112" s="191">
        <f>'NME-8 Kolom VCM'!M31</f>
        <v>0.005009843991228917</v>
      </c>
      <c r="C112" s="195">
        <f>'Data Termo'!$X$21+('Data Termo'!$J$21*($B$104-298.15)+'Data Termo'!$K$21/2*($B$104^2-298.15^2)+'Data Termo'!$L$21/3*($B$104^3-298.15^3)+'Data Termo'!$M$21/4*($B$104^4-298.15^4))</f>
        <v>-156047.56200725673</v>
      </c>
      <c r="D112" s="191">
        <f>'NME-8 Kolom VCM'!M31</f>
        <v>0.005009843991228917</v>
      </c>
      <c r="E112" s="195">
        <f>'Data Termo'!$X$21+('Data Termo'!$J$21*($D$104-298.15)+'Data Termo'!$K$21/2*($D$104^2-298.15^2)+'Data Termo'!$L$21/3*($D$104^3-298.15^3)+'Data Termo'!$M$21/4*($D$104^4-298.15^4))</f>
        <v>-167675.3510147304</v>
      </c>
    </row>
    <row r="113">
      <c r="A113" s="188" t="inlineStr">
        <is>
          <t>VCM (l)</t>
        </is>
      </c>
      <c r="B113" s="191">
        <f>'NME-8 Kolom VCM'!M35</f>
        <v>2.716771330619088</v>
      </c>
      <c r="C113" s="195">
        <f>'Data Termo'!$X$25+('Data Termo'!$J$25*($B$104-298.15)+'Data Termo'!$K$25/2*($B$104^2-298.15^2)+'Data Termo'!$L$25/3*($B$104^3-298.15^3)+'Data Termo'!$M$25/4*($B$104^4-298.15^4))</f>
        <v>21269.49843410976</v>
      </c>
      <c r="D113" s="191">
        <f>'NME-8 Kolom VCM'!M35</f>
        <v>2.716771330619088</v>
      </c>
      <c r="E113" s="195">
        <f>'Data Termo'!$X$25+('Data Termo'!$J$25*($D$104-298.15)+'Data Termo'!$K$25/2*($D$104^2-298.15^2)+'Data Termo'!$L$25/3*($D$104^3-298.15^3)+'Data Termo'!$M$25/4*($D$104^4-298.15^4))</f>
        <v>13630.566222106936</v>
      </c>
    </row>
    <row r="114">
      <c r="A114" s="188" t="inlineStr">
        <is>
          <t>C₄H₈Cl₂ (berat) (l)</t>
        </is>
      </c>
      <c r="B114" s="191">
        <f>'NME-8 Kolom VCM'!M36</f>
        <v>3.0950186703622276</v>
      </c>
      <c r="C114" s="195">
        <f>'Data Termo'!$X$26+('Data Termo'!$J$26*($B$104-298.15)+'Data Termo'!$K$26/2*($B$104^2-298.15^2)+'Data Termo'!$L$26/3*($B$104^3-298.15^3)+'Data Termo'!$M$26/4*($B$104^4-298.15^4))</f>
        <v>-199364.12518830574</v>
      </c>
      <c r="D114" s="191">
        <f>'NME-8 Kolom VCM'!M36</f>
        <v>3.0950186703622276</v>
      </c>
      <c r="E114" s="195">
        <f>'Data Termo'!$X$26+('Data Termo'!$J$26*($D$104-298.15)+'Data Termo'!$K$26/2*($D$104^2-298.15^2)+'Data Termo'!$L$26/3*($D$104^3-298.15^3)+'Data Termo'!$M$26/4*($D$104^4-298.15^4))</f>
        <v>-213254.00801153202</v>
      </c>
    </row>
    <row r="115">
      <c r="A115" s="196" t="inlineStr">
        <is>
          <t>Sub Total ṅᵢĤᵢ (kJ/h)</t>
        </is>
      </c>
      <c r="B115" s="197">
        <f>SUMPRODUCT(B110:B114,C110:C114)</f>
        <v>-50201215.238419145</v>
      </c>
      <c r="C115" s="184" t="n"/>
      <c r="D115" s="197">
        <f>SUMPRODUCT(D110:D114,E110:E114)</f>
        <v>-53630383.96086798</v>
      </c>
      <c r="E115" s="184" t="n"/>
    </row>
    <row r="116">
      <c r="A116" s="188" t="inlineStr">
        <is>
          <t>Heat of reaction / heat of mixing</t>
        </is>
      </c>
      <c r="B116" s="198" t="inlineStr">
        <is>
          <t>-</t>
        </is>
      </c>
      <c r="C116" s="183" t="n"/>
      <c r="D116" s="183" t="n"/>
      <c r="E116" s="184" t="n"/>
    </row>
    <row r="117">
      <c r="A117" s="196" t="inlineStr">
        <is>
          <t>Q (kJ/h)</t>
        </is>
      </c>
      <c r="B117" s="197">
        <f>(D115)-(B115)</f>
        <v>-3429168.7224488333</v>
      </c>
      <c r="C117" s="183" t="n"/>
      <c r="D117" s="183" t="n"/>
      <c r="E117" s="184" t="n"/>
    </row>
    <row r="118">
      <c r="A118" s="196" t="inlineStr">
        <is>
          <t>W (kJ/h)</t>
        </is>
      </c>
      <c r="B118" s="197" t="n">
        <v>0</v>
      </c>
      <c r="C118" s="183" t="n"/>
      <c r="D118" s="183" t="n"/>
      <c r="E118" s="184" t="n"/>
    </row>
    <row r="119">
      <c r="A119" s="196" t="inlineStr">
        <is>
          <t>TOTAL (kJ/h)</t>
        </is>
      </c>
      <c r="B119" s="197">
        <f>B115+$B$117+$B$118</f>
        <v>-53630383.96086798</v>
      </c>
      <c r="C119" s="184" t="n"/>
      <c r="D119" s="197">
        <f>D115</f>
        <v>-53630383.96086798</v>
      </c>
      <c r="E119" s="184" t="n"/>
    </row>
    <row r="120">
      <c r="A120" s="188" t="inlineStr">
        <is>
          <t>Selisih masuk − keluar (kJ/h)</t>
        </is>
      </c>
      <c r="B120" s="195">
        <f>B119-D119</f>
        <v>0.0</v>
      </c>
      <c r="C120" s="183" t="n"/>
      <c r="D120" s="183" t="n"/>
      <c r="E120" s="184" t="n"/>
    </row>
    <row r="121">
      <c r="A121" s="188" t="inlineStr">
        <is>
          <t>Q (kW)</t>
        </is>
      </c>
      <c r="B121" s="195">
        <f>$B$117/3600</f>
        <v>-952.5468673468981</v>
      </c>
      <c r="C121" s="183" t="n"/>
      <c r="D121" s="183" t="n"/>
      <c r="E121" s="184" t="n"/>
    </row>
    <row r="122">
      <c r="A122" s="188" t="inlineStr">
        <is>
          <t>W (kW)</t>
        </is>
      </c>
      <c r="B122" s="195">
        <f>$B$118/3600</f>
        <v>0.0</v>
      </c>
      <c r="C122" s="183" t="n"/>
      <c r="D122" s="183" t="n"/>
      <c r="E122" s="184" t="n"/>
    </row>
    <row r="125">
      <c r="A125" s="172" t="inlineStr">
        <is>
          <t>Neraca Energi V-106: Valve EDC daur ulang</t>
        </is>
      </c>
    </row>
    <row r="126">
      <c r="A126" s="174" t="inlineStr">
        <is>
          <t>Reference state: unsur pada 25 °C dan 1 atm (metode panas pembentukan)</t>
        </is>
      </c>
    </row>
    <row r="127">
      <c r="A127" s="182" t="inlineStr">
        <is>
          <t>No. aliran PFD</t>
        </is>
      </c>
      <c r="B127" s="182" t="n">
        <v>50</v>
      </c>
      <c r="C127" s="184" t="n"/>
      <c r="D127" s="182" t="n">
        <v>51</v>
      </c>
      <c r="E127" s="184" t="n"/>
    </row>
    <row r="128">
      <c r="A128" s="182" t="inlineStr">
        <is>
          <t>Dari</t>
        </is>
      </c>
      <c r="B128" s="192" t="inlineStr">
        <is>
          <t>E-111</t>
        </is>
      </c>
      <c r="C128" s="184" t="n"/>
      <c r="D128" s="192" t="inlineStr">
        <is>
          <t>V-106</t>
        </is>
      </c>
      <c r="E128" s="184" t="n"/>
    </row>
    <row r="129">
      <c r="A129" s="182" t="inlineStr">
        <is>
          <t>Ke</t>
        </is>
      </c>
      <c r="B129" s="192" t="inlineStr">
        <is>
          <t>V-106</t>
        </is>
      </c>
      <c r="C129" s="184" t="n"/>
      <c r="D129" s="192" t="inlineStr">
        <is>
          <t>KD-101</t>
        </is>
      </c>
      <c r="E129" s="184" t="n"/>
    </row>
    <row r="130">
      <c r="A130" s="182" t="inlineStr">
        <is>
          <t>T (K)</t>
        </is>
      </c>
      <c r="B130" s="193">
        <f>$D$104</f>
        <v>356.59</v>
      </c>
      <c r="C130" s="184" t="n"/>
      <c r="D130" s="192" t="inlineStr">
        <is>
          <t>-</t>
        </is>
      </c>
      <c r="E130" s="184" t="n"/>
    </row>
    <row r="131">
      <c r="A131" s="182" t="inlineStr">
        <is>
          <t>T (°C)</t>
        </is>
      </c>
      <c r="B131" s="193">
        <f>$D$105</f>
        <v>83.44</v>
      </c>
      <c r="C131" s="184" t="n"/>
      <c r="D131" s="192" t="inlineStr">
        <is>
          <t>-</t>
        </is>
      </c>
      <c r="E131" s="184" t="n"/>
    </row>
    <row r="132">
      <c r="A132" s="182" t="inlineStr">
        <is>
          <t>P (bar abs)</t>
        </is>
      </c>
      <c r="B132" s="194">
        <f>$D$106</f>
        <v>6.5</v>
      </c>
      <c r="C132" s="184" t="n"/>
      <c r="D132" s="194" t="n">
        <v>1.01325</v>
      </c>
      <c r="E132" s="184" t="n"/>
    </row>
    <row r="133">
      <c r="A133" s="182" t="inlineStr">
        <is>
          <t>Substance</t>
        </is>
      </c>
      <c r="B133" s="182" t="inlineStr">
        <is>
          <t>INLET</t>
        </is>
      </c>
      <c r="C133" s="184" t="n"/>
      <c r="D133" s="182" t="inlineStr">
        <is>
          <t>OUTLET</t>
        </is>
      </c>
      <c r="E133" s="184" t="n"/>
    </row>
    <row r="134">
      <c r="A134" s="185" t="n"/>
      <c r="B134" s="182" t="inlineStr">
        <is>
          <t>Aliran 50</t>
        </is>
      </c>
      <c r="C134" s="184" t="n"/>
      <c r="D134" s="182" t="inlineStr">
        <is>
          <t>Aliran 51</t>
        </is>
      </c>
      <c r="E134" s="184" t="n"/>
    </row>
    <row r="135">
      <c r="A135" s="186" t="n"/>
      <c r="B135" s="182" t="inlineStr">
        <is>
          <t>ṅᵢ (kmol/h)</t>
        </is>
      </c>
      <c r="C135" s="182" t="inlineStr">
        <is>
          <t>Ĥᵢ (kJ/kmol)</t>
        </is>
      </c>
      <c r="D135" s="182" t="inlineStr">
        <is>
          <t>ṅᵢ (kmol/h)</t>
        </is>
      </c>
      <c r="E135" s="182" t="inlineStr">
        <is>
          <t>Ĥᵢ (kJ/kmol)</t>
        </is>
      </c>
    </row>
    <row r="136">
      <c r="A136" s="188" t="inlineStr">
        <is>
          <t>H₂O (l / l+g)</t>
        </is>
      </c>
      <c r="B136" s="191">
        <f>'NME-8 Kolom VCM'!M22</f>
        <v>0.14511609269780668</v>
      </c>
      <c r="C136" s="195">
        <f>'Data Termo'!$X$12+('Data Termo'!$J$12*($B$130-298.15)+'Data Termo'!$K$12/2*($B$130^2-298.15^2)+'Data Termo'!$L$12/3*($B$130^3-298.15^3)+'Data Termo'!$M$12/4*($B$130^4-298.15^4))</f>
        <v>-280097.9371456609</v>
      </c>
      <c r="D136" s="191">
        <f>I23</f>
        <v>0.14511609269780668</v>
      </c>
      <c r="E136" s="195">
        <f>C136</f>
        <v>-280097.9371456609</v>
      </c>
    </row>
    <row r="137">
      <c r="A137" s="188" t="inlineStr">
        <is>
          <t>EDC (l / l+g)</t>
        </is>
      </c>
      <c r="B137" s="191">
        <f>'NME-8 Kolom VCM'!M30</f>
        <v>337.4364327507174</v>
      </c>
      <c r="C137" s="195">
        <f>'Data Termo'!$X$20+('Data Termo'!$J$20*($B$130-298.15)+'Data Termo'!$K$20/2*($B$130^2-298.15^2)+'Data Termo'!$L$20/3*($B$130^3-298.15^3)+'Data Termo'!$M$20/4*($B$130^4-298.15^4))</f>
        <v>-156965.5735711347</v>
      </c>
      <c r="D137" s="191">
        <f>I31</f>
        <v>337.43643275072174</v>
      </c>
      <c r="E137" s="195">
        <f>C137</f>
        <v>-156965.5735711347</v>
      </c>
    </row>
    <row r="138">
      <c r="A138" s="188" t="inlineStr">
        <is>
          <t>TCE (l / l+g)</t>
        </is>
      </c>
      <c r="B138" s="191">
        <f>'NME-8 Kolom VCM'!M31</f>
        <v>0.005009843991228917</v>
      </c>
      <c r="C138" s="195">
        <f>'Data Termo'!$X$21+('Data Termo'!$J$21*($B$130-298.15)+'Data Termo'!$K$21/2*($B$130^2-298.15^2)+'Data Termo'!$L$21/3*($B$130^3-298.15^3)+'Data Termo'!$M$21/4*($B$130^4-298.15^4))</f>
        <v>-167675.3510147304</v>
      </c>
      <c r="D138" s="191">
        <f>I32</f>
        <v>0.005009843991228876</v>
      </c>
      <c r="E138" s="195">
        <f>C138</f>
        <v>-167675.3510147304</v>
      </c>
    </row>
    <row r="139">
      <c r="A139" s="188" t="inlineStr">
        <is>
          <t>VCM (l / l+g)</t>
        </is>
      </c>
      <c r="B139" s="191">
        <f>'NME-8 Kolom VCM'!M35</f>
        <v>2.716771330619088</v>
      </c>
      <c r="C139" s="195">
        <f>'Data Termo'!$X$25+('Data Termo'!$J$25*($B$130-298.15)+'Data Termo'!$K$25/2*($B$130^2-298.15^2)+'Data Termo'!$L$25/3*($B$130^3-298.15^3)+'Data Termo'!$M$25/4*($B$130^4-298.15^4))</f>
        <v>13630.566222106936</v>
      </c>
      <c r="D139" s="191">
        <f>I36</f>
        <v>2.716771330619088</v>
      </c>
      <c r="E139" s="195">
        <f>C139</f>
        <v>13630.566222106936</v>
      </c>
    </row>
    <row r="140">
      <c r="A140" s="188" t="inlineStr">
        <is>
          <t>C₄H₈Cl₂ (berat) (l / l+g)</t>
        </is>
      </c>
      <c r="B140" s="191">
        <f>'NME-8 Kolom VCM'!M36</f>
        <v>3.0950186703622276</v>
      </c>
      <c r="C140" s="195">
        <f>'Data Termo'!$X$26+('Data Termo'!$J$26*($B$130-298.15)+'Data Termo'!$K$26/2*($B$130^2-298.15^2)+'Data Termo'!$L$26/3*($B$130^3-298.15^3)+'Data Termo'!$M$26/4*($B$130^4-298.15^4))</f>
        <v>-213254.00801153202</v>
      </c>
      <c r="D140" s="191">
        <f>I37</f>
        <v>3.095018670362267</v>
      </c>
      <c r="E140" s="195">
        <f>C140</f>
        <v>-213254.00801153202</v>
      </c>
    </row>
    <row r="141">
      <c r="A141" s="196" t="inlineStr">
        <is>
          <t>Sub Total ṅᵢĤᵢ (kJ/h)</t>
        </is>
      </c>
      <c r="B141" s="197">
        <f>SUMPRODUCT(B136:B140,C136:C140)</f>
        <v>-53630383.96086798</v>
      </c>
      <c r="C141" s="184" t="n"/>
      <c r="D141" s="197">
        <f>SUMPRODUCT(D136:D140,E136:E140)</f>
        <v>-53630383.960868664</v>
      </c>
      <c r="E141" s="184" t="n"/>
    </row>
    <row r="142">
      <c r="A142" s="188" t="inlineStr">
        <is>
          <t>Heat of reaction / heat of mixing</t>
        </is>
      </c>
      <c r="B142" s="198" t="inlineStr">
        <is>
          <t>-</t>
        </is>
      </c>
      <c r="C142" s="183" t="n"/>
      <c r="D142" s="183" t="n"/>
      <c r="E142" s="184" t="n"/>
    </row>
    <row r="143">
      <c r="A143" s="196" t="inlineStr">
        <is>
          <t>Q (kJ/h)</t>
        </is>
      </c>
      <c r="B143" s="197" t="n">
        <v>0</v>
      </c>
      <c r="C143" s="183" t="n"/>
      <c r="D143" s="183" t="n"/>
      <c r="E143" s="184" t="n"/>
    </row>
    <row r="144">
      <c r="A144" s="196" t="inlineStr">
        <is>
          <t>W (kJ/h)</t>
        </is>
      </c>
      <c r="B144" s="197" t="n">
        <v>0</v>
      </c>
      <c r="C144" s="183" t="n"/>
      <c r="D144" s="183" t="n"/>
      <c r="E144" s="184" t="n"/>
    </row>
    <row r="145">
      <c r="A145" s="196" t="inlineStr">
        <is>
          <t>TOTAL (kJ/h)</t>
        </is>
      </c>
      <c r="B145" s="197">
        <f>B141+$B$143+$B$144</f>
        <v>-53630383.96086798</v>
      </c>
      <c r="C145" s="184" t="n"/>
      <c r="D145" s="197">
        <f>D141</f>
        <v>-53630383.960868664</v>
      </c>
      <c r="E145" s="184" t="n"/>
    </row>
    <row r="146">
      <c r="A146" s="188" t="inlineStr">
        <is>
          <t>Selisih masuk − keluar (kJ/h)</t>
        </is>
      </c>
      <c r="B146" s="195">
        <f>B145-D145</f>
        <v>6.854534149169922e-07</v>
      </c>
      <c r="C146" s="183" t="n"/>
      <c r="D146" s="183" t="n"/>
      <c r="E146" s="184" t="n"/>
    </row>
    <row r="147">
      <c r="A147" s="188" t="inlineStr">
        <is>
          <t>Q (kW)</t>
        </is>
      </c>
      <c r="B147" s="195">
        <f>$B$143/3600</f>
        <v>0.0</v>
      </c>
      <c r="C147" s="183" t="n"/>
      <c r="D147" s="183" t="n"/>
      <c r="E147" s="184" t="n"/>
    </row>
    <row r="148">
      <c r="A148" s="188" t="inlineStr">
        <is>
          <t>W (kW)</t>
        </is>
      </c>
      <c r="B148" s="195">
        <f>$B$144/3600</f>
        <v>0.0</v>
      </c>
      <c r="C148" s="183" t="n"/>
      <c r="D148" s="183" t="n"/>
      <c r="E148" s="184" t="n"/>
    </row>
    <row r="151">
      <c r="A151" s="172" t="inlineStr">
        <is>
          <t>Neraca Energi KD-101: Kolom ringan (kondensor dan reboiler)</t>
        </is>
      </c>
    </row>
    <row r="152">
      <c r="A152" s="174" t="inlineStr">
        <is>
          <t>Reference state: unsur pada 25 °C dan 1 atm (metode panas pembentukan)</t>
        </is>
      </c>
    </row>
    <row r="153">
      <c r="A153" s="182" t="inlineStr">
        <is>
          <t>No. aliran PFD</t>
        </is>
      </c>
      <c r="B153" s="182" t="n">
        <v>31</v>
      </c>
      <c r="C153" s="184" t="n"/>
      <c r="D153" s="182" t="n">
        <v>51</v>
      </c>
      <c r="E153" s="184" t="n"/>
      <c r="F153" s="182" t="n">
        <v>32</v>
      </c>
      <c r="G153" s="184" t="n"/>
      <c r="H153" s="182" t="n">
        <v>33</v>
      </c>
      <c r="I153" s="184" t="n"/>
    </row>
    <row r="154">
      <c r="A154" s="182" t="inlineStr">
        <is>
          <t>Dari</t>
        </is>
      </c>
      <c r="B154" s="192" t="inlineStr">
        <is>
          <t>E-106</t>
        </is>
      </c>
      <c r="C154" s="184" t="n"/>
      <c r="D154" s="192" t="inlineStr">
        <is>
          <t>V-106</t>
        </is>
      </c>
      <c r="E154" s="184" t="n"/>
      <c r="F154" s="192" t="inlineStr">
        <is>
          <t>KD-101</t>
        </is>
      </c>
      <c r="G154" s="184" t="n"/>
      <c r="H154" s="192" t="inlineStr">
        <is>
          <t>KD-101</t>
        </is>
      </c>
      <c r="I154" s="184" t="n"/>
    </row>
    <row r="155">
      <c r="A155" s="182" t="inlineStr">
        <is>
          <t>Ke</t>
        </is>
      </c>
      <c r="B155" s="192" t="inlineStr">
        <is>
          <t>KD-101</t>
        </is>
      </c>
      <c r="C155" s="184" t="n"/>
      <c r="D155" s="192" t="inlineStr">
        <is>
          <t>KD-101</t>
        </is>
      </c>
      <c r="E155" s="184" t="n"/>
      <c r="F155" s="192" t="inlineStr">
        <is>
          <t>UPL</t>
        </is>
      </c>
      <c r="G155" s="184" t="n"/>
      <c r="H155" s="192" t="inlineStr">
        <is>
          <t>P-103</t>
        </is>
      </c>
      <c r="I155" s="184" t="n"/>
    </row>
    <row r="156">
      <c r="A156" s="182" t="inlineStr">
        <is>
          <t>T (K)</t>
        </is>
      </c>
      <c r="B156" s="193">
        <f>$D$76</f>
        <v>356.59</v>
      </c>
      <c r="C156" s="184" t="n"/>
      <c r="D156" s="193" t="str">
        <f>$D$130</f>
        <v>-</v>
      </c>
      <c r="E156" s="184" t="n"/>
      <c r="F156" s="193">
        <f>F157+273.15</f>
        <v>348.15</v>
      </c>
      <c r="G156" s="184" t="n"/>
      <c r="H156" s="193">
        <f>'Data Termo'!$D$39</f>
        <v>356.59</v>
      </c>
      <c r="I156" s="184" t="n"/>
    </row>
    <row r="157">
      <c r="A157" s="182" t="inlineStr">
        <is>
          <t>T (°C)</t>
        </is>
      </c>
      <c r="B157" s="193">
        <f>$D$77</f>
        <v>83.44</v>
      </c>
      <c r="C157" s="184" t="n"/>
      <c r="D157" s="193" t="str">
        <f>$D$131</f>
        <v>-</v>
      </c>
      <c r="E157" s="184" t="n"/>
      <c r="F157" s="193" t="n">
        <v>75</v>
      </c>
      <c r="G157" s="184" t="n"/>
      <c r="H157" s="193">
        <f>IF(ISNUMBER(H156),H156-273.15,"-")</f>
        <v>83.44</v>
      </c>
      <c r="I157" s="184" t="n"/>
    </row>
    <row r="158">
      <c r="A158" s="182" t="inlineStr">
        <is>
          <t>P (bar abs)</t>
        </is>
      </c>
      <c r="B158" s="194">
        <f>$D$78</f>
        <v>1.01325</v>
      </c>
      <c r="C158" s="184" t="n"/>
      <c r="D158" s="194">
        <f>$D$132</f>
        <v>1.01325</v>
      </c>
      <c r="E158" s="184" t="n"/>
      <c r="F158" s="194" t="n">
        <v>1.01325</v>
      </c>
      <c r="G158" s="184" t="n"/>
      <c r="H158" s="194" t="n">
        <v>1.01325</v>
      </c>
      <c r="I158" s="184" t="n"/>
    </row>
    <row r="159">
      <c r="A159" s="182" t="inlineStr">
        <is>
          <t>Substance</t>
        </is>
      </c>
      <c r="B159" s="182" t="inlineStr">
        <is>
          <t>INLET</t>
        </is>
      </c>
      <c r="C159" s="183" t="n"/>
      <c r="D159" s="183" t="n"/>
      <c r="E159" s="184" t="n"/>
      <c r="F159" s="182" t="inlineStr">
        <is>
          <t>OUTLET</t>
        </is>
      </c>
      <c r="G159" s="183" t="n"/>
      <c r="H159" s="183" t="n"/>
      <c r="I159" s="184" t="n"/>
    </row>
    <row r="160">
      <c r="A160" s="185" t="n"/>
      <c r="B160" s="182" t="inlineStr">
        <is>
          <t>Aliran 31</t>
        </is>
      </c>
      <c r="C160" s="184" t="n"/>
      <c r="D160" s="182" t="inlineStr">
        <is>
          <t>Aliran 51</t>
        </is>
      </c>
      <c r="E160" s="184" t="n"/>
      <c r="F160" s="182" t="inlineStr">
        <is>
          <t>Aliran 32</t>
        </is>
      </c>
      <c r="G160" s="184" t="n"/>
      <c r="H160" s="182" t="inlineStr">
        <is>
          <t>Aliran 33</t>
        </is>
      </c>
      <c r="I160" s="184" t="n"/>
    </row>
    <row r="161">
      <c r="A161" s="186" t="n"/>
      <c r="B161" s="182" t="inlineStr">
        <is>
          <t>ṅᵢ (kmol/h)</t>
        </is>
      </c>
      <c r="C161" s="182" t="inlineStr">
        <is>
          <t>Ĥᵢ (kJ/kmol)</t>
        </is>
      </c>
      <c r="D161" s="182" t="inlineStr">
        <is>
          <t>ṅᵢ (kmol/h)</t>
        </is>
      </c>
      <c r="E161" s="182" t="inlineStr">
        <is>
          <t>Ĥᵢ (kJ/kmol)</t>
        </is>
      </c>
      <c r="F161" s="182" t="inlineStr">
        <is>
          <t>ṅᵢ (kmol/h)</t>
        </is>
      </c>
      <c r="G161" s="182" t="inlineStr">
        <is>
          <t>Ĥᵢ (kJ/kmol)</t>
        </is>
      </c>
      <c r="H161" s="182" t="inlineStr">
        <is>
          <t>ṅᵢ (kmol/h)</t>
        </is>
      </c>
      <c r="I161" s="182" t="inlineStr">
        <is>
          <t>Ĥᵢ (kJ/kmol)</t>
        </is>
      </c>
    </row>
    <row r="162">
      <c r="A162" s="188" t="inlineStr">
        <is>
          <t>H₂O (l / l+g / l / l)</t>
        </is>
      </c>
      <c r="B162" s="191">
        <f>E23</f>
        <v>4.575754314852013</v>
      </c>
      <c r="C162" s="195">
        <f>'Data Termo'!$X$12+('Data Termo'!$J$12*($B$156-298.15)+'Data Termo'!$K$12/2*($B$156^2-298.15^2)+'Data Termo'!$L$12/3*($B$156^3-298.15^3)+'Data Termo'!$M$12/4*($B$156^4-298.15^4))</f>
        <v>-280097.9371456609</v>
      </c>
      <c r="D162" s="191">
        <f>I23</f>
        <v>0.14511609269780668</v>
      </c>
      <c r="E162" s="195">
        <f>$E$110</f>
        <v>-280097.9371456609</v>
      </c>
      <c r="F162" s="191">
        <f>M23</f>
        <v>4.575754314852013</v>
      </c>
      <c r="G162" s="195">
        <f>'Data Termo'!$X$12+('Data Termo'!$J$12*($F$156-298.15)+'Data Termo'!$K$12/2*($F$156^2-298.15^2)+'Data Termo'!$L$12/3*($F$156^3-298.15^3)+'Data Termo'!$M$12/4*($F$156^4-298.15^4))</f>
        <v>-280732.35591638746</v>
      </c>
      <c r="H162" s="191">
        <f>Q23</f>
        <v>0.14511609269780668</v>
      </c>
      <c r="I162" s="195">
        <f>'Data Termo'!$X$12+('Data Termo'!$J$12*($H$156-298.15)+'Data Termo'!$K$12/2*($H$156^2-298.15^2)+'Data Termo'!$L$12/3*($H$156^3-298.15^3)+'Data Termo'!$M$12/4*($H$156^4-298.15^4))</f>
        <v>-280097.9371456609</v>
      </c>
    </row>
    <row r="163">
      <c r="A163" s="188" t="inlineStr">
        <is>
          <t>Br₂ (l / l+g / l / l)</t>
        </is>
      </c>
      <c r="B163" s="191">
        <f>E25</f>
        <v>0.008660028716159318</v>
      </c>
      <c r="C163" s="195">
        <f>'Data Termo'!$X$14+('Data Termo'!$J$14*($B$156-298.15)+'Data Termo'!$K$14/2*($B$156^2-298.15^2)+'Data Termo'!$L$14/3*($B$156^3-298.15^3)+'Data Termo'!$M$14/4*($B$156^4-298.15^4))</f>
        <v>3973.6018942021747</v>
      </c>
      <c r="D163" s="191">
        <f>I25</f>
        <v>0.0</v>
      </c>
      <c r="E163" s="195" t="inlineStr">
        <is>
          <t>-</t>
        </is>
      </c>
      <c r="F163" s="191">
        <f>M25</f>
        <v>0.008660028716159318</v>
      </c>
      <c r="G163" s="195">
        <f>'Data Termo'!$X$14+('Data Termo'!$J$14*($F$156-298.15)+'Data Termo'!$K$14/2*($F$156^2-298.15^2)+'Data Termo'!$L$14/3*($F$156^3-298.15^3)+'Data Termo'!$M$14/4*($F$156^4-298.15^4))</f>
        <v>3304.5700662228905</v>
      </c>
      <c r="H163" s="191">
        <f>Q25</f>
        <v>0.0</v>
      </c>
      <c r="I163" s="195">
        <f>'Data Termo'!$X$14+('Data Termo'!$J$14*($H$156-298.15)+'Data Termo'!$K$14/2*($H$156^2-298.15^2)+'Data Termo'!$L$14/3*($H$156^3-298.15^3)+'Data Termo'!$M$14/4*($H$156^4-298.15^4))</f>
        <v>3973.6018942021747</v>
      </c>
    </row>
    <row r="164">
      <c r="A164" s="188" t="inlineStr">
        <is>
          <t>NCl₃ (l / l+g / l / l)</t>
        </is>
      </c>
      <c r="B164" s="191">
        <f>E26</f>
        <v>0.0006387709001195385</v>
      </c>
      <c r="C164" s="195">
        <f>'Data Termo'!$X$15+('Data Termo'!$J$15*($B$156-298.15)+'Data Termo'!$K$15/2*($B$156^2-298.15^2)+'Data Termo'!$L$15/3*($B$156^3-298.15^3)+'Data Termo'!$M$15/4*($B$156^4-298.15^4))</f>
        <v>236105.90816307024</v>
      </c>
      <c r="D164" s="191">
        <f>I26</f>
        <v>0.0</v>
      </c>
      <c r="E164" s="195" t="inlineStr">
        <is>
          <t>-</t>
        </is>
      </c>
      <c r="F164" s="191">
        <f>M26</f>
        <v>0.0006387709001195385</v>
      </c>
      <c r="G164" s="195">
        <f>'Data Termo'!$X$15+('Data Termo'!$J$15*($F$156-298.15)+'Data Termo'!$K$15/2*($F$156^2-298.15^2)+'Data Termo'!$L$15/3*($F$156^3-298.15^3)+'Data Termo'!$M$15/4*($F$156^4-298.15^4))</f>
        <v>235207.8345869584</v>
      </c>
      <c r="H164" s="191">
        <f>Q26</f>
        <v>0.0</v>
      </c>
      <c r="I164" s="195">
        <f>'Data Termo'!$X$15+('Data Termo'!$J$15*($H$156-298.15)+'Data Termo'!$K$15/2*($H$156^2-298.15^2)+'Data Termo'!$L$15/3*($H$156^3-298.15^3)+'Data Termo'!$M$15/4*($H$156^4-298.15^4))</f>
        <v>236105.90816307024</v>
      </c>
    </row>
    <row r="165">
      <c r="A165" s="188" t="inlineStr">
        <is>
          <t>EDC (l / l+g / l / l)</t>
        </is>
      </c>
      <c r="B165" s="191">
        <f>E31</f>
        <v>414.5228599660036</v>
      </c>
      <c r="C165" s="195">
        <f>'Data Termo'!$X$20+('Data Termo'!$J$20*($B$156-298.15)+'Data Termo'!$K$20/2*($B$156^2-298.15^2)+'Data Termo'!$L$20/3*($B$156^3-298.15^3)+'Data Termo'!$M$20/4*($B$156^4-298.15^4))</f>
        <v>-156965.5735711347</v>
      </c>
      <c r="D165" s="191">
        <f>I31</f>
        <v>337.43643275072174</v>
      </c>
      <c r="E165" s="195">
        <f>$E$111</f>
        <v>-156965.5735711347</v>
      </c>
      <c r="F165" s="191">
        <f>M31</f>
        <v>1.2480029280604628</v>
      </c>
      <c r="G165" s="195">
        <f>'Data Termo'!$X$20+('Data Termo'!$J$20*($F$156-298.15)+'Data Termo'!$K$20/2*($F$156^2-298.15^2)+'Data Termo'!$L$20/3*($F$156^3-298.15^3)+'Data Termo'!$M$20/4*($F$156^4-298.15^4))</f>
        <v>-158124.37289361557</v>
      </c>
      <c r="H165" s="191">
        <f>Q31</f>
        <v>750.7112897886648</v>
      </c>
      <c r="I165" s="195">
        <f>'Data Termo'!$X$20+('Data Termo'!$J$20*($H$156-298.15)+'Data Termo'!$K$20/2*($H$156^2-298.15^2)+'Data Termo'!$L$20/3*($H$156^3-298.15^3)+'Data Termo'!$M$20/4*($H$156^4-298.15^4))</f>
        <v>-156965.5735711347</v>
      </c>
    </row>
    <row r="166">
      <c r="A166" s="188" t="inlineStr">
        <is>
          <t>TCE (l / l+g / l / l)</t>
        </is>
      </c>
      <c r="B166" s="191">
        <f>E32</f>
        <v>0.04817685591565345</v>
      </c>
      <c r="C166" s="195">
        <f>'Data Termo'!$X$21+('Data Termo'!$J$21*($B$156-298.15)+'Data Termo'!$K$21/2*($B$156^2-298.15^2)+'Data Termo'!$L$21/3*($B$156^3-298.15^3)+'Data Termo'!$M$21/4*($B$156^4-298.15^4))</f>
        <v>-167675.3510147304</v>
      </c>
      <c r="D166" s="191">
        <f>I32</f>
        <v>0.005009843991228876</v>
      </c>
      <c r="E166" s="195">
        <f>$E$112</f>
        <v>-167675.3510147304</v>
      </c>
      <c r="F166" s="191">
        <f>M32</f>
        <v>0.0</v>
      </c>
      <c r="G166" s="195">
        <f>'Data Termo'!$X$21+('Data Termo'!$J$21*($F$156-298.15)+'Data Termo'!$K$21/2*($F$156^2-298.15^2)+'Data Termo'!$L$21/3*($F$156^3-298.15^3)+'Data Termo'!$M$21/4*($F$156^4-298.15^4))</f>
        <v>-169034.26785555368</v>
      </c>
      <c r="H166" s="191">
        <f>Q32</f>
        <v>0.05318669990688233</v>
      </c>
      <c r="I166" s="195">
        <f>'Data Termo'!$X$21+('Data Termo'!$J$21*($H$156-298.15)+'Data Termo'!$K$21/2*($H$156^2-298.15^2)+'Data Termo'!$L$21/3*($H$156^3-298.15^3)+'Data Termo'!$M$21/4*($H$156^4-298.15^4))</f>
        <v>-167675.3510147304</v>
      </c>
    </row>
    <row r="167">
      <c r="A167" s="188" t="inlineStr">
        <is>
          <t>FeCl₃ (s)</t>
        </is>
      </c>
      <c r="B167" s="191">
        <f>E34</f>
        <v>0.0007607767029859938</v>
      </c>
      <c r="C167" s="195">
        <f>'Data Termo'!$T$23*1000+('Data Termo'!$N$23*($B$156-298.15)+'Data Termo'!$O$23/2*($B$156^2-298.15^2)+'Data Termo'!$P$23/3*($B$156^3-298.15^3))</f>
        <v>-393579.4567711952</v>
      </c>
      <c r="D167" s="191">
        <f>I34</f>
        <v>0.0</v>
      </c>
      <c r="E167" s="195" t="inlineStr">
        <is>
          <t>-</t>
        </is>
      </c>
      <c r="F167" s="191">
        <f>M34</f>
        <v>0.0</v>
      </c>
      <c r="G167" s="195">
        <f>'Data Termo'!$T$23*1000+('Data Termo'!$N$23*($F$156-298.15)+'Data Termo'!$O$23/2*($F$156^2-298.15^2)+'Data Termo'!$P$23/3*($F$156^3-298.15^3))</f>
        <v>-394461.8351723521</v>
      </c>
      <c r="H167" s="191">
        <f>Q34</f>
        <v>0.0007607767029859938</v>
      </c>
      <c r="I167" s="195">
        <f>'Data Termo'!$T$23*1000+('Data Termo'!$N$23*($H$156-298.15)+'Data Termo'!$O$23/2*($H$156^2-298.15^2)+'Data Termo'!$P$23/3*($H$156^3-298.15^3))</f>
        <v>-393579.4567711952</v>
      </c>
    </row>
    <row r="168">
      <c r="A168" s="188" t="inlineStr">
        <is>
          <t>C₂H₅Cl (l / l+g / g / l)</t>
        </is>
      </c>
      <c r="B168" s="191">
        <f>E35</f>
        <v>1.6259150896419214</v>
      </c>
      <c r="C168" s="195">
        <f>'Data Termo'!$X$24+('Data Termo'!$J$24*($B$156-298.15)+'Data Termo'!$K$24/2*($B$156^2-298.15^2)+'Data Termo'!$L$24/3*($B$156^3-298.15^3)+'Data Termo'!$M$24/4*($B$156^4-298.15^4))</f>
        <v>-129272.84569781274</v>
      </c>
      <c r="D168" s="191">
        <f>I35</f>
        <v>0.0</v>
      </c>
      <c r="E168" s="195" t="inlineStr">
        <is>
          <t>-</t>
        </is>
      </c>
      <c r="F168" s="191">
        <f>M35</f>
        <v>1.6259150896419214</v>
      </c>
      <c r="G168" s="195">
        <f>'Data Termo'!$W$24+('Data Termo'!$E$24*($F$156-298.15)+'Data Termo'!$F$24/2*($F$156^2-298.15^2)+'Data Termo'!$G$24/3*($F$156^3-298.15^3)+'Data Termo'!$H$24/4*($F$156^4-298.15^4)+'Data Termo'!$I$24/5*($F$156^5-298.15^5))</f>
        <v>-108353.39667271545</v>
      </c>
      <c r="H168" s="191">
        <f>Q35</f>
        <v>0.0</v>
      </c>
      <c r="I168" s="195">
        <f>'Data Termo'!$X$24+('Data Termo'!$J$24*($H$156-298.15)+'Data Termo'!$K$24/2*($H$156^2-298.15^2)+'Data Termo'!$L$24/3*($H$156^3-298.15^3)+'Data Termo'!$M$24/4*($H$156^4-298.15^4))</f>
        <v>-129272.84569781274</v>
      </c>
    </row>
    <row r="169">
      <c r="A169" s="188" t="inlineStr">
        <is>
          <t>VCM (l / l+g / g / l)</t>
        </is>
      </c>
      <c r="B169" s="191">
        <f>E36</f>
        <v>0.0</v>
      </c>
      <c r="C169" s="195">
        <f>'Data Termo'!$X$25+('Data Termo'!$J$25*($B$156-298.15)+'Data Termo'!$K$25/2*($B$156^2-298.15^2)+'Data Termo'!$L$25/3*($B$156^3-298.15^3)+'Data Termo'!$M$25/4*($B$156^4-298.15^4))</f>
        <v>13630.566222106936</v>
      </c>
      <c r="D169" s="191">
        <f>I36</f>
        <v>2.716771330619088</v>
      </c>
      <c r="E169" s="195">
        <f>$E$113</f>
        <v>13630.566222106936</v>
      </c>
      <c r="F169" s="191">
        <f>M36</f>
        <v>2.704820016017245</v>
      </c>
      <c r="G169" s="195">
        <f>'Data Termo'!$W$25+('Data Termo'!$E$25*($F$156-298.15)+'Data Termo'!$F$25/2*($F$156^2-298.15^2)+'Data Termo'!$G$25/3*($F$156^3-298.15^3)+'Data Termo'!$H$25/4*($F$156^4-298.15^4)+'Data Termo'!$I$25/5*($F$156^5-298.15^5))</f>
        <v>31324.777188392844</v>
      </c>
      <c r="H169" s="191">
        <f>Q36</f>
        <v>0.011951314601842957</v>
      </c>
      <c r="I169" s="195">
        <f>'Data Termo'!$X$25+('Data Termo'!$J$25*($H$156-298.15)+'Data Termo'!$K$25/2*($H$156^2-298.15^2)+'Data Termo'!$L$25/3*($H$156^3-298.15^3)+'Data Termo'!$M$25/4*($H$156^4-298.15^4))</f>
        <v>13630.566222106936</v>
      </c>
    </row>
    <row r="170">
      <c r="A170" s="188" t="inlineStr">
        <is>
          <t>C₄H₈Cl₂ (berat) (l / l+g / l / l)</t>
        </is>
      </c>
      <c r="B170" s="191">
        <f>E37</f>
        <v>0.0</v>
      </c>
      <c r="C170" s="195">
        <f>'Data Termo'!$X$26+('Data Termo'!$J$26*($B$156-298.15)+'Data Termo'!$K$26/2*($B$156^2-298.15^2)+'Data Termo'!$L$26/3*($B$156^3-298.15^3)+'Data Termo'!$M$26/4*($B$156^4-298.15^4))</f>
        <v>-213254.00801153202</v>
      </c>
      <c r="D170" s="191">
        <f>I37</f>
        <v>3.095018670362267</v>
      </c>
      <c r="E170" s="195">
        <f>$E$114</f>
        <v>-213254.00801153202</v>
      </c>
      <c r="F170" s="191">
        <f>M37</f>
        <v>0.0</v>
      </c>
      <c r="G170" s="195">
        <f>'Data Termo'!$X$26+('Data Termo'!$J$26*($F$156-298.15)+'Data Termo'!$K$26/2*($F$156^2-298.15^2)+'Data Termo'!$L$26/3*($F$156^3-298.15^3)+'Data Termo'!$M$26/4*($F$156^4-298.15^4))</f>
        <v>-214892.69101201664</v>
      </c>
      <c r="H170" s="191">
        <f>Q37</f>
        <v>3.095018670362267</v>
      </c>
      <c r="I170" s="195">
        <f>'Data Termo'!$X$26+('Data Termo'!$J$26*($H$156-298.15)+'Data Termo'!$K$26/2*($H$156^2-298.15^2)+'Data Termo'!$L$26/3*($H$156^3-298.15^3)+'Data Termo'!$M$26/4*($H$156^4-298.15^4))</f>
        <v>-213254.00801153202</v>
      </c>
    </row>
    <row r="171">
      <c r="A171" s="196" t="inlineStr">
        <is>
          <t>Sub Total ṅᵢĤᵢ (kJ/h)</t>
        </is>
      </c>
      <c r="B171" s="197">
        <f>SUMPRODUCT(B162:B170,C162:C170)</f>
        <v>-66565856.75610527</v>
      </c>
      <c r="C171" s="184" t="n"/>
      <c r="D171" s="197">
        <f>SUMPRODUCT(D162:D170,E162:E170)</f>
        <v>-53630383.960868664</v>
      </c>
      <c r="E171" s="184" t="n"/>
      <c r="F171" s="197">
        <f>SUMPRODUCT(F162:F170,G162:G170)</f>
        <v>-1573168.6460077348</v>
      </c>
      <c r="G171" s="184" t="n"/>
      <c r="H171" s="197">
        <f>SUMPRODUCT(H162:H170,I162:I170)</f>
        <v>-118545554.66401322</v>
      </c>
      <c r="I171" s="184" t="n"/>
    </row>
    <row r="172">
      <c r="A172" s="188" t="inlineStr">
        <is>
          <t>Heat of reaction / heat of mixing</t>
        </is>
      </c>
      <c r="B172" s="198" t="inlineStr">
        <is>
          <t>-</t>
        </is>
      </c>
      <c r="C172" s="183" t="n"/>
      <c r="D172" s="183" t="n"/>
      <c r="E172" s="183" t="n"/>
      <c r="F172" s="183" t="n"/>
      <c r="G172" s="183" t="n"/>
      <c r="H172" s="183" t="n"/>
      <c r="I172" s="184" t="n"/>
    </row>
    <row r="173">
      <c r="A173" s="196" t="inlineStr">
        <is>
          <t>Q kondensor (kJ/h)</t>
        </is>
      </c>
      <c r="B173" s="197">
        <f>(F171+H171)-(B171+D171)-$B$174</f>
        <v>-14473169.752409482</v>
      </c>
      <c r="C173" s="183" t="n"/>
      <c r="D173" s="183" t="n"/>
      <c r="E173" s="183" t="n"/>
      <c r="F173" s="183" t="n"/>
      <c r="G173" s="183" t="n"/>
      <c r="H173" s="183" t="n"/>
      <c r="I173" s="184" t="n"/>
    </row>
    <row r="174">
      <c r="A174" s="196" t="inlineStr">
        <is>
          <t>Q reboiler (kJ/h)</t>
        </is>
      </c>
      <c r="B174" s="197">
        <f>$B$10*SUM(H162:H170)*('Data Termo'!$Q$20*1000*MAX(0,1-$H$156/'Data Termo'!$R$20)^'Data Termo'!$S$20)</f>
        <v>14550687.15936246</v>
      </c>
      <c r="C174" s="183" t="n"/>
      <c r="D174" s="183" t="n"/>
      <c r="E174" s="183" t="n"/>
      <c r="F174" s="183" t="n"/>
      <c r="G174" s="183" t="n"/>
      <c r="H174" s="183" t="n"/>
      <c r="I174" s="184" t="n"/>
    </row>
    <row r="175">
      <c r="A175" s="196" t="inlineStr">
        <is>
          <t>W (kJ/h)</t>
        </is>
      </c>
      <c r="B175" s="197" t="n">
        <v>0</v>
      </c>
      <c r="C175" s="183" t="n"/>
      <c r="D175" s="183" t="n"/>
      <c r="E175" s="183" t="n"/>
      <c r="F175" s="183" t="n"/>
      <c r="G175" s="183" t="n"/>
      <c r="H175" s="183" t="n"/>
      <c r="I175" s="184" t="n"/>
    </row>
    <row r="176">
      <c r="A176" s="196" t="inlineStr">
        <is>
          <t>TOTAL (kJ/h)</t>
        </is>
      </c>
      <c r="B176" s="197">
        <f>B171+D171+$B$173+$B$174+$B$175</f>
        <v>-120118723.31002095</v>
      </c>
      <c r="C176" s="183" t="n"/>
      <c r="D176" s="183" t="n"/>
      <c r="E176" s="184" t="n"/>
      <c r="F176" s="197">
        <f>F171+H171</f>
        <v>-120118723.31002095</v>
      </c>
      <c r="G176" s="183" t="n"/>
      <c r="H176" s="183" t="n"/>
      <c r="I176" s="184" t="n"/>
    </row>
    <row r="177">
      <c r="A177" s="188" t="inlineStr">
        <is>
          <t>Selisih masuk − keluar (kJ/h)</t>
        </is>
      </c>
      <c r="B177" s="195">
        <f>B176-F176</f>
        <v>0.0</v>
      </c>
      <c r="C177" s="183" t="n"/>
      <c r="D177" s="183" t="n"/>
      <c r="E177" s="183" t="n"/>
      <c r="F177" s="183" t="n"/>
      <c r="G177" s="183" t="n"/>
      <c r="H177" s="183" t="n"/>
      <c r="I177" s="184" t="n"/>
    </row>
    <row r="178">
      <c r="A178" s="188" t="inlineStr">
        <is>
          <t>Q kondensor (kW)</t>
        </is>
      </c>
      <c r="B178" s="195">
        <f>$B$173/3600</f>
        <v>-4020.3249312248563</v>
      </c>
      <c r="C178" s="183" t="n"/>
      <c r="D178" s="183" t="n"/>
      <c r="E178" s="183" t="n"/>
      <c r="F178" s="183" t="n"/>
      <c r="G178" s="183" t="n"/>
      <c r="H178" s="183" t="n"/>
      <c r="I178" s="184" t="n"/>
    </row>
    <row r="179">
      <c r="A179" s="188" t="inlineStr">
        <is>
          <t>Q reboiler (kW)</t>
        </is>
      </c>
      <c r="B179" s="195">
        <f>$B$174/3600</f>
        <v>4041.85754426735</v>
      </c>
      <c r="C179" s="183" t="n"/>
      <c r="D179" s="183" t="n"/>
      <c r="E179" s="183" t="n"/>
      <c r="F179" s="183" t="n"/>
      <c r="G179" s="183" t="n"/>
      <c r="H179" s="183" t="n"/>
      <c r="I179" s="184" t="n"/>
    </row>
    <row r="180">
      <c r="A180" s="188" t="inlineStr">
        <is>
          <t>W (kW)</t>
        </is>
      </c>
      <c r="B180" s="195">
        <f>$B$175/3600</f>
        <v>0.0</v>
      </c>
      <c r="C180" s="183" t="n"/>
      <c r="D180" s="183" t="n"/>
      <c r="E180" s="183" t="n"/>
      <c r="F180" s="183" t="n"/>
      <c r="G180" s="183" t="n"/>
      <c r="H180" s="183" t="n"/>
      <c r="I180" s="184" t="n"/>
    </row>
  </sheetData>
  <mergeCells count="170">
    <mergeCell ref="B146:E146"/>
    <mergeCell ref="J39:Q39"/>
    <mergeCell ref="B40:Q40"/>
    <mergeCell ref="J14:Q14"/>
    <mergeCell ref="B68:E68"/>
    <mergeCell ref="B141:C141"/>
    <mergeCell ref="C7:L7"/>
    <mergeCell ref="B115:C115"/>
    <mergeCell ref="B93:C93"/>
    <mergeCell ref="B155:C155"/>
    <mergeCell ref="D155:E155"/>
    <mergeCell ref="B102:C102"/>
    <mergeCell ref="D45:E45"/>
    <mergeCell ref="D158:E158"/>
    <mergeCell ref="F158:G158"/>
    <mergeCell ref="B77:C77"/>
    <mergeCell ref="D77:E77"/>
    <mergeCell ref="D108:E108"/>
    <mergeCell ref="B91:E91"/>
    <mergeCell ref="B61:C61"/>
    <mergeCell ref="D160:E160"/>
    <mergeCell ref="B101:C101"/>
    <mergeCell ref="D61:E61"/>
    <mergeCell ref="F160:G160"/>
    <mergeCell ref="D141:E141"/>
    <mergeCell ref="D48:E48"/>
    <mergeCell ref="A107:A109"/>
    <mergeCell ref="B175:I175"/>
    <mergeCell ref="F153:G153"/>
    <mergeCell ref="B78:C78"/>
    <mergeCell ref="D78:E78"/>
    <mergeCell ref="D134:E134"/>
    <mergeCell ref="F15:I15"/>
    <mergeCell ref="B127:C127"/>
    <mergeCell ref="D127:E127"/>
    <mergeCell ref="B49:C49"/>
    <mergeCell ref="B104:C104"/>
    <mergeCell ref="B51:C51"/>
    <mergeCell ref="D73:E73"/>
    <mergeCell ref="F159:I159"/>
    <mergeCell ref="D51:E51"/>
    <mergeCell ref="H154:I154"/>
    <mergeCell ref="C12:L12"/>
    <mergeCell ref="A133:A135"/>
    <mergeCell ref="B154:C154"/>
    <mergeCell ref="B106:C106"/>
    <mergeCell ref="B129:C129"/>
    <mergeCell ref="B173:I173"/>
    <mergeCell ref="D115:E115"/>
    <mergeCell ref="F171:G171"/>
    <mergeCell ref="H156:I156"/>
    <mergeCell ref="H171:I171"/>
    <mergeCell ref="F176:I176"/>
    <mergeCell ref="B156:C156"/>
    <mergeCell ref="B64:E64"/>
    <mergeCell ref="B131:C131"/>
    <mergeCell ref="D131:E131"/>
    <mergeCell ref="A14:A16"/>
    <mergeCell ref="A159:A161"/>
    <mergeCell ref="B63:E63"/>
    <mergeCell ref="D101:E101"/>
    <mergeCell ref="B130:C130"/>
    <mergeCell ref="H157:I157"/>
    <mergeCell ref="B39:I39"/>
    <mergeCell ref="D76:E76"/>
    <mergeCell ref="B14:I14"/>
    <mergeCell ref="B90:E90"/>
    <mergeCell ref="D132:E132"/>
    <mergeCell ref="B132:C132"/>
    <mergeCell ref="B157:C157"/>
    <mergeCell ref="D75:E75"/>
    <mergeCell ref="B66:E66"/>
    <mergeCell ref="B119:C119"/>
    <mergeCell ref="D47:E47"/>
    <mergeCell ref="A51:A53"/>
    <mergeCell ref="B103:C103"/>
    <mergeCell ref="B178:I178"/>
    <mergeCell ref="D103:E103"/>
    <mergeCell ref="B117:E117"/>
    <mergeCell ref="C10:L10"/>
    <mergeCell ref="B158:C158"/>
    <mergeCell ref="B67:E67"/>
    <mergeCell ref="B177:I177"/>
    <mergeCell ref="C9:L9"/>
    <mergeCell ref="B80:C80"/>
    <mergeCell ref="B89:C89"/>
    <mergeCell ref="B116:E116"/>
    <mergeCell ref="B160:C160"/>
    <mergeCell ref="D89:E89"/>
    <mergeCell ref="D129:E129"/>
    <mergeCell ref="B79:C79"/>
    <mergeCell ref="D79:E79"/>
    <mergeCell ref="B153:C153"/>
    <mergeCell ref="B118:E118"/>
    <mergeCell ref="D153:E153"/>
    <mergeCell ref="B134:C134"/>
    <mergeCell ref="D128:E128"/>
    <mergeCell ref="B15:E15"/>
    <mergeCell ref="B142:E142"/>
    <mergeCell ref="B95:E95"/>
    <mergeCell ref="N15:Q15"/>
    <mergeCell ref="D65:E65"/>
    <mergeCell ref="B105:C105"/>
    <mergeCell ref="B180:I180"/>
    <mergeCell ref="D105:E105"/>
    <mergeCell ref="B52:C52"/>
    <mergeCell ref="D52:E52"/>
    <mergeCell ref="B144:E144"/>
    <mergeCell ref="D49:E49"/>
    <mergeCell ref="B107:C107"/>
    <mergeCell ref="D107:E107"/>
    <mergeCell ref="A79:A81"/>
    <mergeCell ref="F154:G154"/>
    <mergeCell ref="C6:L6"/>
    <mergeCell ref="B121:E121"/>
    <mergeCell ref="B122:E122"/>
    <mergeCell ref="B171:C171"/>
    <mergeCell ref="D156:E156"/>
    <mergeCell ref="D171:E171"/>
    <mergeCell ref="F156:G156"/>
    <mergeCell ref="B176:E176"/>
    <mergeCell ref="D106:E106"/>
    <mergeCell ref="B174:I174"/>
    <mergeCell ref="D93:E93"/>
    <mergeCell ref="F155:G155"/>
    <mergeCell ref="B108:C108"/>
    <mergeCell ref="B120:E120"/>
    <mergeCell ref="D102:E102"/>
    <mergeCell ref="H155:I155"/>
    <mergeCell ref="H158:I158"/>
    <mergeCell ref="D157:E157"/>
    <mergeCell ref="B148:E148"/>
    <mergeCell ref="B133:C133"/>
    <mergeCell ref="B76:C76"/>
    <mergeCell ref="B45:C45"/>
    <mergeCell ref="B5:L5"/>
    <mergeCell ref="D133:E133"/>
    <mergeCell ref="H160:I160"/>
    <mergeCell ref="B75:C75"/>
    <mergeCell ref="B47:C47"/>
    <mergeCell ref="C8:L8"/>
    <mergeCell ref="B143:E143"/>
    <mergeCell ref="B92:E92"/>
    <mergeCell ref="D119:E119"/>
    <mergeCell ref="B46:C46"/>
    <mergeCell ref="D46:E46"/>
    <mergeCell ref="D80:E80"/>
    <mergeCell ref="B94:E94"/>
    <mergeCell ref="B48:C48"/>
    <mergeCell ref="D104:E104"/>
    <mergeCell ref="B62:E62"/>
    <mergeCell ref="B145:C145"/>
    <mergeCell ref="D145:E145"/>
    <mergeCell ref="D154:E154"/>
    <mergeCell ref="B159:E159"/>
    <mergeCell ref="B179:I179"/>
    <mergeCell ref="B73:C73"/>
    <mergeCell ref="H153:I153"/>
    <mergeCell ref="B96:E96"/>
    <mergeCell ref="B128:C128"/>
    <mergeCell ref="B172:I172"/>
    <mergeCell ref="J15:M15"/>
    <mergeCell ref="B65:C65"/>
    <mergeCell ref="B74:C74"/>
    <mergeCell ref="D74:E74"/>
    <mergeCell ref="D130:E130"/>
    <mergeCell ref="B147:E147"/>
    <mergeCell ref="B50:C50"/>
    <mergeCell ref="D50:E50"/>
    <mergeCell ref="F157:G15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M96"/>
  <sheetViews>
    <sheetView tabSelected="0" zoomScale="85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3">
      <c r="A3" s="172" t="inlineStr">
        <is>
          <t>Neraca Massa dan Energi</t>
        </is>
      </c>
    </row>
    <row r="4">
      <c r="A4" s="172" t="inlineStr">
        <is>
          <t>NM Blok 5: Pemisahan Fraksi Berat (Kolom Berat)</t>
        </is>
      </c>
    </row>
    <row r="5">
      <c r="A5" s="173" t="inlineStr">
        <is>
          <t>Tujuan:</t>
        </is>
      </c>
      <c r="B5" s="174" t="inlineStr">
        <is>
          <t>Memisahkan EDC murni (distilat) dari TCE, fraksi berat, dan FeCl₃ (produk bawah)</t>
        </is>
      </c>
    </row>
    <row r="6">
      <c r="A6" s="173" t="inlineStr">
        <is>
          <t>Unjuk Kerja</t>
        </is>
      </c>
      <c r="B6" s="202">
        <f>1/1000</f>
        <v>0.001</v>
      </c>
      <c r="C6" s="174" t="inlineStr">
        <is>
          <t>EDC ke produk bawah (mol per mol VCM produk)</t>
        </is>
      </c>
    </row>
    <row r="7">
      <c r="B7" s="202">
        <f>73*298/(74.5*3100)</f>
        <v>0.09419354838709677</v>
      </c>
      <c r="C7" s="174" t="inlineStr">
        <is>
          <t>Fraksi 1,1,2-trikloroetana umpan yang ikut distilat</t>
        </is>
      </c>
    </row>
    <row r="8">
      <c r="B8" s="203" t="inlineStr">
        <is>
          <t>Berat</t>
        </is>
      </c>
      <c r="C8" s="174" t="inlineStr">
        <is>
          <t>Fraksi berat (C₄H₈Cl₂) dan FeCl₃ ke produk bawah</t>
        </is>
      </c>
    </row>
    <row r="9">
      <c r="B9" s="199" t="n">
        <v>1</v>
      </c>
      <c r="C9" s="174" t="inlineStr">
        <is>
          <t>Rasio refluks L/D kolom berat KD-102</t>
        </is>
      </c>
    </row>
    <row r="10">
      <c r="B10" s="201" t="n">
        <v>0.75</v>
      </c>
      <c r="C10" s="174" t="inlineStr">
        <is>
          <t>Efisiensi pompa P-103</t>
        </is>
      </c>
    </row>
    <row r="12">
      <c r="A12" s="173" t="inlineStr">
        <is>
          <t>Basis Perhitungan</t>
        </is>
      </c>
      <c r="B12" s="181">
        <f>'NME-1 Klorinasi Langsung'!$B$16</f>
        <v>6100.572183061604</v>
      </c>
      <c r="C12" s="174" t="inlineStr">
        <is>
          <t>kg/h aliran etilena ke R-01 (NME-1)</t>
        </is>
      </c>
    </row>
    <row r="14">
      <c r="A14" s="182" t="inlineStr">
        <is>
          <t>Substance</t>
        </is>
      </c>
      <c r="B14" s="182" t="inlineStr">
        <is>
          <t>Inlet</t>
        </is>
      </c>
      <c r="C14" s="183" t="n"/>
      <c r="D14" s="183" t="n"/>
      <c r="E14" s="184" t="n"/>
      <c r="F14" s="182" t="inlineStr">
        <is>
          <t>Outlet</t>
        </is>
      </c>
      <c r="G14" s="183" t="n"/>
      <c r="H14" s="183" t="n"/>
      <c r="I14" s="183" t="n"/>
      <c r="J14" s="183" t="n"/>
      <c r="K14" s="183" t="n"/>
      <c r="L14" s="183" t="n"/>
      <c r="M14" s="184" t="n"/>
    </row>
    <row r="15">
      <c r="A15" s="185" t="n"/>
      <c r="B15" s="182" t="inlineStr">
        <is>
          <t>Aliran 34</t>
        </is>
      </c>
      <c r="C15" s="183" t="n"/>
      <c r="D15" s="183" t="n"/>
      <c r="E15" s="184" t="n"/>
      <c r="F15" s="182" t="inlineStr">
        <is>
          <t>Aliran 36</t>
        </is>
      </c>
      <c r="G15" s="183" t="n"/>
      <c r="H15" s="183" t="n"/>
      <c r="I15" s="184" t="n"/>
      <c r="J15" s="182" t="inlineStr">
        <is>
          <t>Aliran 35</t>
        </is>
      </c>
      <c r="K15" s="183" t="n"/>
      <c r="L15" s="183" t="n"/>
      <c r="M15" s="184" t="n"/>
    </row>
    <row r="16">
      <c r="A16" s="186" t="n"/>
      <c r="B16" s="187" t="inlineStr">
        <is>
          <t>ẋᵢ</t>
        </is>
      </c>
      <c r="C16" s="187" t="inlineStr">
        <is>
          <t>ṁᵢ (kg/h)</t>
        </is>
      </c>
      <c r="D16" s="187" t="inlineStr">
        <is>
          <t>ẏᵢ</t>
        </is>
      </c>
      <c r="E16" s="187" t="inlineStr">
        <is>
          <t>ṅᵢ (kmol/h)</t>
        </is>
      </c>
      <c r="F16" s="187" t="inlineStr">
        <is>
          <t>ẋᵢ</t>
        </is>
      </c>
      <c r="G16" s="187" t="inlineStr">
        <is>
          <t>ṁᵢ (kg/h)</t>
        </is>
      </c>
      <c r="H16" s="187" t="inlineStr">
        <is>
          <t>ẏᵢ</t>
        </is>
      </c>
      <c r="I16" s="187" t="inlineStr">
        <is>
          <t>ṅᵢ (kmol/h)</t>
        </is>
      </c>
      <c r="J16" s="187" t="inlineStr">
        <is>
          <t>ẋᵢ</t>
        </is>
      </c>
      <c r="K16" s="187" t="inlineStr">
        <is>
          <t>ṁᵢ (kg/h)</t>
        </is>
      </c>
      <c r="L16" s="187" t="inlineStr">
        <is>
          <t>ẏᵢ</t>
        </is>
      </c>
      <c r="M16" s="187" t="inlineStr">
        <is>
          <t>ṅᵢ (kmol/h)</t>
        </is>
      </c>
    </row>
    <row r="17">
      <c r="A17" s="188" t="inlineStr">
        <is>
          <t>C₂H₄</t>
        </is>
      </c>
      <c r="B17" s="189">
        <f>C17/C$38</f>
        <v>0.0</v>
      </c>
      <c r="C17" s="190">
        <f>E17*'Data Komponen'!$D$3</f>
        <v>0.0</v>
      </c>
      <c r="D17" s="189">
        <f>E17/E$38</f>
        <v>0.0</v>
      </c>
      <c r="E17" s="191">
        <f>'NME-4 Kolom Ringan'!Q17</f>
        <v>0.0</v>
      </c>
      <c r="F17" s="189">
        <f>G17/G$38</f>
        <v>0.0</v>
      </c>
      <c r="G17" s="190">
        <f>I17*'Data Komponen'!$D$3</f>
        <v>0.0</v>
      </c>
      <c r="H17" s="189">
        <f>I17/I$38</f>
        <v>0.0</v>
      </c>
      <c r="I17" s="191">
        <f>E17</f>
        <v>0.0</v>
      </c>
      <c r="J17" s="189">
        <f>K17/K$38</f>
        <v>0.0</v>
      </c>
      <c r="K17" s="190">
        <f>M17*'Data Komponen'!$D$3</f>
        <v>0.0</v>
      </c>
      <c r="L17" s="189">
        <f>M17/M$38</f>
        <v>0.0</v>
      </c>
      <c r="M17" s="191">
        <f>0</f>
        <v>0.0</v>
      </c>
    </row>
    <row r="18">
      <c r="A18" s="188" t="inlineStr">
        <is>
          <t>CH₄</t>
        </is>
      </c>
      <c r="B18" s="189">
        <f>C18/C$38</f>
        <v>0.0</v>
      </c>
      <c r="C18" s="190">
        <f>E18*'Data Komponen'!$D$4</f>
        <v>0.0</v>
      </c>
      <c r="D18" s="189">
        <f>E18/E$38</f>
        <v>0.0</v>
      </c>
      <c r="E18" s="191">
        <f>'NME-4 Kolom Ringan'!Q18</f>
        <v>0.0</v>
      </c>
      <c r="F18" s="189">
        <f>G18/G$38</f>
        <v>0.0</v>
      </c>
      <c r="G18" s="190">
        <f>I18*'Data Komponen'!$D$4</f>
        <v>0.0</v>
      </c>
      <c r="H18" s="189">
        <f>I18/I$38</f>
        <v>0.0</v>
      </c>
      <c r="I18" s="191">
        <f>E18</f>
        <v>0.0</v>
      </c>
      <c r="J18" s="189">
        <f>K18/K$38</f>
        <v>0.0</v>
      </c>
      <c r="K18" s="190">
        <f>M18*'Data Komponen'!$D$4</f>
        <v>0.0</v>
      </c>
      <c r="L18" s="189">
        <f>M18/M$38</f>
        <v>0.0</v>
      </c>
      <c r="M18" s="191">
        <f>0</f>
        <v>0.0</v>
      </c>
    </row>
    <row r="19">
      <c r="A19" s="188" t="inlineStr">
        <is>
          <t>C₂H₆</t>
        </is>
      </c>
      <c r="B19" s="189">
        <f>C19/C$38</f>
        <v>0.0</v>
      </c>
      <c r="C19" s="190">
        <f>E19*'Data Komponen'!$D$5</f>
        <v>0.0</v>
      </c>
      <c r="D19" s="189">
        <f>E19/E$38</f>
        <v>0.0</v>
      </c>
      <c r="E19" s="191">
        <f>'NME-4 Kolom Ringan'!Q19</f>
        <v>0.0</v>
      </c>
      <c r="F19" s="189">
        <f>G19/G$38</f>
        <v>0.0</v>
      </c>
      <c r="G19" s="190">
        <f>I19*'Data Komponen'!$D$5</f>
        <v>0.0</v>
      </c>
      <c r="H19" s="189">
        <f>I19/I$38</f>
        <v>0.0</v>
      </c>
      <c r="I19" s="191">
        <f>E19</f>
        <v>0.0</v>
      </c>
      <c r="J19" s="189">
        <f>K19/K$38</f>
        <v>0.0</v>
      </c>
      <c r="K19" s="190">
        <f>M19*'Data Komponen'!$D$5</f>
        <v>0.0</v>
      </c>
      <c r="L19" s="189">
        <f>M19/M$38</f>
        <v>0.0</v>
      </c>
      <c r="M19" s="191">
        <f>0</f>
        <v>0.0</v>
      </c>
    </row>
    <row r="20">
      <c r="A20" s="188" t="inlineStr">
        <is>
          <t>C₂H₂</t>
        </is>
      </c>
      <c r="B20" s="189">
        <f>C20/C$38</f>
        <v>0.0</v>
      </c>
      <c r="C20" s="190">
        <f>E20*'Data Komponen'!$D$6</f>
        <v>0.0</v>
      </c>
      <c r="D20" s="189">
        <f>E20/E$38</f>
        <v>0.0</v>
      </c>
      <c r="E20" s="191">
        <f>'NME-4 Kolom Ringan'!Q20</f>
        <v>0.0</v>
      </c>
      <c r="F20" s="189">
        <f>G20/G$38</f>
        <v>0.0</v>
      </c>
      <c r="G20" s="190">
        <f>I20*'Data Komponen'!$D$6</f>
        <v>0.0</v>
      </c>
      <c r="H20" s="189">
        <f>I20/I$38</f>
        <v>0.0</v>
      </c>
      <c r="I20" s="191">
        <f>E20</f>
        <v>0.0</v>
      </c>
      <c r="J20" s="189">
        <f>K20/K$38</f>
        <v>0.0</v>
      </c>
      <c r="K20" s="190">
        <f>M20*'Data Komponen'!$D$6</f>
        <v>0.0</v>
      </c>
      <c r="L20" s="189">
        <f>M20/M$38</f>
        <v>0.0</v>
      </c>
      <c r="M20" s="191">
        <f>0</f>
        <v>0.0</v>
      </c>
    </row>
    <row r="21">
      <c r="A21" s="188" t="inlineStr">
        <is>
          <t>Cl₂</t>
        </is>
      </c>
      <c r="B21" s="189">
        <f>C21/C$38</f>
        <v>0.0</v>
      </c>
      <c r="C21" s="190">
        <f>E21*'Data Komponen'!$D$7</f>
        <v>0.0</v>
      </c>
      <c r="D21" s="189">
        <f>E21/E$38</f>
        <v>0.0</v>
      </c>
      <c r="E21" s="191">
        <f>'NME-4 Kolom Ringan'!Q21</f>
        <v>0.0</v>
      </c>
      <c r="F21" s="189">
        <f>G21/G$38</f>
        <v>0.0</v>
      </c>
      <c r="G21" s="190">
        <f>I21*'Data Komponen'!$D$7</f>
        <v>0.0</v>
      </c>
      <c r="H21" s="189">
        <f>I21/I$38</f>
        <v>0.0</v>
      </c>
      <c r="I21" s="191">
        <f>E21</f>
        <v>0.0</v>
      </c>
      <c r="J21" s="189">
        <f>K21/K$38</f>
        <v>0.0</v>
      </c>
      <c r="K21" s="190">
        <f>M21*'Data Komponen'!$D$7</f>
        <v>0.0</v>
      </c>
      <c r="L21" s="189">
        <f>M21/M$38</f>
        <v>0.0</v>
      </c>
      <c r="M21" s="191">
        <f>0</f>
        <v>0.0</v>
      </c>
    </row>
    <row r="22">
      <c r="A22" s="188" t="inlineStr">
        <is>
          <t>CₙHₘ</t>
        </is>
      </c>
      <c r="B22" s="189">
        <f>C22/C$38</f>
        <v>0.0</v>
      </c>
      <c r="C22" s="190">
        <f>E22*'Data Komponen'!$D$8</f>
        <v>0.0</v>
      </c>
      <c r="D22" s="189">
        <f>E22/E$38</f>
        <v>0.0</v>
      </c>
      <c r="E22" s="191">
        <f>'NME-4 Kolom Ringan'!Q22</f>
        <v>0.0</v>
      </c>
      <c r="F22" s="189">
        <f>G22/G$38</f>
        <v>0.0</v>
      </c>
      <c r="G22" s="190">
        <f>I22*'Data Komponen'!$D$8</f>
        <v>0.0</v>
      </c>
      <c r="H22" s="189">
        <f>I22/I$38</f>
        <v>0.0</v>
      </c>
      <c r="I22" s="191">
        <f>E22</f>
        <v>0.0</v>
      </c>
      <c r="J22" s="189">
        <f>K22/K$38</f>
        <v>0.0</v>
      </c>
      <c r="K22" s="190">
        <f>M22*'Data Komponen'!$D$8</f>
        <v>0.0</v>
      </c>
      <c r="L22" s="189">
        <f>M22/M$38</f>
        <v>0.0</v>
      </c>
      <c r="M22" s="191">
        <f>0</f>
        <v>0.0</v>
      </c>
    </row>
    <row r="23">
      <c r="A23" s="188" t="inlineStr">
        <is>
          <t>H₂O</t>
        </is>
      </c>
      <c r="B23" s="189">
        <f>C23/C$38</f>
        <v>3.500000000000117e-05</v>
      </c>
      <c r="C23" s="190">
        <f>E23*'Data Komponen'!$D$9</f>
        <v>2.614266409950987</v>
      </c>
      <c r="D23" s="189">
        <f>E23/E$38</f>
        <v>0.00019245723964859897</v>
      </c>
      <c r="E23" s="191">
        <f>'NME-4 Kolom Ringan'!Q23</f>
        <v>0.14511609269780668</v>
      </c>
      <c r="F23" s="189">
        <f>G23/G$38</f>
        <v>3.520721366887499e-05</v>
      </c>
      <c r="G23" s="190">
        <f>I23*'Data Komponen'!$D$9</f>
        <v>2.614266409950987</v>
      </c>
      <c r="H23" s="189">
        <f>I23/I$38</f>
        <v>0.00019336704135758156</v>
      </c>
      <c r="I23" s="191">
        <f>E23</f>
        <v>0.14511609269780668</v>
      </c>
      <c r="J23" s="189">
        <f>K23/K$38</f>
        <v>0.0</v>
      </c>
      <c r="K23" s="190">
        <f>M23*'Data Komponen'!$D$9</f>
        <v>0.0</v>
      </c>
      <c r="L23" s="189">
        <f>M23/M$38</f>
        <v>0.0</v>
      </c>
      <c r="M23" s="191">
        <f>0</f>
        <v>0.0</v>
      </c>
    </row>
    <row r="24">
      <c r="A24" s="188" t="inlineStr">
        <is>
          <t>CₓHᵧCl</t>
        </is>
      </c>
      <c r="B24" s="189">
        <f>C24/C$38</f>
        <v>0.0</v>
      </c>
      <c r="C24" s="190">
        <f>E24*'Data Komponen'!$D$10</f>
        <v>0.0</v>
      </c>
      <c r="D24" s="189">
        <f>E24/E$38</f>
        <v>0.0</v>
      </c>
      <c r="E24" s="191">
        <f>'NME-4 Kolom Ringan'!Q24</f>
        <v>0.0</v>
      </c>
      <c r="F24" s="189">
        <f>G24/G$38</f>
        <v>0.0</v>
      </c>
      <c r="G24" s="190">
        <f>I24*'Data Komponen'!$D$10</f>
        <v>0.0</v>
      </c>
      <c r="H24" s="189">
        <f>I24/I$38</f>
        <v>0.0</v>
      </c>
      <c r="I24" s="191">
        <f>E24</f>
        <v>0.0</v>
      </c>
      <c r="J24" s="189">
        <f>K24/K$38</f>
        <v>0.0</v>
      </c>
      <c r="K24" s="190">
        <f>M24*'Data Komponen'!$D$10</f>
        <v>0.0</v>
      </c>
      <c r="L24" s="189">
        <f>M24/M$38</f>
        <v>0.0</v>
      </c>
      <c r="M24" s="191">
        <f>0</f>
        <v>0.0</v>
      </c>
    </row>
    <row r="25">
      <c r="A25" s="188" t="inlineStr">
        <is>
          <t>Br₂</t>
        </is>
      </c>
      <c r="B25" s="189">
        <f>C25/C$38</f>
        <v>0.0</v>
      </c>
      <c r="C25" s="190">
        <f>E25*'Data Komponen'!$D$11</f>
        <v>0.0</v>
      </c>
      <c r="D25" s="189">
        <f>E25/E$38</f>
        <v>0.0</v>
      </c>
      <c r="E25" s="191">
        <f>'NME-4 Kolom Ringan'!Q25</f>
        <v>0.0</v>
      </c>
      <c r="F25" s="189">
        <f>G25/G$38</f>
        <v>0.0</v>
      </c>
      <c r="G25" s="190">
        <f>I25*'Data Komponen'!$D$11</f>
        <v>0.0</v>
      </c>
      <c r="H25" s="189">
        <f>I25/I$38</f>
        <v>0.0</v>
      </c>
      <c r="I25" s="191">
        <f>E25</f>
        <v>0.0</v>
      </c>
      <c r="J25" s="189">
        <f>K25/K$38</f>
        <v>0.0</v>
      </c>
      <c r="K25" s="190">
        <f>M25*'Data Komponen'!$D$11</f>
        <v>0.0</v>
      </c>
      <c r="L25" s="189">
        <f>M25/M$38</f>
        <v>0.0</v>
      </c>
      <c r="M25" s="191">
        <f>0</f>
        <v>0.0</v>
      </c>
    </row>
    <row r="26">
      <c r="A26" s="188" t="inlineStr">
        <is>
          <t>NCl₃</t>
        </is>
      </c>
      <c r="B26" s="189">
        <f>C26/C$38</f>
        <v>0.0</v>
      </c>
      <c r="C26" s="190">
        <f>E26*'Data Komponen'!$D$12</f>
        <v>0.0</v>
      </c>
      <c r="D26" s="189">
        <f>E26/E$38</f>
        <v>0.0</v>
      </c>
      <c r="E26" s="191">
        <f>'NME-4 Kolom Ringan'!Q26</f>
        <v>0.0</v>
      </c>
      <c r="F26" s="189">
        <f>G26/G$38</f>
        <v>0.0</v>
      </c>
      <c r="G26" s="190">
        <f>I26*'Data Komponen'!$D$12</f>
        <v>0.0</v>
      </c>
      <c r="H26" s="189">
        <f>I26/I$38</f>
        <v>0.0</v>
      </c>
      <c r="I26" s="191">
        <f>E26</f>
        <v>0.0</v>
      </c>
      <c r="J26" s="189">
        <f>K26/K$38</f>
        <v>0.0</v>
      </c>
      <c r="K26" s="190">
        <f>M26*'Data Komponen'!$D$12</f>
        <v>0.0</v>
      </c>
      <c r="L26" s="189">
        <f>M26/M$38</f>
        <v>0.0</v>
      </c>
      <c r="M26" s="191">
        <f>0</f>
        <v>0.0</v>
      </c>
    </row>
    <row r="27">
      <c r="A27" s="188" t="inlineStr">
        <is>
          <t>H₂</t>
        </is>
      </c>
      <c r="B27" s="189">
        <f>C27/C$38</f>
        <v>0.0</v>
      </c>
      <c r="C27" s="190">
        <f>E27*'Data Komponen'!$D$13</f>
        <v>0.0</v>
      </c>
      <c r="D27" s="189">
        <f>E27/E$38</f>
        <v>0.0</v>
      </c>
      <c r="E27" s="191">
        <f>'NME-4 Kolom Ringan'!Q27</f>
        <v>0.0</v>
      </c>
      <c r="F27" s="189">
        <f>G27/G$38</f>
        <v>0.0</v>
      </c>
      <c r="G27" s="190">
        <f>I27*'Data Komponen'!$D$13</f>
        <v>0.0</v>
      </c>
      <c r="H27" s="189">
        <f>I27/I$38</f>
        <v>0.0</v>
      </c>
      <c r="I27" s="191">
        <f>E27</f>
        <v>0.0</v>
      </c>
      <c r="J27" s="189">
        <f>K27/K$38</f>
        <v>0.0</v>
      </c>
      <c r="K27" s="190">
        <f>M27*'Data Komponen'!$D$13</f>
        <v>0.0</v>
      </c>
      <c r="L27" s="189">
        <f>M27/M$38</f>
        <v>0.0</v>
      </c>
      <c r="M27" s="191">
        <f>0</f>
        <v>0.0</v>
      </c>
    </row>
    <row r="28">
      <c r="A28" s="188" t="inlineStr">
        <is>
          <t>O₂</t>
        </is>
      </c>
      <c r="B28" s="189">
        <f>C28/C$38</f>
        <v>0.0</v>
      </c>
      <c r="C28" s="190">
        <f>E28*'Data Komponen'!$D$14</f>
        <v>0.0</v>
      </c>
      <c r="D28" s="189">
        <f>E28/E$38</f>
        <v>0.0</v>
      </c>
      <c r="E28" s="191">
        <f>'NME-4 Kolom Ringan'!Q28</f>
        <v>0.0</v>
      </c>
      <c r="F28" s="189">
        <f>G28/G$38</f>
        <v>0.0</v>
      </c>
      <c r="G28" s="190">
        <f>I28*'Data Komponen'!$D$14</f>
        <v>0.0</v>
      </c>
      <c r="H28" s="189">
        <f>I28/I$38</f>
        <v>0.0</v>
      </c>
      <c r="I28" s="191">
        <f>E28</f>
        <v>0.0</v>
      </c>
      <c r="J28" s="189">
        <f>K28/K$38</f>
        <v>0.0</v>
      </c>
      <c r="K28" s="190">
        <f>M28*'Data Komponen'!$D$14</f>
        <v>0.0</v>
      </c>
      <c r="L28" s="189">
        <f>M28/M$38</f>
        <v>0.0</v>
      </c>
      <c r="M28" s="191">
        <f>0</f>
        <v>0.0</v>
      </c>
    </row>
    <row r="29">
      <c r="A29" s="188" t="inlineStr">
        <is>
          <t>N₂</t>
        </is>
      </c>
      <c r="B29" s="189">
        <f>C29/C$38</f>
        <v>0.0</v>
      </c>
      <c r="C29" s="190">
        <f>E29*'Data Komponen'!$D$15</f>
        <v>0.0</v>
      </c>
      <c r="D29" s="189">
        <f>E29/E$38</f>
        <v>0.0</v>
      </c>
      <c r="E29" s="191">
        <f>'NME-4 Kolom Ringan'!Q29</f>
        <v>0.0</v>
      </c>
      <c r="F29" s="189">
        <f>G29/G$38</f>
        <v>0.0</v>
      </c>
      <c r="G29" s="190">
        <f>I29*'Data Komponen'!$D$15</f>
        <v>0.0</v>
      </c>
      <c r="H29" s="189">
        <f>I29/I$38</f>
        <v>0.0</v>
      </c>
      <c r="I29" s="191">
        <f>E29</f>
        <v>0.0</v>
      </c>
      <c r="J29" s="189">
        <f>K29/K$38</f>
        <v>0.0</v>
      </c>
      <c r="K29" s="190">
        <f>M29*'Data Komponen'!$D$15</f>
        <v>0.0</v>
      </c>
      <c r="L29" s="189">
        <f>M29/M$38</f>
        <v>0.0</v>
      </c>
      <c r="M29" s="191">
        <f>0</f>
        <v>0.0</v>
      </c>
    </row>
    <row r="30">
      <c r="A30" s="188" t="inlineStr">
        <is>
          <t>CO₂</t>
        </is>
      </c>
      <c r="B30" s="189">
        <f>C30/C$38</f>
        <v>0.0</v>
      </c>
      <c r="C30" s="190">
        <f>E30*'Data Komponen'!$D$16</f>
        <v>0.0</v>
      </c>
      <c r="D30" s="189">
        <f>E30/E$38</f>
        <v>0.0</v>
      </c>
      <c r="E30" s="191">
        <f>'NME-4 Kolom Ringan'!Q30</f>
        <v>0.0</v>
      </c>
      <c r="F30" s="189">
        <f>G30/G$38</f>
        <v>0.0</v>
      </c>
      <c r="G30" s="190">
        <f>I30*'Data Komponen'!$D$16</f>
        <v>0.0</v>
      </c>
      <c r="H30" s="189">
        <f>I30/I$38</f>
        <v>0.0</v>
      </c>
      <c r="I30" s="191">
        <f>E30</f>
        <v>0.0</v>
      </c>
      <c r="J30" s="189">
        <f>K30/K$38</f>
        <v>0.0</v>
      </c>
      <c r="K30" s="190">
        <f>M30*'Data Komponen'!$D$16</f>
        <v>0.0</v>
      </c>
      <c r="L30" s="189">
        <f>M30/M$38</f>
        <v>0.0</v>
      </c>
      <c r="M30" s="191">
        <f>0</f>
        <v>0.0</v>
      </c>
    </row>
    <row r="31">
      <c r="A31" s="188" t="inlineStr">
        <is>
          <t>EDC</t>
        </is>
      </c>
      <c r="B31" s="189">
        <f>C31/C$38</f>
        <v>0.9945954010347826</v>
      </c>
      <c r="C31" s="190">
        <f>E31*'Data Komponen'!$D$17</f>
        <v>74289.63852619648</v>
      </c>
      <c r="D31" s="189">
        <f>E31/E$38</f>
        <v>0.9956154408500664</v>
      </c>
      <c r="E31" s="191">
        <f>'NME-4 Kolom Ringan'!Q31</f>
        <v>750.7112897886648</v>
      </c>
      <c r="F31" s="189">
        <f>G31/G$38</f>
        <v>0.9999457329793193</v>
      </c>
      <c r="G31" s="190">
        <f>I31*'Data Komponen'!$D$17</f>
        <v>74249.68547887889</v>
      </c>
      <c r="H31" s="189">
        <f>I31/I$38</f>
        <v>0.9997840322326019</v>
      </c>
      <c r="I31" s="191">
        <f>E31-M31</f>
        <v>750.3075564514485</v>
      </c>
      <c r="J31" s="189">
        <f>K31/K$38</f>
        <v>0.09088273055057226</v>
      </c>
      <c r="K31" s="190">
        <f>M31*'Data Komponen'!$D$17</f>
        <v>39.95304731758825</v>
      </c>
      <c r="L31" s="189">
        <f>M31/M$38</f>
        <v>0.11380176344677695</v>
      </c>
      <c r="M31" s="191">
        <f>$B$6*'NME-8 Kolom VCM'!I35</f>
        <v>0.4037333372163042</v>
      </c>
    </row>
    <row r="32">
      <c r="A32" s="188" t="inlineStr">
        <is>
          <t>TCE</t>
        </is>
      </c>
      <c r="B32" s="189">
        <f>C32/C$38</f>
        <v>9.499195855612433e-05</v>
      </c>
      <c r="C32" s="190">
        <f>E32*'Data Komponen'!$D$18</f>
        <v>7.095265327677823</v>
      </c>
      <c r="D32" s="189">
        <f>E32/E$38</f>
        <v>7.053776917362992e-05</v>
      </c>
      <c r="E32" s="191">
        <f>'NME-4 Kolom Ringan'!Q32</f>
        <v>0.05318669990688233</v>
      </c>
      <c r="F32" s="189">
        <f>G32/G$38</f>
        <v>9.000603106538252e-06</v>
      </c>
      <c r="G32" s="190">
        <f>I32*'Data Komponen'!$D$18</f>
        <v>0.6683282179619111</v>
      </c>
      <c r="H32" s="189">
        <f>I32/I$38</f>
        <v>6.67561186521414e-06</v>
      </c>
      <c r="I32" s="191">
        <f>$B$7*E32</f>
        <v>0.005009843991228917</v>
      </c>
      <c r="J32" s="189">
        <f>K32/K$38</f>
        <v>0.01461960057676631</v>
      </c>
      <c r="K32" s="190">
        <f>M32*'Data Komponen'!$D$18</f>
        <v>6.426937109715912</v>
      </c>
      <c r="L32" s="189">
        <f>M32/M$38</f>
        <v>0.013579783126963533</v>
      </c>
      <c r="M32" s="191">
        <f>E32-I32</f>
        <v>0.04817685591565341</v>
      </c>
    </row>
    <row r="33">
      <c r="A33" s="188" t="inlineStr">
        <is>
          <t>HCl</t>
        </is>
      </c>
      <c r="B33" s="189">
        <f>C33/C$38</f>
        <v>0.0</v>
      </c>
      <c r="C33" s="190">
        <f>E33*'Data Komponen'!$D$19</f>
        <v>0.0</v>
      </c>
      <c r="D33" s="189">
        <f>E33/E$38</f>
        <v>0.0</v>
      </c>
      <c r="E33" s="191">
        <f>'NME-4 Kolom Ringan'!Q33</f>
        <v>0.0</v>
      </c>
      <c r="F33" s="189">
        <f>G33/G$38</f>
        <v>0.0</v>
      </c>
      <c r="G33" s="190">
        <f>I33*'Data Komponen'!$D$19</f>
        <v>0.0</v>
      </c>
      <c r="H33" s="189">
        <f>I33/I$38</f>
        <v>0.0</v>
      </c>
      <c r="I33" s="191">
        <f>E33</f>
        <v>0.0</v>
      </c>
      <c r="J33" s="189">
        <f>K33/K$38</f>
        <v>0.0</v>
      </c>
      <c r="K33" s="190">
        <f>M33*'Data Komponen'!$D$19</f>
        <v>0.0</v>
      </c>
      <c r="L33" s="189">
        <f>M33/M$38</f>
        <v>0.0</v>
      </c>
      <c r="M33" s="191">
        <f>0</f>
        <v>0.0</v>
      </c>
    </row>
    <row r="34">
      <c r="A34" s="188" t="inlineStr">
        <is>
          <t>FeCl₃</t>
        </is>
      </c>
      <c r="B34" s="189">
        <f>C34/C$38</f>
        <v>1.6521024158632032e-06</v>
      </c>
      <c r="C34" s="190">
        <f>E34*'Data Komponen'!$D$20</f>
        <v>0.12340102433114014</v>
      </c>
      <c r="D34" s="189">
        <f>E34/E$38</f>
        <v>1.0089644885253956e-06</v>
      </c>
      <c r="E34" s="191">
        <f>'NME-4 Kolom Ringan'!Q34</f>
        <v>0.0007607767029859938</v>
      </c>
      <c r="F34" s="189">
        <f>G34/G$38</f>
        <v>0.0</v>
      </c>
      <c r="G34" s="190">
        <f>I34*'Data Komponen'!$D$20</f>
        <v>0.0</v>
      </c>
      <c r="H34" s="189">
        <f>I34/I$38</f>
        <v>0.0</v>
      </c>
      <c r="I34" s="191">
        <f>0</f>
        <v>0.0</v>
      </c>
      <c r="J34" s="189">
        <f>K34/K$38</f>
        <v>0.00028070504747242423</v>
      </c>
      <c r="K34" s="190">
        <f>M34*'Data Komponen'!$D$20</f>
        <v>0.12340102433114014</v>
      </c>
      <c r="L34" s="189">
        <f>M34/M$38</f>
        <v>0.00021444285722346988</v>
      </c>
      <c r="M34" s="191">
        <f>E34</f>
        <v>0.0007607767029859938</v>
      </c>
    </row>
    <row r="35">
      <c r="A35" s="188" t="inlineStr">
        <is>
          <t>C₂H₅Cl</t>
        </is>
      </c>
      <c r="B35" s="189">
        <f>C35/C$38</f>
        <v>0.0</v>
      </c>
      <c r="C35" s="190">
        <f>E35*'Data Komponen'!$D$21</f>
        <v>0.0</v>
      </c>
      <c r="D35" s="189">
        <f>E35/E$38</f>
        <v>0.0</v>
      </c>
      <c r="E35" s="191">
        <f>'NME-4 Kolom Ringan'!Q35</f>
        <v>0.0</v>
      </c>
      <c r="F35" s="189">
        <f>G35/G$38</f>
        <v>0.0</v>
      </c>
      <c r="G35" s="190">
        <f>I35*'Data Komponen'!$D$21</f>
        <v>0.0</v>
      </c>
      <c r="H35" s="189">
        <f>I35/I$38</f>
        <v>0.0</v>
      </c>
      <c r="I35" s="191">
        <f>E35</f>
        <v>0.0</v>
      </c>
      <c r="J35" s="189">
        <f>K35/K$38</f>
        <v>0.0</v>
      </c>
      <c r="K35" s="190">
        <f>M35*'Data Komponen'!$D$21</f>
        <v>0.0</v>
      </c>
      <c r="L35" s="189">
        <f>M35/M$38</f>
        <v>0.0</v>
      </c>
      <c r="M35" s="191">
        <f>0</f>
        <v>0.0</v>
      </c>
    </row>
    <row r="36">
      <c r="A36" s="188" t="inlineStr">
        <is>
          <t>VCM</t>
        </is>
      </c>
      <c r="B36" s="189">
        <f>C36/C$38</f>
        <v>1.000000000000013e-05</v>
      </c>
      <c r="C36" s="190">
        <f>E36*'Data Komponen'!$D$22</f>
        <v>0.746933259985981</v>
      </c>
      <c r="D36" s="189">
        <f>E36/E$38</f>
        <v>1.58501857077458e-05</v>
      </c>
      <c r="E36" s="191">
        <f>'NME-4 Kolom Ringan'!Q36</f>
        <v>0.011951314601842957</v>
      </c>
      <c r="F36" s="189">
        <f>G36/G$38</f>
        <v>1.0059203905392647e-05</v>
      </c>
      <c r="G36" s="190">
        <f>I36*'Data Komponen'!$D$22</f>
        <v>0.746933259985981</v>
      </c>
      <c r="H36" s="189">
        <f>I36/I$38</f>
        <v>1.592511417534166e-05</v>
      </c>
      <c r="I36" s="191">
        <f>E36</f>
        <v>0.011951314601842957</v>
      </c>
      <c r="J36" s="189">
        <f>K36/K$38</f>
        <v>0.0</v>
      </c>
      <c r="K36" s="190">
        <f>M36*'Data Komponen'!$D$22</f>
        <v>0.0</v>
      </c>
      <c r="L36" s="189">
        <f>M36/M$38</f>
        <v>0.0</v>
      </c>
      <c r="M36" s="191">
        <f>0</f>
        <v>0.0</v>
      </c>
    </row>
    <row r="37">
      <c r="A37" s="188" t="inlineStr">
        <is>
          <t>C₄H₈Cl₂ (berat)</t>
        </is>
      </c>
      <c r="B37" s="189">
        <f>C37/C$38</f>
        <v>0.005262954904245472</v>
      </c>
      <c r="C37" s="190">
        <f>E37*'Data Komponen'!$D$23</f>
        <v>393.10760637872266</v>
      </c>
      <c r="D37" s="189">
        <f>E37/E$38</f>
        <v>0.004104704990915194</v>
      </c>
      <c r="E37" s="191">
        <f>'NME-4 Kolom Ringan'!Q37</f>
        <v>3.095018670362267</v>
      </c>
      <c r="F37" s="189">
        <f>G37/G$38</f>
        <v>0.0</v>
      </c>
      <c r="G37" s="190">
        <f>I37*'Data Komponen'!$D$23</f>
        <v>0.0</v>
      </c>
      <c r="H37" s="189">
        <f>I37/I$38</f>
        <v>0.0</v>
      </c>
      <c r="I37" s="191">
        <f>0</f>
        <v>0.0</v>
      </c>
      <c r="J37" s="189">
        <f>K37/K$38</f>
        <v>0.894216963825189</v>
      </c>
      <c r="K37" s="190">
        <f>M37*'Data Komponen'!$D$23</f>
        <v>393.10760637872266</v>
      </c>
      <c r="L37" s="189">
        <f>M37/M$38</f>
        <v>0.872404010569036</v>
      </c>
      <c r="M37" s="191">
        <f>E37</f>
        <v>3.095018670362267</v>
      </c>
    </row>
    <row r="38">
      <c r="A38" s="182" t="inlineStr">
        <is>
          <t>Sub Total</t>
        </is>
      </c>
      <c r="B38" s="189">
        <f>SUM(B17:B37)</f>
        <v>1.0</v>
      </c>
      <c r="C38" s="190">
        <f>SUM(C17:C37)</f>
        <v>74693.32599859714</v>
      </c>
      <c r="D38" s="189">
        <f>SUM(D17:D37)</f>
        <v>1.0</v>
      </c>
      <c r="E38" s="191">
        <f>SUM(E17:E37)</f>
        <v>754.0173233429365</v>
      </c>
      <c r="F38" s="189">
        <f>SUM(F17:F37)</f>
        <v>1.0</v>
      </c>
      <c r="G38" s="190">
        <f>SUM(G17:G37)</f>
        <v>74253.71500676678</v>
      </c>
      <c r="H38" s="189">
        <f>SUM(H17:H37)</f>
        <v>1.0</v>
      </c>
      <c r="I38" s="191">
        <f>SUM(I17:I37)</f>
        <v>750.4696337027393</v>
      </c>
      <c r="J38" s="189">
        <f>SUM(J17:J37)</f>
        <v>1.0</v>
      </c>
      <c r="K38" s="190">
        <f>SUM(K17:K37)</f>
        <v>439.610991830358</v>
      </c>
      <c r="L38" s="189">
        <f>SUM(L17:L37)</f>
        <v>1.0</v>
      </c>
      <c r="M38" s="191">
        <f>SUM(M17:M37)</f>
        <v>3.547689640197211</v>
      </c>
    </row>
    <row r="39">
      <c r="A39" s="182" t="inlineStr">
        <is>
          <t>TOTAL MASSA</t>
        </is>
      </c>
      <c r="B39" s="190">
        <f>C38</f>
        <v>74693.32599859714</v>
      </c>
      <c r="C39" s="183" t="n"/>
      <c r="D39" s="183" t="n"/>
      <c r="E39" s="184" t="n"/>
      <c r="F39" s="190">
        <f>G38+K38</f>
        <v>74693.32599859714</v>
      </c>
      <c r="G39" s="183" t="n"/>
      <c r="H39" s="183" t="n"/>
      <c r="I39" s="183" t="n"/>
      <c r="J39" s="183" t="n"/>
      <c r="K39" s="183" t="n"/>
      <c r="L39" s="183" t="n"/>
      <c r="M39" s="184" t="n"/>
    </row>
    <row r="40">
      <c r="A40" s="182" t="inlineStr">
        <is>
          <t>Selisih (Inlet − Outlet), kg/h</t>
        </is>
      </c>
      <c r="B40" s="190">
        <f>B39-F39</f>
        <v>0.0</v>
      </c>
      <c r="C40" s="183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  <c r="M40" s="184" t="n"/>
    </row>
    <row r="43">
      <c r="A43" s="172" t="inlineStr">
        <is>
          <t>Neraca Energi P-103: Pompa umpan kolom berat</t>
        </is>
      </c>
    </row>
    <row r="44">
      <c r="A44" s="174" t="inlineStr">
        <is>
          <t>Reference state: unsur pada 25 °C dan 1 atm (metode panas pembentukan)</t>
        </is>
      </c>
    </row>
    <row r="45">
      <c r="A45" s="182" t="inlineStr">
        <is>
          <t>No. aliran PFD</t>
        </is>
      </c>
      <c r="B45" s="182" t="n">
        <v>33</v>
      </c>
      <c r="C45" s="184" t="n"/>
      <c r="D45" s="182" t="n">
        <v>34</v>
      </c>
      <c r="E45" s="184" t="n"/>
    </row>
    <row r="46">
      <c r="A46" s="182" t="inlineStr">
        <is>
          <t>Dari</t>
        </is>
      </c>
      <c r="B46" s="192" t="inlineStr">
        <is>
          <t>KD-101</t>
        </is>
      </c>
      <c r="C46" s="184" t="n"/>
      <c r="D46" s="192" t="inlineStr">
        <is>
          <t>P-103</t>
        </is>
      </c>
      <c r="E46" s="184" t="n"/>
    </row>
    <row r="47">
      <c r="A47" s="182" t="inlineStr">
        <is>
          <t>Ke</t>
        </is>
      </c>
      <c r="B47" s="192" t="inlineStr">
        <is>
          <t>P-103</t>
        </is>
      </c>
      <c r="C47" s="184" t="n"/>
      <c r="D47" s="192" t="inlineStr">
        <is>
          <t>KD-102</t>
        </is>
      </c>
      <c r="E47" s="184" t="n"/>
    </row>
    <row r="48">
      <c r="A48" s="182" t="inlineStr">
        <is>
          <t>T (K)</t>
        </is>
      </c>
      <c r="B48" s="193">
        <f>'NME-4 Kolom Ringan'!$H$156</f>
        <v>356.59</v>
      </c>
      <c r="C48" s="184" t="n"/>
      <c r="D48" s="193">
        <f>IFERROR(IF(D48&lt;100,$B$48,D48+(B64-D60)/(SUM(D54:D59)*('Data Termo'!$J$20+'Data Termo'!$K$20*D48+'Data Termo'!$L$20*D48^2+'Data Termo'!$M$20*D48^3))),$B$48)</f>
        <v>356.73338508961365</v>
      </c>
      <c r="E48" s="184" t="n"/>
    </row>
    <row r="49">
      <c r="A49" s="182" t="inlineStr">
        <is>
          <t>T (°C)</t>
        </is>
      </c>
      <c r="B49" s="193">
        <f>'NME-4 Kolom Ringan'!$H$157</f>
        <v>83.44</v>
      </c>
      <c r="C49" s="184" t="n"/>
      <c r="D49" s="193">
        <f>IF(ISNUMBER(D48),D48-273.15,"-")</f>
        <v>83.58338508961367</v>
      </c>
      <c r="E49" s="184" t="n"/>
    </row>
    <row r="50">
      <c r="A50" s="182" t="inlineStr">
        <is>
          <t>P (bar abs)</t>
        </is>
      </c>
      <c r="B50" s="194">
        <f>'NME-4 Kolom Ringan'!$H$158</f>
        <v>1.01325</v>
      </c>
      <c r="C50" s="184" t="n"/>
      <c r="D50" s="194" t="n">
        <v>2.75</v>
      </c>
      <c r="E50" s="184" t="n"/>
    </row>
    <row r="51">
      <c r="A51" s="182" t="inlineStr">
        <is>
          <t>Substance</t>
        </is>
      </c>
      <c r="B51" s="182" t="inlineStr">
        <is>
          <t>INLET</t>
        </is>
      </c>
      <c r="C51" s="184" t="n"/>
      <c r="D51" s="182" t="inlineStr">
        <is>
          <t>OUTLET</t>
        </is>
      </c>
      <c r="E51" s="184" t="n"/>
    </row>
    <row r="52">
      <c r="A52" s="185" t="n"/>
      <c r="B52" s="182" t="inlineStr">
        <is>
          <t>Aliran 33</t>
        </is>
      </c>
      <c r="C52" s="184" t="n"/>
      <c r="D52" s="182" t="inlineStr">
        <is>
          <t>Aliran 34</t>
        </is>
      </c>
      <c r="E52" s="184" t="n"/>
    </row>
    <row r="53">
      <c r="A53" s="186" t="n"/>
      <c r="B53" s="182" t="inlineStr">
        <is>
          <t>ṅᵢ (kmol/h)</t>
        </is>
      </c>
      <c r="C53" s="182" t="inlineStr">
        <is>
          <t>Ĥᵢ (kJ/kmol)</t>
        </is>
      </c>
      <c r="D53" s="182" t="inlineStr">
        <is>
          <t>ṅᵢ (kmol/h)</t>
        </is>
      </c>
      <c r="E53" s="182" t="inlineStr">
        <is>
          <t>Ĥᵢ (kJ/kmol)</t>
        </is>
      </c>
    </row>
    <row r="54">
      <c r="A54" s="188" t="inlineStr">
        <is>
          <t>H₂O (l)</t>
        </is>
      </c>
      <c r="B54" s="191">
        <f>'NME-4 Kolom Ringan'!Q23</f>
        <v>0.14511609269780668</v>
      </c>
      <c r="C54" s="195">
        <f>'Data Termo'!$X$12+('Data Termo'!$J$12*($B$48-298.15)+'Data Termo'!$K$12/2*($B$48^2-298.15^2)+'Data Termo'!$L$12/3*($B$48^3-298.15^3)+'Data Termo'!$M$12/4*($B$48^4-298.15^4))</f>
        <v>-280097.9371456609</v>
      </c>
      <c r="D54" s="191">
        <f>E23</f>
        <v>0.14511609269780668</v>
      </c>
      <c r="E54" s="195">
        <f>'Data Termo'!$X$12+('Data Termo'!$J$12*($D$48-298.15)+'Data Termo'!$K$12/2*($D$48^2-298.15^2)+'Data Termo'!$L$12/3*($D$48^3-298.15^3)+'Data Termo'!$M$12/4*($D$48^4-298.15^4))</f>
        <v>-280087.1520627844</v>
      </c>
    </row>
    <row r="55">
      <c r="A55" s="188" t="inlineStr">
        <is>
          <t>EDC (l)</t>
        </is>
      </c>
      <c r="B55" s="191">
        <f>'NME-4 Kolom Ringan'!Q31</f>
        <v>750.7112897886648</v>
      </c>
      <c r="C55" s="195">
        <f>'Data Termo'!$X$20+('Data Termo'!$J$20*($B$48-298.15)+'Data Termo'!$K$20/2*($B$48^2-298.15^2)+'Data Termo'!$L$20/3*($B$48^3-298.15^3)+'Data Termo'!$M$20/4*($B$48^4-298.15^4))</f>
        <v>-156965.5735711347</v>
      </c>
      <c r="D55" s="191">
        <f>E31</f>
        <v>750.7112897886648</v>
      </c>
      <c r="E55" s="195">
        <f>'Data Termo'!$X$20+('Data Termo'!$J$20*($D$48-298.15)+'Data Termo'!$K$20/2*($D$48^2-298.15^2)+'Data Termo'!$L$20/3*($D$48^3-298.15^3)+'Data Termo'!$M$20/4*($D$48^4-298.15^4))</f>
        <v>-156945.7761458853</v>
      </c>
    </row>
    <row r="56">
      <c r="A56" s="188" t="inlineStr">
        <is>
          <t>TCE (l)</t>
        </is>
      </c>
      <c r="B56" s="191">
        <f>'NME-4 Kolom Ringan'!Q32</f>
        <v>0.05318669990688233</v>
      </c>
      <c r="C56" s="195">
        <f>'Data Termo'!$X$21+('Data Termo'!$J$21*($B$48-298.15)+'Data Termo'!$K$21/2*($B$48^2-298.15^2)+'Data Termo'!$L$21/3*($B$48^3-298.15^3)+'Data Termo'!$M$21/4*($B$48^4-298.15^4))</f>
        <v>-167675.3510147304</v>
      </c>
      <c r="D56" s="191">
        <f>E32</f>
        <v>0.05318669990688233</v>
      </c>
      <c r="E56" s="195">
        <f>'Data Termo'!$X$21+('Data Termo'!$J$21*($D$48-298.15)+'Data Termo'!$K$21/2*($D$48^2-298.15^2)+'Data Termo'!$L$21/3*($D$48^3-298.15^3)+'Data Termo'!$M$21/4*($D$48^4-298.15^4))</f>
        <v>-167652.14476932507</v>
      </c>
    </row>
    <row r="57">
      <c r="A57" s="188" t="inlineStr">
        <is>
          <t>FeCl₃ (s)</t>
        </is>
      </c>
      <c r="B57" s="191">
        <f>'NME-4 Kolom Ringan'!Q34</f>
        <v>0.0007607767029859938</v>
      </c>
      <c r="C57" s="195">
        <f>'Data Termo'!$T$23*1000+('Data Termo'!$N$23*($B$48-298.15)+'Data Termo'!$O$23/2*($B$48^2-298.15^2)+'Data Termo'!$P$23/3*($B$48^3-298.15^3))</f>
        <v>-393579.4567711952</v>
      </c>
      <c r="D57" s="191">
        <f>E34</f>
        <v>0.0007607767029859938</v>
      </c>
      <c r="E57" s="195">
        <f>'Data Termo'!$T$23*1000+('Data Termo'!$N$23*($D$48-298.15)+'Data Termo'!$O$23/2*($D$48^2-298.15^2)+'Data Termo'!$P$23/3*($D$48^3-298.15^3))</f>
        <v>-393564.39155633206</v>
      </c>
    </row>
    <row r="58">
      <c r="A58" s="188" t="inlineStr">
        <is>
          <t>VCM (l)</t>
        </is>
      </c>
      <c r="B58" s="191">
        <f>'NME-4 Kolom Ringan'!Q36</f>
        <v>0.011951314601842957</v>
      </c>
      <c r="C58" s="195">
        <f>'Data Termo'!$X$25+('Data Termo'!$J$25*($B$48-298.15)+'Data Termo'!$K$25/2*($B$48^2-298.15^2)+'Data Termo'!$L$25/3*($B$48^3-298.15^3)+'Data Termo'!$M$25/4*($B$48^4-298.15^4))</f>
        <v>13630.566222106936</v>
      </c>
      <c r="D58" s="191">
        <f>E36</f>
        <v>0.011951314601842957</v>
      </c>
      <c r="E58" s="195">
        <f>'Data Termo'!$X$25+('Data Termo'!$J$25*($D$48-298.15)+'Data Termo'!$K$25/2*($D$48^2-298.15^2)+'Data Termo'!$L$25/3*($D$48^3-298.15^3)+'Data Termo'!$M$25/4*($D$48^4-298.15^4))</f>
        <v>13644.830856869337</v>
      </c>
    </row>
    <row r="59">
      <c r="A59" s="188" t="inlineStr">
        <is>
          <t>C₄H₈Cl₂ (berat) (l)</t>
        </is>
      </c>
      <c r="B59" s="191">
        <f>'NME-4 Kolom Ringan'!Q37</f>
        <v>3.095018670362267</v>
      </c>
      <c r="C59" s="195">
        <f>'Data Termo'!$X$26+('Data Termo'!$J$26*($B$48-298.15)+'Data Termo'!$K$26/2*($B$48^2-298.15^2)+'Data Termo'!$L$26/3*($B$48^3-298.15^3)+'Data Termo'!$M$26/4*($B$48^4-298.15^4))</f>
        <v>-213254.00801153202</v>
      </c>
      <c r="D59" s="191">
        <f>E37</f>
        <v>3.095018670362267</v>
      </c>
      <c r="E59" s="195">
        <f>'Data Termo'!$X$26+('Data Termo'!$J$26*($D$48-298.15)+'Data Termo'!$K$26/2*($D$48^2-298.15^2)+'Data Termo'!$L$26/3*($D$48^3-298.15^3)+'Data Termo'!$M$26/4*($D$48^4-298.15^4))</f>
        <v>-213226.04798244784</v>
      </c>
    </row>
    <row r="60">
      <c r="A60" s="196" t="inlineStr">
        <is>
          <t>Sub Total ṅᵢĤᵢ (kJ/h)</t>
        </is>
      </c>
      <c r="B60" s="197">
        <f>SUMPRODUCT(B54:B59,C54:C59)</f>
        <v>-118545554.66401322</v>
      </c>
      <c r="C60" s="184" t="n"/>
      <c r="D60" s="197">
        <f>SUMPRODUCT(D54:D59,E54:E59)</f>
        <v>-118530602.9952626</v>
      </c>
      <c r="E60" s="184" t="n"/>
    </row>
    <row r="61">
      <c r="A61" s="188" t="inlineStr">
        <is>
          <t>Heat of reaction / heat of mixing</t>
        </is>
      </c>
      <c r="B61" s="198" t="inlineStr">
        <is>
          <t>-</t>
        </is>
      </c>
      <c r="C61" s="183" t="n"/>
      <c r="D61" s="183" t="n"/>
      <c r="E61" s="184" t="n"/>
    </row>
    <row r="62">
      <c r="A62" s="196" t="inlineStr">
        <is>
          <t>Q (kJ/h)</t>
        </is>
      </c>
      <c r="B62" s="197" t="n">
        <v>0</v>
      </c>
      <c r="C62" s="183" t="n"/>
      <c r="D62" s="183" t="n"/>
      <c r="E62" s="184" t="n"/>
    </row>
    <row r="63">
      <c r="A63" s="196" t="inlineStr">
        <is>
          <t>W (kJ/h)</t>
        </is>
      </c>
      <c r="B63" s="197">
        <f>'NME-4 Kolom Ringan'!O38/(1000*'Data Termo'!$D$33*'Data Termo'!$D$34^(-((1-$B$48/'Data Termo'!$D$36)^'Data Termo'!$D$35)))*MAX(0,($D$50-$B$50)*100)/$B$10</f>
        <v>14951.668750638186</v>
      </c>
      <c r="C63" s="183" t="n"/>
      <c r="D63" s="183" t="n"/>
      <c r="E63" s="184" t="n"/>
    </row>
    <row r="64">
      <c r="A64" s="196" t="inlineStr">
        <is>
          <t>TOTAL (kJ/h)</t>
        </is>
      </c>
      <c r="B64" s="197">
        <f>B60+$B$62+$B$63</f>
        <v>-118530602.99526258</v>
      </c>
      <c r="C64" s="184" t="n"/>
      <c r="D64" s="197">
        <f>D60</f>
        <v>-118530602.9952626</v>
      </c>
      <c r="E64" s="184" t="n"/>
    </row>
    <row r="65">
      <c r="A65" s="188" t="inlineStr">
        <is>
          <t>Selisih masuk − keluar (kJ/h)</t>
        </is>
      </c>
      <c r="B65" s="195">
        <f>B64-D64</f>
        <v>1.4901161193847656e-08</v>
      </c>
      <c r="C65" s="183" t="n"/>
      <c r="D65" s="183" t="n"/>
      <c r="E65" s="184" t="n"/>
    </row>
    <row r="66">
      <c r="A66" s="188" t="inlineStr">
        <is>
          <t>Q (kW)</t>
        </is>
      </c>
      <c r="B66" s="195">
        <f>$B$62/3600</f>
        <v>0.0</v>
      </c>
      <c r="C66" s="183" t="n"/>
      <c r="D66" s="183" t="n"/>
      <c r="E66" s="184" t="n"/>
    </row>
    <row r="67">
      <c r="A67" s="188" t="inlineStr">
        <is>
          <t>W (kW)</t>
        </is>
      </c>
      <c r="B67" s="195">
        <f>$B$63/3600</f>
        <v>4.153241319621718</v>
      </c>
      <c r="C67" s="183" t="n"/>
      <c r="D67" s="183" t="n"/>
      <c r="E67" s="184" t="n"/>
    </row>
    <row r="70">
      <c r="A70" s="172" t="inlineStr">
        <is>
          <t>Neraca Energi KD-102: Kolom berat (kondensor dan reboiler)</t>
        </is>
      </c>
    </row>
    <row r="71">
      <c r="A71" s="174" t="inlineStr">
        <is>
          <t>Reference state: unsur pada 25 °C dan 1 atm (metode panas pembentukan)</t>
        </is>
      </c>
    </row>
    <row r="72">
      <c r="A72" s="182" t="inlineStr">
        <is>
          <t>No. aliran PFD</t>
        </is>
      </c>
      <c r="B72" s="182" t="n">
        <v>34</v>
      </c>
      <c r="C72" s="184" t="n"/>
      <c r="D72" s="182" t="n">
        <v>35</v>
      </c>
      <c r="E72" s="184" t="n"/>
      <c r="F72" s="182" t="n">
        <v>36</v>
      </c>
      <c r="G72" s="184" t="n"/>
    </row>
    <row r="73">
      <c r="A73" s="182" t="inlineStr">
        <is>
          <t>Dari</t>
        </is>
      </c>
      <c r="B73" s="192" t="inlineStr">
        <is>
          <t>P-103</t>
        </is>
      </c>
      <c r="C73" s="184" t="n"/>
      <c r="D73" s="192" t="inlineStr">
        <is>
          <t>KD-102</t>
        </is>
      </c>
      <c r="E73" s="184" t="n"/>
      <c r="F73" s="192" t="inlineStr">
        <is>
          <t>KD-102</t>
        </is>
      </c>
      <c r="G73" s="184" t="n"/>
    </row>
    <row r="74">
      <c r="A74" s="182" t="inlineStr">
        <is>
          <t>Ke</t>
        </is>
      </c>
      <c r="B74" s="192" t="inlineStr">
        <is>
          <t>KD-102</t>
        </is>
      </c>
      <c r="C74" s="184" t="n"/>
      <c r="D74" s="192" t="inlineStr">
        <is>
          <t>UPL</t>
        </is>
      </c>
      <c r="E74" s="184" t="n"/>
      <c r="F74" s="192" t="inlineStr">
        <is>
          <t>P-104</t>
        </is>
      </c>
      <c r="G74" s="184" t="n"/>
    </row>
    <row r="75">
      <c r="A75" s="182" t="inlineStr">
        <is>
          <t>T (K)</t>
        </is>
      </c>
      <c r="B75" s="193">
        <f>$D$48</f>
        <v>356.73338508961365</v>
      </c>
      <c r="C75" s="184" t="n"/>
      <c r="D75" s="193">
        <f>D76+273.15</f>
        <v>400.15</v>
      </c>
      <c r="E75" s="184" t="n"/>
      <c r="F75" s="193">
        <f>F76+273.15</f>
        <v>391.15</v>
      </c>
      <c r="G75" s="184" t="n"/>
    </row>
    <row r="76">
      <c r="A76" s="182" t="inlineStr">
        <is>
          <t>T (°C)</t>
        </is>
      </c>
      <c r="B76" s="193">
        <f>$D$49</f>
        <v>83.58338508961367</v>
      </c>
      <c r="C76" s="184" t="n"/>
      <c r="D76" s="193" t="n">
        <v>127</v>
      </c>
      <c r="E76" s="184" t="n"/>
      <c r="F76" s="193" t="n">
        <v>118</v>
      </c>
      <c r="G76" s="184" t="n"/>
    </row>
    <row r="77">
      <c r="A77" s="182" t="inlineStr">
        <is>
          <t>P (bar abs)</t>
        </is>
      </c>
      <c r="B77" s="194">
        <f>$D$50</f>
        <v>2.75</v>
      </c>
      <c r="C77" s="184" t="n"/>
      <c r="D77" s="194" t="n">
        <v>3</v>
      </c>
      <c r="E77" s="184" t="n"/>
      <c r="F77" s="194" t="n">
        <v>2.5</v>
      </c>
      <c r="G77" s="184" t="n"/>
    </row>
    <row r="78">
      <c r="A78" s="182" t="inlineStr">
        <is>
          <t>Substance</t>
        </is>
      </c>
      <c r="B78" s="182" t="inlineStr">
        <is>
          <t>INLET</t>
        </is>
      </c>
      <c r="C78" s="184" t="n"/>
      <c r="D78" s="182" t="inlineStr">
        <is>
          <t>OUTLET</t>
        </is>
      </c>
      <c r="E78" s="183" t="n"/>
      <c r="F78" s="183" t="n"/>
      <c r="G78" s="184" t="n"/>
    </row>
    <row r="79">
      <c r="A79" s="185" t="n"/>
      <c r="B79" s="182" t="inlineStr">
        <is>
          <t>Aliran 34</t>
        </is>
      </c>
      <c r="C79" s="184" t="n"/>
      <c r="D79" s="182" t="inlineStr">
        <is>
          <t>Aliran 35</t>
        </is>
      </c>
      <c r="E79" s="184" t="n"/>
      <c r="F79" s="182" t="inlineStr">
        <is>
          <t>Aliran 36</t>
        </is>
      </c>
      <c r="G79" s="184" t="n"/>
    </row>
    <row r="80">
      <c r="A80" s="186" t="n"/>
      <c r="B80" s="182" t="inlineStr">
        <is>
          <t>ṅᵢ (kmol/h)</t>
        </is>
      </c>
      <c r="C80" s="182" t="inlineStr">
        <is>
          <t>Ĥᵢ (kJ/kmol)</t>
        </is>
      </c>
      <c r="D80" s="182" t="inlineStr">
        <is>
          <t>ṅᵢ (kmol/h)</t>
        </is>
      </c>
      <c r="E80" s="182" t="inlineStr">
        <is>
          <t>Ĥᵢ (kJ/kmol)</t>
        </is>
      </c>
      <c r="F80" s="182" t="inlineStr">
        <is>
          <t>ṅᵢ (kmol/h)</t>
        </is>
      </c>
      <c r="G80" s="182" t="inlineStr">
        <is>
          <t>Ĥᵢ (kJ/kmol)</t>
        </is>
      </c>
    </row>
    <row r="81">
      <c r="A81" s="188" t="inlineStr">
        <is>
          <t>H₂O (l)</t>
        </is>
      </c>
      <c r="B81" s="191">
        <f>E23</f>
        <v>0.14511609269780668</v>
      </c>
      <c r="C81" s="195">
        <f>'Data Termo'!$X$12+('Data Termo'!$J$12*($B$75-298.15)+'Data Termo'!$K$12/2*($B$75^2-298.15^2)+'Data Termo'!$L$12/3*($B$75^3-298.15^3)+'Data Termo'!$M$12/4*($B$75^4-298.15^4))</f>
        <v>-280087.1520627844</v>
      </c>
      <c r="D81" s="191">
        <f>M23</f>
        <v>0.0</v>
      </c>
      <c r="E81" s="195">
        <f>'Data Termo'!$X$12+('Data Termo'!$J$12*($D$75-298.15)+'Data Termo'!$K$12/2*($D$75^2-298.15^2)+'Data Termo'!$L$12/3*($D$75^3-298.15^3)+'Data Termo'!$M$12/4*($D$75^4-298.15^4))</f>
        <v>-276798.2545350199</v>
      </c>
      <c r="F81" s="191">
        <f>I23</f>
        <v>0.14511609269780668</v>
      </c>
      <c r="G81" s="195">
        <f>'Data Termo'!$X$12+('Data Termo'!$J$12*($F$75-298.15)+'Data Termo'!$K$12/2*($F$75^2-298.15^2)+'Data Termo'!$L$12/3*($F$75^3-298.15^3)+'Data Termo'!$M$12/4*($F$75^4-298.15^4))</f>
        <v>-277485.2233708319</v>
      </c>
    </row>
    <row r="82">
      <c r="A82" s="188" t="inlineStr">
        <is>
          <t>EDC (l)</t>
        </is>
      </c>
      <c r="B82" s="191">
        <f>E31</f>
        <v>750.7112897886648</v>
      </c>
      <c r="C82" s="195">
        <f>'Data Termo'!$X$20+('Data Termo'!$J$20*($B$75-298.15)+'Data Termo'!$K$20/2*($B$75^2-298.15^2)+'Data Termo'!$L$20/3*($B$75^3-298.15^3)+'Data Termo'!$M$20/4*($B$75^4-298.15^4))</f>
        <v>-156945.7761458853</v>
      </c>
      <c r="D82" s="191">
        <f>M31</f>
        <v>0.4037333372163042</v>
      </c>
      <c r="E82" s="195">
        <f>'Data Termo'!$X$20+('Data Termo'!$J$20*($D$75-298.15)+'Data Termo'!$K$20/2*($D$75^2-298.15^2)+'Data Termo'!$L$20/3*($D$75^3-298.15^3)+'Data Termo'!$M$20/4*($D$75^4-298.15^4))</f>
        <v>-150759.9855742457</v>
      </c>
      <c r="F82" s="191">
        <f>I31</f>
        <v>750.3075564514485</v>
      </c>
      <c r="G82" s="195">
        <f>'Data Termo'!$X$20+('Data Termo'!$J$20*($F$75-298.15)+'Data Termo'!$K$20/2*($F$75^2-298.15^2)+'Data Termo'!$L$20/3*($F$75^3-298.15^3)+'Data Termo'!$M$20/4*($F$75^4-298.15^4))</f>
        <v>-152076.14125580457</v>
      </c>
    </row>
    <row r="83">
      <c r="A83" s="188" t="inlineStr">
        <is>
          <t>TCE (l)</t>
        </is>
      </c>
      <c r="B83" s="191">
        <f>E32</f>
        <v>0.05318669990688233</v>
      </c>
      <c r="C83" s="195">
        <f>'Data Termo'!$X$21+('Data Termo'!$J$21*($B$75-298.15)+'Data Termo'!$K$21/2*($B$75^2-298.15^2)+'Data Termo'!$L$21/3*($B$75^3-298.15^3)+'Data Termo'!$M$21/4*($B$75^4-298.15^4))</f>
        <v>-167652.14476932507</v>
      </c>
      <c r="D83" s="191">
        <f>M32</f>
        <v>0.04817685591565341</v>
      </c>
      <c r="E83" s="195">
        <f>'Data Termo'!$X$21+('Data Termo'!$J$21*($D$75-298.15)+'Data Termo'!$K$21/2*($D$75^2-298.15^2)+'Data Termo'!$L$21/3*($D$75^3-298.15^3)+'Data Termo'!$M$21/4*($D$75^4-298.15^4))</f>
        <v>-160422.38042136678</v>
      </c>
      <c r="F83" s="191">
        <f>I32</f>
        <v>0.005009843991228917</v>
      </c>
      <c r="G83" s="195">
        <f>'Data Termo'!$X$21+('Data Termo'!$J$21*($F$75-298.15)+'Data Termo'!$K$21/2*($F$75^2-298.15^2)+'Data Termo'!$L$21/3*($F$75^3-298.15^3)+'Data Termo'!$M$21/4*($F$75^4-298.15^4))</f>
        <v>-161956.64688752906</v>
      </c>
    </row>
    <row r="84">
      <c r="A84" s="188" t="inlineStr">
        <is>
          <t>FeCl₃ (s)</t>
        </is>
      </c>
      <c r="B84" s="191">
        <f>E34</f>
        <v>0.0007607767029859938</v>
      </c>
      <c r="C84" s="195">
        <f>'Data Termo'!$T$23*1000+('Data Termo'!$N$23*($B$75-298.15)+'Data Termo'!$O$23/2*($B$75^2-298.15^2)+'Data Termo'!$P$23/3*($B$75^3-298.15^3))</f>
        <v>-393564.39155633206</v>
      </c>
      <c r="D84" s="191">
        <f>M34</f>
        <v>0.0007607767029859938</v>
      </c>
      <c r="E84" s="195">
        <f>'Data Termo'!$T$23*1000+('Data Termo'!$N$23*($D$75-298.15)+'Data Termo'!$O$23/2*($D$75^2-298.15^2)+'Data Termo'!$P$23/3*($D$75^3-298.15^3))</f>
        <v>-388894.68612005824</v>
      </c>
      <c r="F84" s="191">
        <f>I34</f>
        <v>0.0</v>
      </c>
      <c r="G84" s="195">
        <f>'Data Termo'!$T$23*1000+('Data Termo'!$N$23*($F$75-298.15)+'Data Termo'!$O$23/2*($F$75^2-298.15^2)+'Data Termo'!$P$23/3*($F$75^3-298.15^3))</f>
        <v>-389879.63612382236</v>
      </c>
    </row>
    <row r="85">
      <c r="A85" s="188" t="inlineStr">
        <is>
          <t>VCM (l)</t>
        </is>
      </c>
      <c r="B85" s="191">
        <f>E36</f>
        <v>0.011951314601842957</v>
      </c>
      <c r="C85" s="195">
        <f>'Data Termo'!$X$25+('Data Termo'!$J$25*($B$75-298.15)+'Data Termo'!$K$25/2*($B$75^2-298.15^2)+'Data Termo'!$L$25/3*($B$75^3-298.15^3)+'Data Termo'!$M$25/4*($B$75^4-298.15^4))</f>
        <v>13644.830856869337</v>
      </c>
      <c r="D85" s="191">
        <f>M36</f>
        <v>0.0</v>
      </c>
      <c r="E85" s="195">
        <f>'Data Termo'!$X$25+('Data Termo'!$J$25*($D$75-298.15)+'Data Termo'!$K$25/2*($D$75^2-298.15^2)+'Data Termo'!$L$25/3*($D$75^3-298.15^3)+'Data Termo'!$M$25/4*($D$75^4-298.15^4))</f>
        <v>18272.867584827523</v>
      </c>
      <c r="F85" s="191">
        <f>I36</f>
        <v>0.011951314601842957</v>
      </c>
      <c r="G85" s="195">
        <f>'Data Termo'!$X$25+('Data Termo'!$J$25*($F$75-298.15)+'Data Termo'!$K$25/2*($F$75^2-298.15^2)+'Data Termo'!$L$25/3*($F$75^3-298.15^3)+'Data Termo'!$M$25/4*($F$75^4-298.15^4))</f>
        <v>17258.340754963727</v>
      </c>
    </row>
    <row r="86">
      <c r="A86" s="188" t="inlineStr">
        <is>
          <t>C₄H₈Cl₂ (berat) (l)</t>
        </is>
      </c>
      <c r="B86" s="191">
        <f>E37</f>
        <v>3.095018670362267</v>
      </c>
      <c r="C86" s="195">
        <f>'Data Termo'!$X$26+('Data Termo'!$J$26*($B$75-298.15)+'Data Termo'!$K$26/2*($B$75^2-298.15^2)+'Data Termo'!$L$26/3*($B$75^3-298.15^3)+'Data Termo'!$M$26/4*($B$75^4-298.15^4))</f>
        <v>-213226.04798244784</v>
      </c>
      <c r="D86" s="191">
        <f>M37</f>
        <v>3.095018670362267</v>
      </c>
      <c r="E86" s="195">
        <f>'Data Termo'!$X$26+('Data Termo'!$J$26*($D$75-298.15)+'Data Termo'!$K$26/2*($D$75^2-298.15^2)+'Data Termo'!$L$26/3*($D$75^3-298.15^3)+'Data Termo'!$M$26/4*($D$75^4-298.15^4))</f>
        <v>-204559.22981305438</v>
      </c>
      <c r="F86" s="191">
        <f>I37</f>
        <v>0.0</v>
      </c>
      <c r="G86" s="195">
        <f>'Data Termo'!$X$26+('Data Termo'!$J$26*($F$75-298.15)+'Data Termo'!$K$26/2*($F$75^2-298.15^2)+'Data Termo'!$L$26/3*($F$75^3-298.15^3)+'Data Termo'!$M$26/4*($F$75^4-298.15^4))</f>
        <v>-206390.56096512574</v>
      </c>
    </row>
    <row r="87">
      <c r="A87" s="196" t="inlineStr">
        <is>
          <t>Sub Total ṅᵢĤᵢ (kJ/h)</t>
        </is>
      </c>
      <c r="B87" s="197">
        <f>SUMPRODUCT(B81:B86,C81:C86)</f>
        <v>-118530602.9952626</v>
      </c>
      <c r="C87" s="184" t="n"/>
      <c r="D87" s="197">
        <f>SUMPRODUCT(D81:D86,E81:E86)</f>
        <v>-702005.9754852225</v>
      </c>
      <c r="E87" s="184" t="n"/>
      <c r="F87" s="197">
        <f>SUMPRODUCT(F81:F86,G81:G86)</f>
        <v>-114144750.62927938</v>
      </c>
      <c r="G87" s="184" t="n"/>
    </row>
    <row r="88">
      <c r="A88" s="188" t="inlineStr">
        <is>
          <t>Heat of reaction / heat of mixing</t>
        </is>
      </c>
      <c r="B88" s="198" t="inlineStr">
        <is>
          <t>-</t>
        </is>
      </c>
      <c r="C88" s="183" t="n"/>
      <c r="D88" s="183" t="n"/>
      <c r="E88" s="183" t="n"/>
      <c r="F88" s="183" t="n"/>
      <c r="G88" s="184" t="n"/>
    </row>
    <row r="89">
      <c r="A89" s="196" t="inlineStr">
        <is>
          <t>Q kondensor (kJ/h)</t>
        </is>
      </c>
      <c r="B89" s="197">
        <f>-(1+$B$9)*(F81*('Data Termo'!$Q$12*1000*MAX(0,1-$F$75/'Data Termo'!$R$12)^'Data Termo'!$S$12)+F82*('Data Termo'!$Q$20*1000*MAX(0,1-$F$75/'Data Termo'!$R$20)^'Data Termo'!$S$20)+F83*('Data Termo'!$Q$21*1000*MAX(0,1-$F$75/'Data Termo'!$R$21)^'Data Termo'!$S$21)+F85*('Data Termo'!$Q$25*1000*MAX(0,1-$F$75/'Data Termo'!$R$25)^'Data Termo'!$S$25))</f>
        <v>-45313162.63915342</v>
      </c>
      <c r="C89" s="183" t="n"/>
      <c r="D89" s="183" t="n"/>
      <c r="E89" s="183" t="n"/>
      <c r="F89" s="183" t="n"/>
      <c r="G89" s="184" t="n"/>
    </row>
    <row r="90">
      <c r="A90" s="196" t="inlineStr">
        <is>
          <t>Q reboiler (kJ/h)</t>
        </is>
      </c>
      <c r="B90" s="197">
        <f>(D87+F87)-(B87)-$B$89</f>
        <v>48997009.02965142</v>
      </c>
      <c r="C90" s="183" t="n"/>
      <c r="D90" s="183" t="n"/>
      <c r="E90" s="183" t="n"/>
      <c r="F90" s="183" t="n"/>
      <c r="G90" s="184" t="n"/>
    </row>
    <row r="91">
      <c r="A91" s="196" t="inlineStr">
        <is>
          <t>W (kJ/h)</t>
        </is>
      </c>
      <c r="B91" s="197" t="n">
        <v>0</v>
      </c>
      <c r="C91" s="183" t="n"/>
      <c r="D91" s="183" t="n"/>
      <c r="E91" s="183" t="n"/>
      <c r="F91" s="183" t="n"/>
      <c r="G91" s="184" t="n"/>
    </row>
    <row r="92">
      <c r="A92" s="196" t="inlineStr">
        <is>
          <t>TOTAL (kJ/h)</t>
        </is>
      </c>
      <c r="B92" s="197">
        <f>B87+$B$89+$B$90+$B$91</f>
        <v>-114846756.6047646</v>
      </c>
      <c r="C92" s="184" t="n"/>
      <c r="D92" s="197">
        <f>D87+F87</f>
        <v>-114846756.6047646</v>
      </c>
      <c r="E92" s="183" t="n"/>
      <c r="F92" s="183" t="n"/>
      <c r="G92" s="184" t="n"/>
    </row>
    <row r="93">
      <c r="A93" s="188" t="inlineStr">
        <is>
          <t>Selisih masuk − keluar (kJ/h)</t>
        </is>
      </c>
      <c r="B93" s="195">
        <f>B92-D92</f>
        <v>0.0</v>
      </c>
      <c r="C93" s="183" t="n"/>
      <c r="D93" s="183" t="n"/>
      <c r="E93" s="183" t="n"/>
      <c r="F93" s="183" t="n"/>
      <c r="G93" s="184" t="n"/>
    </row>
    <row r="94">
      <c r="A94" s="188" t="inlineStr">
        <is>
          <t>Q kondensor (kW)</t>
        </is>
      </c>
      <c r="B94" s="195">
        <f>$B$89/3600</f>
        <v>-12586.98962198706</v>
      </c>
      <c r="C94" s="183" t="n"/>
      <c r="D94" s="183" t="n"/>
      <c r="E94" s="183" t="n"/>
      <c r="F94" s="183" t="n"/>
      <c r="G94" s="184" t="n"/>
    </row>
    <row r="95">
      <c r="A95" s="188" t="inlineStr">
        <is>
          <t>Q reboiler (kW)</t>
        </is>
      </c>
      <c r="B95" s="195">
        <f>$B$90/3600</f>
        <v>13610.280286014284</v>
      </c>
      <c r="C95" s="183" t="n"/>
      <c r="D95" s="183" t="n"/>
      <c r="E95" s="183" t="n"/>
      <c r="F95" s="183" t="n"/>
      <c r="G95" s="184" t="n"/>
    </row>
    <row r="96">
      <c r="A96" s="188" t="inlineStr">
        <is>
          <t>W (kW)</t>
        </is>
      </c>
      <c r="B96" s="195">
        <f>$B$91/3600</f>
        <v>0.0</v>
      </c>
      <c r="C96" s="183" t="n"/>
      <c r="D96" s="183" t="n"/>
      <c r="E96" s="183" t="n"/>
      <c r="F96" s="183" t="n"/>
      <c r="G96" s="184" t="n"/>
    </row>
  </sheetData>
  <mergeCells count="80">
    <mergeCell ref="D60:E60"/>
    <mergeCell ref="B65:E65"/>
    <mergeCell ref="C7:L7"/>
    <mergeCell ref="B88:G88"/>
    <mergeCell ref="D45:E45"/>
    <mergeCell ref="B77:C77"/>
    <mergeCell ref="D77:E77"/>
    <mergeCell ref="D48:E48"/>
    <mergeCell ref="F79:G79"/>
    <mergeCell ref="B78:C78"/>
    <mergeCell ref="D72:E72"/>
    <mergeCell ref="F72:G72"/>
    <mergeCell ref="B39:E39"/>
    <mergeCell ref="F15:I15"/>
    <mergeCell ref="B49:C49"/>
    <mergeCell ref="B14:E14"/>
    <mergeCell ref="B64:C64"/>
    <mergeCell ref="D64:E64"/>
    <mergeCell ref="B51:C51"/>
    <mergeCell ref="D73:E73"/>
    <mergeCell ref="D51:E51"/>
    <mergeCell ref="D78:G78"/>
    <mergeCell ref="C12:L12"/>
    <mergeCell ref="A14:A16"/>
    <mergeCell ref="F74:G74"/>
    <mergeCell ref="B63:E63"/>
    <mergeCell ref="D76:E76"/>
    <mergeCell ref="F76:G76"/>
    <mergeCell ref="D75:E75"/>
    <mergeCell ref="B66:E66"/>
    <mergeCell ref="F75:G75"/>
    <mergeCell ref="D47:E47"/>
    <mergeCell ref="A51:A53"/>
    <mergeCell ref="C10:L10"/>
    <mergeCell ref="B91:G91"/>
    <mergeCell ref="B67:E67"/>
    <mergeCell ref="B61:E61"/>
    <mergeCell ref="C9:L9"/>
    <mergeCell ref="B93:G93"/>
    <mergeCell ref="B79:C79"/>
    <mergeCell ref="D79:E79"/>
    <mergeCell ref="F73:G73"/>
    <mergeCell ref="F87:G87"/>
    <mergeCell ref="B72:C72"/>
    <mergeCell ref="B15:E15"/>
    <mergeCell ref="B52:C52"/>
    <mergeCell ref="D52:E52"/>
    <mergeCell ref="D49:E49"/>
    <mergeCell ref="B60:C60"/>
    <mergeCell ref="C6:L6"/>
    <mergeCell ref="B95:G95"/>
    <mergeCell ref="B89:G89"/>
    <mergeCell ref="B92:C92"/>
    <mergeCell ref="F77:G77"/>
    <mergeCell ref="B90:G90"/>
    <mergeCell ref="B76:C76"/>
    <mergeCell ref="B45:C45"/>
    <mergeCell ref="B5:L5"/>
    <mergeCell ref="B75:C75"/>
    <mergeCell ref="B47:C47"/>
    <mergeCell ref="C8:L8"/>
    <mergeCell ref="D92:G92"/>
    <mergeCell ref="B46:C46"/>
    <mergeCell ref="D46:E46"/>
    <mergeCell ref="B48:C48"/>
    <mergeCell ref="B62:E62"/>
    <mergeCell ref="B40:M40"/>
    <mergeCell ref="B73:C73"/>
    <mergeCell ref="B87:C87"/>
    <mergeCell ref="D87:E87"/>
    <mergeCell ref="B94:G94"/>
    <mergeCell ref="J15:M15"/>
    <mergeCell ref="B74:C74"/>
    <mergeCell ref="A78:A80"/>
    <mergeCell ref="D74:E74"/>
    <mergeCell ref="F39:M39"/>
    <mergeCell ref="B50:C50"/>
    <mergeCell ref="F14:M14"/>
    <mergeCell ref="B96:G96"/>
    <mergeCell ref="D50:E5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L144"/>
  <sheetViews>
    <sheetView tabSelected="0" zoomScale="85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3">
      <c r="A3" s="172" t="inlineStr">
        <is>
          <t>Neraca Massa dan Energi</t>
        </is>
      </c>
    </row>
    <row r="4">
      <c r="A4" s="172" t="inlineStr">
        <is>
          <t>NM Blok 6: Pirolisis EDC (Furnace + Quench)</t>
        </is>
      </c>
    </row>
    <row r="5">
      <c r="A5" s="173" t="inlineStr">
        <is>
          <t>Tujuan:</t>
        </is>
      </c>
      <c r="B5" s="174" t="inlineStr">
        <is>
          <t>Merengkah EDC menjadi VCM dan HCl</t>
        </is>
      </c>
    </row>
    <row r="6">
      <c r="A6" s="173" t="inlineStr">
        <is>
          <t>Unjuk Kerja</t>
        </is>
      </c>
      <c r="B6" s="200" t="n">
        <v>0.55</v>
      </c>
      <c r="C6" s="174" t="inlineStr">
        <is>
          <t>Konversi EDC</t>
        </is>
      </c>
    </row>
    <row r="7">
      <c r="B7" s="200" t="n">
        <v>0.985</v>
      </c>
      <c r="C7" s="174" t="inlineStr">
        <is>
          <t>Selektivitas VCM (sisa EDC terkonversi: 2EDC → C₄H₈Cl₂ + Cl₂)</t>
        </is>
      </c>
    </row>
    <row r="8">
      <c r="B8" s="201" t="n">
        <v>0.75</v>
      </c>
      <c r="C8" s="174" t="inlineStr">
        <is>
          <t>Efisiensi pompa P-104</t>
        </is>
      </c>
    </row>
    <row r="10">
      <c r="A10" s="173" t="inlineStr">
        <is>
          <t>Basis Perhitungan</t>
        </is>
      </c>
      <c r="B10" s="181">
        <f>'NME-1 Klorinasi Langsung'!$B$16</f>
        <v>6100.572183061604</v>
      </c>
      <c r="C10" s="174" t="inlineStr">
        <is>
          <t>kg/h aliran etilena ke R-01 (NME-1)</t>
        </is>
      </c>
    </row>
    <row r="12">
      <c r="A12" s="182" t="inlineStr">
        <is>
          <t>Substance</t>
        </is>
      </c>
      <c r="B12" s="182" t="inlineStr">
        <is>
          <t>Inlet</t>
        </is>
      </c>
      <c r="C12" s="183" t="n"/>
      <c r="D12" s="183" t="n"/>
      <c r="E12" s="184" t="n"/>
      <c r="F12" s="182" t="inlineStr">
        <is>
          <t>Outlet</t>
        </is>
      </c>
      <c r="G12" s="183" t="n"/>
      <c r="H12" s="183" t="n"/>
      <c r="I12" s="184" t="n"/>
    </row>
    <row r="13">
      <c r="A13" s="185" t="n"/>
      <c r="B13" s="182" t="inlineStr">
        <is>
          <t>Aliran 38</t>
        </is>
      </c>
      <c r="C13" s="183" t="n"/>
      <c r="D13" s="183" t="n"/>
      <c r="E13" s="184" t="n"/>
      <c r="F13" s="182" t="inlineStr">
        <is>
          <t>Aliran 39</t>
        </is>
      </c>
      <c r="G13" s="183" t="n"/>
      <c r="H13" s="183" t="n"/>
      <c r="I13" s="184" t="n"/>
    </row>
    <row r="14">
      <c r="A14" s="186" t="n"/>
      <c r="B14" s="187" t="inlineStr">
        <is>
          <t>ẋᵢ</t>
        </is>
      </c>
      <c r="C14" s="187" t="inlineStr">
        <is>
          <t>ṁᵢ (kg/h)</t>
        </is>
      </c>
      <c r="D14" s="187" t="inlineStr">
        <is>
          <t>ẏᵢ</t>
        </is>
      </c>
      <c r="E14" s="187" t="inlineStr">
        <is>
          <t>ṅᵢ (kmol/h)</t>
        </is>
      </c>
      <c r="F14" s="187" t="inlineStr">
        <is>
          <t>ẋᵢ</t>
        </is>
      </c>
      <c r="G14" s="187" t="inlineStr">
        <is>
          <t>ṁᵢ (kg/h)</t>
        </is>
      </c>
      <c r="H14" s="187" t="inlineStr">
        <is>
          <t>ẏᵢ</t>
        </is>
      </c>
      <c r="I14" s="187" t="inlineStr">
        <is>
          <t>ṅᵢ (kmol/h)</t>
        </is>
      </c>
    </row>
    <row r="15">
      <c r="A15" s="188" t="inlineStr">
        <is>
          <t>C₂H₄</t>
        </is>
      </c>
      <c r="B15" s="189">
        <f>C15/C$36</f>
        <v>0.0</v>
      </c>
      <c r="C15" s="190">
        <f>E15*'Data Komponen'!$D$3</f>
        <v>0.0</v>
      </c>
      <c r="D15" s="189">
        <f>E15/E$36</f>
        <v>0.0</v>
      </c>
      <c r="E15" s="191">
        <f>'NME-5 Kolom Berat'!I17</f>
        <v>0.0</v>
      </c>
      <c r="F15" s="189">
        <f>G15/G$36</f>
        <v>0.0</v>
      </c>
      <c r="G15" s="190">
        <f>I15*'Data Komponen'!$D$3</f>
        <v>0.0</v>
      </c>
      <c r="H15" s="189">
        <f>I15/I$36</f>
        <v>0.0</v>
      </c>
      <c r="I15" s="191">
        <f>E15</f>
        <v>0.0</v>
      </c>
    </row>
    <row r="16">
      <c r="A16" s="188" t="inlineStr">
        <is>
          <t>CH₄</t>
        </is>
      </c>
      <c r="B16" s="189">
        <f>C16/C$36</f>
        <v>0.0</v>
      </c>
      <c r="C16" s="190">
        <f>E16*'Data Komponen'!$D$4</f>
        <v>0.0</v>
      </c>
      <c r="D16" s="189">
        <f>E16/E$36</f>
        <v>0.0</v>
      </c>
      <c r="E16" s="191">
        <f>'NME-5 Kolom Berat'!I18</f>
        <v>0.0</v>
      </c>
      <c r="F16" s="189">
        <f>G16/G$36</f>
        <v>0.0</v>
      </c>
      <c r="G16" s="190">
        <f>I16*'Data Komponen'!$D$4</f>
        <v>0.0</v>
      </c>
      <c r="H16" s="189">
        <f>I16/I$36</f>
        <v>0.0</v>
      </c>
      <c r="I16" s="191">
        <f>E16</f>
        <v>0.0</v>
      </c>
    </row>
    <row r="17">
      <c r="A17" s="188" t="inlineStr">
        <is>
          <t>C₂H₆</t>
        </is>
      </c>
      <c r="B17" s="189">
        <f>C17/C$36</f>
        <v>0.0</v>
      </c>
      <c r="C17" s="190">
        <f>E17*'Data Komponen'!$D$5</f>
        <v>0.0</v>
      </c>
      <c r="D17" s="189">
        <f>E17/E$36</f>
        <v>0.0</v>
      </c>
      <c r="E17" s="191">
        <f>'NME-5 Kolom Berat'!I19</f>
        <v>0.0</v>
      </c>
      <c r="F17" s="189">
        <f>G17/G$36</f>
        <v>0.0</v>
      </c>
      <c r="G17" s="190">
        <f>I17*'Data Komponen'!$D$5</f>
        <v>0.0</v>
      </c>
      <c r="H17" s="189">
        <f>I17/I$36</f>
        <v>0.0</v>
      </c>
      <c r="I17" s="191">
        <f>E17</f>
        <v>0.0</v>
      </c>
    </row>
    <row r="18">
      <c r="A18" s="188" t="inlineStr">
        <is>
          <t>C₂H₂</t>
        </is>
      </c>
      <c r="B18" s="189">
        <f>C18/C$36</f>
        <v>0.0</v>
      </c>
      <c r="C18" s="190">
        <f>E18*'Data Komponen'!$D$6</f>
        <v>0.0</v>
      </c>
      <c r="D18" s="189">
        <f>E18/E$36</f>
        <v>0.0</v>
      </c>
      <c r="E18" s="191">
        <f>'NME-5 Kolom Berat'!I20</f>
        <v>0.0</v>
      </c>
      <c r="F18" s="189">
        <f>G18/G$36</f>
        <v>0.0</v>
      </c>
      <c r="G18" s="190">
        <f>I18*'Data Komponen'!$D$6</f>
        <v>0.0</v>
      </c>
      <c r="H18" s="189">
        <f>I18/I$36</f>
        <v>0.0</v>
      </c>
      <c r="I18" s="191">
        <f>E18</f>
        <v>0.0</v>
      </c>
    </row>
    <row r="19">
      <c r="A19" s="188" t="inlineStr">
        <is>
          <t>Cl₂</t>
        </is>
      </c>
      <c r="B19" s="189">
        <f>C19/C$36</f>
        <v>0.0</v>
      </c>
      <c r="C19" s="190">
        <f>E19*'Data Komponen'!$D$7</f>
        <v>0.0</v>
      </c>
      <c r="D19" s="189">
        <f>E19/E$36</f>
        <v>0.0</v>
      </c>
      <c r="E19" s="191">
        <f>'NME-5 Kolom Berat'!I21</f>
        <v>0.0</v>
      </c>
      <c r="F19" s="189">
        <f>G19/G$36</f>
        <v>0.0029554386444104208</v>
      </c>
      <c r="G19" s="190">
        <f>I19*'Data Komponen'!$D$7</f>
        <v>219.45229882203654</v>
      </c>
      <c r="H19" s="189">
        <f>I19/I$36</f>
        <v>0.0026751562365353756</v>
      </c>
      <c r="I19" s="191">
        <f>E19+(1-$B$7)/2*$B$6*E29</f>
        <v>3.095018670362267</v>
      </c>
    </row>
    <row r="20">
      <c r="A20" s="188" t="inlineStr">
        <is>
          <t>CₙHₘ</t>
        </is>
      </c>
      <c r="B20" s="189">
        <f>C20/C$36</f>
        <v>0.0</v>
      </c>
      <c r="C20" s="190">
        <f>E20*'Data Komponen'!$D$8</f>
        <v>0.0</v>
      </c>
      <c r="D20" s="189">
        <f>E20/E$36</f>
        <v>0.0</v>
      </c>
      <c r="E20" s="191">
        <f>'NME-5 Kolom Berat'!I22</f>
        <v>0.0</v>
      </c>
      <c r="F20" s="189">
        <f>G20/G$36</f>
        <v>0.0</v>
      </c>
      <c r="G20" s="190">
        <f>I20*'Data Komponen'!$D$8</f>
        <v>0.0</v>
      </c>
      <c r="H20" s="189">
        <f>I20/I$36</f>
        <v>0.0</v>
      </c>
      <c r="I20" s="191">
        <f>E20</f>
        <v>0.0</v>
      </c>
    </row>
    <row r="21">
      <c r="A21" s="188" t="inlineStr">
        <is>
          <t>H₂O</t>
        </is>
      </c>
      <c r="B21" s="189">
        <f>C21/C$36</f>
        <v>3.520721366887499e-05</v>
      </c>
      <c r="C21" s="190">
        <f>E21*'Data Komponen'!$D$9</f>
        <v>2.614266409950987</v>
      </c>
      <c r="D21" s="189">
        <f>E21/E$36</f>
        <v>0.00019336704135758156</v>
      </c>
      <c r="E21" s="191">
        <f>'NME-5 Kolom Berat'!I23</f>
        <v>0.14511609269780668</v>
      </c>
      <c r="F21" s="189">
        <f>G21/G$36</f>
        <v>3.520721366887499e-05</v>
      </c>
      <c r="G21" s="190">
        <f>I21*'Data Komponen'!$D$9</f>
        <v>2.614266409950987</v>
      </c>
      <c r="H21" s="189">
        <f>I21/I$36</f>
        <v>0.00012543000923375498</v>
      </c>
      <c r="I21" s="191">
        <f>E21</f>
        <v>0.14511609269780668</v>
      </c>
    </row>
    <row r="22">
      <c r="A22" s="188" t="inlineStr">
        <is>
          <t>CₓHᵧCl</t>
        </is>
      </c>
      <c r="B22" s="189">
        <f>C22/C$36</f>
        <v>0.0</v>
      </c>
      <c r="C22" s="190">
        <f>E22*'Data Komponen'!$D$10</f>
        <v>0.0</v>
      </c>
      <c r="D22" s="189">
        <f>E22/E$36</f>
        <v>0.0</v>
      </c>
      <c r="E22" s="191">
        <f>'NME-5 Kolom Berat'!I24</f>
        <v>0.0</v>
      </c>
      <c r="F22" s="189">
        <f>G22/G$36</f>
        <v>0.0</v>
      </c>
      <c r="G22" s="190">
        <f>I22*'Data Komponen'!$D$10</f>
        <v>0.0</v>
      </c>
      <c r="H22" s="189">
        <f>I22/I$36</f>
        <v>0.0</v>
      </c>
      <c r="I22" s="191">
        <f>E22</f>
        <v>0.0</v>
      </c>
    </row>
    <row r="23">
      <c r="A23" s="188" t="inlineStr">
        <is>
          <t>Br₂</t>
        </is>
      </c>
      <c r="B23" s="189">
        <f>C23/C$36</f>
        <v>0.0</v>
      </c>
      <c r="C23" s="190">
        <f>E23*'Data Komponen'!$D$11</f>
        <v>0.0</v>
      </c>
      <c r="D23" s="189">
        <f>E23/E$36</f>
        <v>0.0</v>
      </c>
      <c r="E23" s="191">
        <f>'NME-5 Kolom Berat'!I25</f>
        <v>0.0</v>
      </c>
      <c r="F23" s="189">
        <f>G23/G$36</f>
        <v>0.0</v>
      </c>
      <c r="G23" s="190">
        <f>I23*'Data Komponen'!$D$11</f>
        <v>0.0</v>
      </c>
      <c r="H23" s="189">
        <f>I23/I$36</f>
        <v>0.0</v>
      </c>
      <c r="I23" s="191">
        <f>E23</f>
        <v>0.0</v>
      </c>
    </row>
    <row r="24">
      <c r="A24" s="188" t="inlineStr">
        <is>
          <t>NCl₃</t>
        </is>
      </c>
      <c r="B24" s="189">
        <f>C24/C$36</f>
        <v>0.0</v>
      </c>
      <c r="C24" s="190">
        <f>E24*'Data Komponen'!$D$12</f>
        <v>0.0</v>
      </c>
      <c r="D24" s="189">
        <f>E24/E$36</f>
        <v>0.0</v>
      </c>
      <c r="E24" s="191">
        <f>'NME-5 Kolom Berat'!I26</f>
        <v>0.0</v>
      </c>
      <c r="F24" s="189">
        <f>G24/G$36</f>
        <v>0.0</v>
      </c>
      <c r="G24" s="190">
        <f>I24*'Data Komponen'!$D$12</f>
        <v>0.0</v>
      </c>
      <c r="H24" s="189">
        <f>I24/I$36</f>
        <v>0.0</v>
      </c>
      <c r="I24" s="191">
        <f>E24</f>
        <v>0.0</v>
      </c>
    </row>
    <row r="25">
      <c r="A25" s="188" t="inlineStr">
        <is>
          <t>H₂</t>
        </is>
      </c>
      <c r="B25" s="189">
        <f>C25/C$36</f>
        <v>0.0</v>
      </c>
      <c r="C25" s="190">
        <f>E25*'Data Komponen'!$D$13</f>
        <v>0.0</v>
      </c>
      <c r="D25" s="189">
        <f>E25/E$36</f>
        <v>0.0</v>
      </c>
      <c r="E25" s="191">
        <f>'NME-5 Kolom Berat'!I27</f>
        <v>0.0</v>
      </c>
      <c r="F25" s="189">
        <f>G25/G$36</f>
        <v>0.0</v>
      </c>
      <c r="G25" s="190">
        <f>I25*'Data Komponen'!$D$13</f>
        <v>0.0</v>
      </c>
      <c r="H25" s="189">
        <f>I25/I$36</f>
        <v>0.0</v>
      </c>
      <c r="I25" s="191">
        <f>E25</f>
        <v>0.0</v>
      </c>
    </row>
    <row r="26">
      <c r="A26" s="188" t="inlineStr">
        <is>
          <t>O₂</t>
        </is>
      </c>
      <c r="B26" s="189">
        <f>C26/C$36</f>
        <v>0.0</v>
      </c>
      <c r="C26" s="190">
        <f>E26*'Data Komponen'!$D$14</f>
        <v>0.0</v>
      </c>
      <c r="D26" s="189">
        <f>E26/E$36</f>
        <v>0.0</v>
      </c>
      <c r="E26" s="191">
        <f>'NME-5 Kolom Berat'!I28</f>
        <v>0.0</v>
      </c>
      <c r="F26" s="189">
        <f>G26/G$36</f>
        <v>0.0</v>
      </c>
      <c r="G26" s="190">
        <f>I26*'Data Komponen'!$D$14</f>
        <v>0.0</v>
      </c>
      <c r="H26" s="189">
        <f>I26/I$36</f>
        <v>0.0</v>
      </c>
      <c r="I26" s="191">
        <f>E26</f>
        <v>0.0</v>
      </c>
    </row>
    <row r="27">
      <c r="A27" s="188" t="inlineStr">
        <is>
          <t>N₂</t>
        </is>
      </c>
      <c r="B27" s="189">
        <f>C27/C$36</f>
        <v>0.0</v>
      </c>
      <c r="C27" s="190">
        <f>E27*'Data Komponen'!$D$15</f>
        <v>0.0</v>
      </c>
      <c r="D27" s="189">
        <f>E27/E$36</f>
        <v>0.0</v>
      </c>
      <c r="E27" s="191">
        <f>'NME-5 Kolom Berat'!I29</f>
        <v>0.0</v>
      </c>
      <c r="F27" s="189">
        <f>G27/G$36</f>
        <v>0.0</v>
      </c>
      <c r="G27" s="190">
        <f>I27*'Data Komponen'!$D$15</f>
        <v>0.0</v>
      </c>
      <c r="H27" s="189">
        <f>I27/I$36</f>
        <v>0.0</v>
      </c>
      <c r="I27" s="191">
        <f>E27</f>
        <v>0.0</v>
      </c>
    </row>
    <row r="28">
      <c r="A28" s="188" t="inlineStr">
        <is>
          <t>CO₂</t>
        </is>
      </c>
      <c r="B28" s="189">
        <f>C28/C$36</f>
        <v>0.0</v>
      </c>
      <c r="C28" s="190">
        <f>E28*'Data Komponen'!$D$16</f>
        <v>0.0</v>
      </c>
      <c r="D28" s="189">
        <f>E28/E$36</f>
        <v>0.0</v>
      </c>
      <c r="E28" s="191">
        <f>'NME-5 Kolom Berat'!I30</f>
        <v>0.0</v>
      </c>
      <c r="F28" s="189">
        <f>G28/G$36</f>
        <v>0.0</v>
      </c>
      <c r="G28" s="190">
        <f>I28*'Data Komponen'!$D$16</f>
        <v>0.0</v>
      </c>
      <c r="H28" s="189">
        <f>I28/I$36</f>
        <v>0.0</v>
      </c>
      <c r="I28" s="191">
        <f>E28</f>
        <v>0.0</v>
      </c>
    </row>
    <row r="29">
      <c r="A29" s="188" t="inlineStr">
        <is>
          <t>EDC</t>
        </is>
      </c>
      <c r="B29" s="189">
        <f>C29/C$36</f>
        <v>0.9999457329793193</v>
      </c>
      <c r="C29" s="190">
        <f>E29*'Data Komponen'!$D$17</f>
        <v>74249.68547887889</v>
      </c>
      <c r="D29" s="189">
        <f>E29/E$36</f>
        <v>0.9997840322326019</v>
      </c>
      <c r="E29" s="191">
        <f>'NME-5 Kolom Berat'!I31</f>
        <v>750.3075564514485</v>
      </c>
      <c r="F29" s="189">
        <f>G29/G$36</f>
        <v>0.44997557984069364</v>
      </c>
      <c r="G29" s="190">
        <f>I29*'Data Komponen'!$D$17</f>
        <v>33412.3584654955</v>
      </c>
      <c r="H29" s="189">
        <f>I29/I$36</f>
        <v>0.2918352258038551</v>
      </c>
      <c r="I29" s="191">
        <f>E29*(1-$B$6)</f>
        <v>337.63840040315176</v>
      </c>
    </row>
    <row r="30">
      <c r="A30" s="188" t="inlineStr">
        <is>
          <t>TCE</t>
        </is>
      </c>
      <c r="B30" s="189">
        <f>C30/C$36</f>
        <v>9.000603106538252e-06</v>
      </c>
      <c r="C30" s="190">
        <f>E30*'Data Komponen'!$D$18</f>
        <v>0.6683282179619111</v>
      </c>
      <c r="D30" s="189">
        <f>E30/E$36</f>
        <v>6.67561186521414e-06</v>
      </c>
      <c r="E30" s="191">
        <f>'NME-5 Kolom Berat'!I32</f>
        <v>0.005009843991228917</v>
      </c>
      <c r="F30" s="189">
        <f>G30/G$36</f>
        <v>9.000603106538252e-06</v>
      </c>
      <c r="G30" s="190">
        <f>I30*'Data Komponen'!$D$18</f>
        <v>0.6683282179619111</v>
      </c>
      <c r="H30" s="189">
        <f>I30/I$36</f>
        <v>4.330221179453052e-06</v>
      </c>
      <c r="I30" s="191">
        <f>E30</f>
        <v>0.005009843991228917</v>
      </c>
    </row>
    <row r="31">
      <c r="A31" s="188" t="inlineStr">
        <is>
          <t>HCl</t>
        </is>
      </c>
      <c r="B31" s="189">
        <f>C31/C$36</f>
        <v>0.0</v>
      </c>
      <c r="C31" s="190">
        <f>E31*'Data Komponen'!$D$19</f>
        <v>0.0</v>
      </c>
      <c r="D31" s="189">
        <f>E31/E$36</f>
        <v>0.0</v>
      </c>
      <c r="E31" s="191">
        <f>'NME-5 Kolom Berat'!I33</f>
        <v>0.0</v>
      </c>
      <c r="F31" s="189">
        <f>G31/G$36</f>
        <v>0.19959452730205052</v>
      </c>
      <c r="G31" s="190">
        <f>I31*'Data Komponen'!$D$19</f>
        <v>14820.63514719679</v>
      </c>
      <c r="H31" s="189">
        <f>I31/I$36</f>
        <v>0.35133718573164124</v>
      </c>
      <c r="I31" s="191">
        <f>E31+$B$7*$B$6*E29</f>
        <v>406.47911870757224</v>
      </c>
    </row>
    <row r="32">
      <c r="A32" s="188" t="inlineStr">
        <is>
          <t>FeCl₃</t>
        </is>
      </c>
      <c r="B32" s="189">
        <f>C32/C$36</f>
        <v>0.0</v>
      </c>
      <c r="C32" s="190">
        <f>E32*'Data Komponen'!$D$20</f>
        <v>0.0</v>
      </c>
      <c r="D32" s="189">
        <f>E32/E$36</f>
        <v>0.0</v>
      </c>
      <c r="E32" s="191">
        <f>'NME-5 Kolom Berat'!I34</f>
        <v>0.0</v>
      </c>
      <c r="F32" s="189">
        <f>G32/G$36</f>
        <v>0.0</v>
      </c>
      <c r="G32" s="190">
        <f>I32*'Data Komponen'!$D$20</f>
        <v>0.0</v>
      </c>
      <c r="H32" s="189">
        <f>I32/I$36</f>
        <v>0.0</v>
      </c>
      <c r="I32" s="191">
        <f>E32</f>
        <v>0.0</v>
      </c>
    </row>
    <row r="33">
      <c r="A33" s="188" t="inlineStr">
        <is>
          <t>C₂H₅Cl</t>
        </is>
      </c>
      <c r="B33" s="189">
        <f>C33/C$36</f>
        <v>0.0</v>
      </c>
      <c r="C33" s="190">
        <f>E33*'Data Komponen'!$D$21</f>
        <v>0.0</v>
      </c>
      <c r="D33" s="189">
        <f>E33/E$36</f>
        <v>0.0</v>
      </c>
      <c r="E33" s="191">
        <f>'NME-5 Kolom Berat'!I35</f>
        <v>0.0</v>
      </c>
      <c r="F33" s="189">
        <f>G33/G$36</f>
        <v>0.0</v>
      </c>
      <c r="G33" s="190">
        <f>I33*'Data Komponen'!$D$21</f>
        <v>0.0</v>
      </c>
      <c r="H33" s="189">
        <f>I33/I$36</f>
        <v>0.0</v>
      </c>
      <c r="I33" s="191">
        <f>E33</f>
        <v>0.0</v>
      </c>
    </row>
    <row r="34">
      <c r="A34" s="188" t="inlineStr">
        <is>
          <t>VCM</t>
        </is>
      </c>
      <c r="B34" s="189">
        <f>C34/C$36</f>
        <v>1.0059203905392647e-05</v>
      </c>
      <c r="C34" s="190">
        <f>E34*'Data Komponen'!$D$22</f>
        <v>0.746933259985981</v>
      </c>
      <c r="D34" s="189">
        <f>E34/E$36</f>
        <v>1.592511417534166e-05</v>
      </c>
      <c r="E34" s="191">
        <f>'NME-5 Kolom Berat'!I36</f>
        <v>0.011951314601842957</v>
      </c>
      <c r="F34" s="189">
        <f>G34/G$36</f>
        <v>0.3421361327434011</v>
      </c>
      <c r="G34" s="190">
        <f>I34*'Data Komponen'!$D$22</f>
        <v>25404.878894245834</v>
      </c>
      <c r="H34" s="189">
        <f>I34/I$36</f>
        <v>0.3513475157610198</v>
      </c>
      <c r="I34" s="191">
        <f>E34+$B$7*$B$6*E29</f>
        <v>406.4910700221741</v>
      </c>
    </row>
    <row r="35">
      <c r="A35" s="188" t="inlineStr">
        <is>
          <t>C₄H₈Cl₂ (berat)</t>
        </is>
      </c>
      <c r="B35" s="189">
        <f>C35/C$36</f>
        <v>0.0</v>
      </c>
      <c r="C35" s="190">
        <f>E35*'Data Komponen'!$D$23</f>
        <v>0.0</v>
      </c>
      <c r="D35" s="189">
        <f>E35/E$36</f>
        <v>0.0</v>
      </c>
      <c r="E35" s="191">
        <f>'NME-5 Kolom Berat'!I37</f>
        <v>0.0</v>
      </c>
      <c r="F35" s="189">
        <f>G35/G$36</f>
        <v>0.005294113652669008</v>
      </c>
      <c r="G35" s="190">
        <f>I35*'Data Komponen'!$D$23</f>
        <v>393.1076063787176</v>
      </c>
      <c r="H35" s="189">
        <f>I35/I$36</f>
        <v>0.0026751562365353414</v>
      </c>
      <c r="I35" s="191">
        <f>E35+(1-$B$7)/2*$B$6*E29</f>
        <v>3.0950186703622276</v>
      </c>
    </row>
    <row r="36">
      <c r="A36" s="182" t="inlineStr">
        <is>
          <t>Sub Total</t>
        </is>
      </c>
      <c r="B36" s="189">
        <f>SUM(B15:B35)</f>
        <v>1.0</v>
      </c>
      <c r="C36" s="190">
        <f>SUM(C15:C35)</f>
        <v>74253.71500676678</v>
      </c>
      <c r="D36" s="189">
        <f>SUM(D15:D35)</f>
        <v>1.0</v>
      </c>
      <c r="E36" s="191">
        <f>SUM(E15:E35)</f>
        <v>750.4696337027393</v>
      </c>
      <c r="F36" s="189">
        <f>SUM(F15:F35)</f>
        <v>1.0</v>
      </c>
      <c r="G36" s="190">
        <f>SUM(G15:G35)</f>
        <v>74253.71500676678</v>
      </c>
      <c r="H36" s="189">
        <f>SUM(H15:H35)</f>
        <v>1.0</v>
      </c>
      <c r="I36" s="191">
        <f>SUM(I15:I35)</f>
        <v>1156.9487524103115</v>
      </c>
    </row>
    <row r="37">
      <c r="A37" s="182" t="inlineStr">
        <is>
          <t>TOTAL MASSA</t>
        </is>
      </c>
      <c r="B37" s="190">
        <f>C36</f>
        <v>74253.71500676678</v>
      </c>
      <c r="C37" s="183" t="n"/>
      <c r="D37" s="183" t="n"/>
      <c r="E37" s="184" t="n"/>
      <c r="F37" s="190">
        <f>G36</f>
        <v>74253.71500676678</v>
      </c>
      <c r="G37" s="183" t="n"/>
      <c r="H37" s="183" t="n"/>
      <c r="I37" s="184" t="n"/>
    </row>
    <row r="38">
      <c r="A38" s="182" t="inlineStr">
        <is>
          <t>Selisih (Inlet − Outlet), kg/h</t>
        </is>
      </c>
      <c r="B38" s="190">
        <f>B37-F37</f>
        <v>0.0</v>
      </c>
      <c r="C38" s="183" t="n"/>
      <c r="D38" s="183" t="n"/>
      <c r="E38" s="183" t="n"/>
      <c r="F38" s="183" t="n"/>
      <c r="G38" s="183" t="n"/>
      <c r="H38" s="183" t="n"/>
      <c r="I38" s="184" t="n"/>
    </row>
    <row r="41">
      <c r="A41" s="172" t="inlineStr">
        <is>
          <t>Neraca Energi P-104: Pompa umpan furnace</t>
        </is>
      </c>
    </row>
    <row r="42">
      <c r="A42" s="174" t="inlineStr">
        <is>
          <t>Reference state: unsur pada 25 °C dan 1 atm (metode panas pembentukan)</t>
        </is>
      </c>
    </row>
    <row r="43">
      <c r="A43" s="182" t="inlineStr">
        <is>
          <t>No. aliran PFD</t>
        </is>
      </c>
      <c r="B43" s="182" t="n">
        <v>36</v>
      </c>
      <c r="C43" s="184" t="n"/>
      <c r="D43" s="182" t="n">
        <v>37</v>
      </c>
      <c r="E43" s="184" t="n"/>
    </row>
    <row r="44">
      <c r="A44" s="182" t="inlineStr">
        <is>
          <t>Dari</t>
        </is>
      </c>
      <c r="B44" s="192" t="inlineStr">
        <is>
          <t>KD-102</t>
        </is>
      </c>
      <c r="C44" s="184" t="n"/>
      <c r="D44" s="192" t="inlineStr">
        <is>
          <t>P-104</t>
        </is>
      </c>
      <c r="E44" s="184" t="n"/>
    </row>
    <row r="45">
      <c r="A45" s="182" t="inlineStr">
        <is>
          <t>Ke</t>
        </is>
      </c>
      <c r="B45" s="192" t="inlineStr">
        <is>
          <t>P-104</t>
        </is>
      </c>
      <c r="C45" s="184" t="n"/>
      <c r="D45" s="192" t="inlineStr">
        <is>
          <t>E-107</t>
        </is>
      </c>
      <c r="E45" s="184" t="n"/>
    </row>
    <row r="46">
      <c r="A46" s="182" t="inlineStr">
        <is>
          <t>T (K)</t>
        </is>
      </c>
      <c r="B46" s="193">
        <f>'NME-5 Kolom Berat'!$F$75</f>
        <v>391.15</v>
      </c>
      <c r="C46" s="184" t="n"/>
      <c r="D46" s="193">
        <f>IFERROR(IF(D46&lt;100,$B$46,D46+(B60-D56)/(SUM(D52:D55)*('Data Termo'!$J$20+'Data Termo'!$K$20*D46+'Data Termo'!$L$20*D46^2+'Data Termo'!$M$20*D46^3))),$B$46)</f>
        <v>392.3474957898117</v>
      </c>
      <c r="E46" s="184" t="n"/>
    </row>
    <row r="47">
      <c r="A47" s="182" t="inlineStr">
        <is>
          <t>T (°C)</t>
        </is>
      </c>
      <c r="B47" s="193">
        <f>'NME-5 Kolom Berat'!$F$76</f>
        <v>118.0</v>
      </c>
      <c r="C47" s="184" t="n"/>
      <c r="D47" s="193">
        <f>IF(ISNUMBER(D46),D46-273.15,"-")</f>
        <v>119.19749578981174</v>
      </c>
      <c r="E47" s="184" t="n"/>
    </row>
    <row r="48">
      <c r="A48" s="182" t="inlineStr">
        <is>
          <t>P (bar abs)</t>
        </is>
      </c>
      <c r="B48" s="194">
        <f>'NME-5 Kolom Berat'!$F$77</f>
        <v>2.5</v>
      </c>
      <c r="C48" s="184" t="n"/>
      <c r="D48" s="194" t="n">
        <v>17</v>
      </c>
      <c r="E48" s="184" t="n"/>
    </row>
    <row r="49">
      <c r="A49" s="182" t="inlineStr">
        <is>
          <t>Substance</t>
        </is>
      </c>
      <c r="B49" s="182" t="inlineStr">
        <is>
          <t>INLET</t>
        </is>
      </c>
      <c r="C49" s="184" t="n"/>
      <c r="D49" s="182" t="inlineStr">
        <is>
          <t>OUTLET</t>
        </is>
      </c>
      <c r="E49" s="184" t="n"/>
    </row>
    <row r="50">
      <c r="A50" s="185" t="n"/>
      <c r="B50" s="182" t="inlineStr">
        <is>
          <t>Aliran 36</t>
        </is>
      </c>
      <c r="C50" s="184" t="n"/>
      <c r="D50" s="182" t="inlineStr">
        <is>
          <t>Aliran 37</t>
        </is>
      </c>
      <c r="E50" s="184" t="n"/>
    </row>
    <row r="51">
      <c r="A51" s="186" t="n"/>
      <c r="B51" s="182" t="inlineStr">
        <is>
          <t>ṅᵢ (kmol/h)</t>
        </is>
      </c>
      <c r="C51" s="182" t="inlineStr">
        <is>
          <t>Ĥᵢ (kJ/kmol)</t>
        </is>
      </c>
      <c r="D51" s="182" t="inlineStr">
        <is>
          <t>ṅᵢ (kmol/h)</t>
        </is>
      </c>
      <c r="E51" s="182" t="inlineStr">
        <is>
          <t>Ĥᵢ (kJ/kmol)</t>
        </is>
      </c>
    </row>
    <row r="52">
      <c r="A52" s="188" t="inlineStr">
        <is>
          <t>H₂O (l)</t>
        </is>
      </c>
      <c r="B52" s="191">
        <f>'NME-5 Kolom Berat'!I23</f>
        <v>0.14511609269780668</v>
      </c>
      <c r="C52" s="195">
        <f>'Data Termo'!$X$12+('Data Termo'!$J$12*($B$46-298.15)+'Data Termo'!$K$12/2*($B$46^2-298.15^2)+'Data Termo'!$L$12/3*($B$46^3-298.15^3)+'Data Termo'!$M$12/4*($B$46^4-298.15^4))</f>
        <v>-277485.2233708319</v>
      </c>
      <c r="D52" s="191">
        <f>'NME-5 Kolom Berat'!I23</f>
        <v>0.14511609269780668</v>
      </c>
      <c r="E52" s="195">
        <f>'Data Termo'!$X$12+('Data Termo'!$J$12*($D$46-298.15)+'Data Termo'!$K$12/2*($D$46^2-298.15^2)+'Data Termo'!$L$12/3*($D$46^3-298.15^3)+'Data Termo'!$M$12/4*($D$46^4-298.15^4))</f>
        <v>-277394.0206498378</v>
      </c>
    </row>
    <row r="53">
      <c r="A53" s="188" t="inlineStr">
        <is>
          <t>EDC (l)</t>
        </is>
      </c>
      <c r="B53" s="191">
        <f>'NME-5 Kolom Berat'!I31</f>
        <v>750.3075564514485</v>
      </c>
      <c r="C53" s="195">
        <f>'Data Termo'!$X$20+('Data Termo'!$J$20*($B$46-298.15)+'Data Termo'!$K$20/2*($B$46^2-298.15^2)+'Data Termo'!$L$20/3*($B$46^3-298.15^3)+'Data Termo'!$M$20/4*($B$46^4-298.15^4))</f>
        <v>-152076.14125580457</v>
      </c>
      <c r="D53" s="191">
        <f>'NME-5 Kolom Berat'!I31</f>
        <v>750.3075564514485</v>
      </c>
      <c r="E53" s="195">
        <f>'Data Termo'!$X$20+('Data Termo'!$J$20*($D$46-298.15)+'Data Termo'!$K$20/2*($D$46^2-298.15^2)+'Data Termo'!$L$20/3*($D$46^3-298.15^3)+'Data Termo'!$M$20/4*($D$46^4-298.15^4))</f>
        <v>-151902.12953226038</v>
      </c>
    </row>
    <row r="54">
      <c r="A54" s="188" t="inlineStr">
        <is>
          <t>TCE (l)</t>
        </is>
      </c>
      <c r="B54" s="191">
        <f>'NME-5 Kolom Berat'!I32</f>
        <v>0.005009843991228917</v>
      </c>
      <c r="C54" s="195">
        <f>'Data Termo'!$X$21+('Data Termo'!$J$21*($B$46-298.15)+'Data Termo'!$K$21/2*($B$46^2-298.15^2)+'Data Termo'!$L$21/3*($B$46^3-298.15^3)+'Data Termo'!$M$21/4*($B$46^4-298.15^4))</f>
        <v>-161956.64688752906</v>
      </c>
      <c r="D54" s="191">
        <f>'NME-5 Kolom Berat'!I32</f>
        <v>0.005009843991228917</v>
      </c>
      <c r="E54" s="195">
        <f>'Data Termo'!$X$21+('Data Termo'!$J$21*($D$46-298.15)+'Data Termo'!$K$21/2*($D$46^2-298.15^2)+'Data Termo'!$L$21/3*($D$46^3-298.15^3)+'Data Termo'!$M$21/4*($D$46^4-298.15^4))</f>
        <v>-161753.6586892659</v>
      </c>
    </row>
    <row r="55">
      <c r="A55" s="188" t="inlineStr">
        <is>
          <t>VCM (l)</t>
        </is>
      </c>
      <c r="B55" s="191">
        <f>'NME-5 Kolom Berat'!I36</f>
        <v>0.011951314601842957</v>
      </c>
      <c r="C55" s="195">
        <f>'Data Termo'!$X$25+('Data Termo'!$J$25*($B$46-298.15)+'Data Termo'!$K$25/2*($B$46^2-298.15^2)+'Data Termo'!$L$25/3*($B$46^3-298.15^3)+'Data Termo'!$M$25/4*($B$46^4-298.15^4))</f>
        <v>17258.340754963727</v>
      </c>
      <c r="D55" s="191">
        <f>'NME-5 Kolom Berat'!I36</f>
        <v>0.011951314601842957</v>
      </c>
      <c r="E55" s="195">
        <f>'Data Termo'!$X$25+('Data Termo'!$J$25*($D$46-298.15)+'Data Termo'!$K$25/2*($D$46^2-298.15^2)+'Data Termo'!$L$25/3*($D$46^3-298.15^3)+'Data Termo'!$M$25/4*($D$46^4-298.15^4))</f>
        <v>17391.515436378402</v>
      </c>
    </row>
    <row r="56">
      <c r="A56" s="196" t="inlineStr">
        <is>
          <t>Sub Total ṅᵢĤᵢ (kJ/h)</t>
        </is>
      </c>
      <c r="B56" s="197">
        <f>SUMPRODUCT(B52:B55,C52:C55)</f>
        <v>-114144750.62927938</v>
      </c>
      <c r="C56" s="184" t="n"/>
      <c r="D56" s="197">
        <f>SUMPRODUCT(D52:D55,E52:E55)</f>
        <v>-114014172.4746588</v>
      </c>
      <c r="E56" s="184" t="n"/>
    </row>
    <row r="57">
      <c r="A57" s="188" t="inlineStr">
        <is>
          <t>Heat of reaction / heat of mixing</t>
        </is>
      </c>
      <c r="B57" s="198" t="inlineStr">
        <is>
          <t>-</t>
        </is>
      </c>
      <c r="C57" s="183" t="n"/>
      <c r="D57" s="183" t="n"/>
      <c r="E57" s="184" t="n"/>
    </row>
    <row r="58">
      <c r="A58" s="196" t="inlineStr">
        <is>
          <t>Q (kJ/h)</t>
        </is>
      </c>
      <c r="B58" s="197" t="n">
        <v>0</v>
      </c>
      <c r="C58" s="183" t="n"/>
      <c r="D58" s="183" t="n"/>
      <c r="E58" s="184" t="n"/>
    </row>
    <row r="59">
      <c r="A59" s="196" t="inlineStr">
        <is>
          <t>W (kJ/h)</t>
        </is>
      </c>
      <c r="B59" s="197">
        <f>'NME-5 Kolom Berat'!G38/(1000*'Data Termo'!$D$33*'Data Termo'!$D$34^(-((1-$B$46/'Data Termo'!$D$36)^'Data Termo'!$D$35)))*MAX(0,($D$48-$B$48)*100)/$B$8</f>
        <v>130578.15462055644</v>
      </c>
      <c r="C59" s="183" t="n"/>
      <c r="D59" s="183" t="n"/>
      <c r="E59" s="184" t="n"/>
    </row>
    <row r="60">
      <c r="A60" s="196" t="inlineStr">
        <is>
          <t>TOTAL (kJ/h)</t>
        </is>
      </c>
      <c r="B60" s="197">
        <f>B56+$B$58+$B$59</f>
        <v>-114014172.47465882</v>
      </c>
      <c r="C60" s="184" t="n"/>
      <c r="D60" s="197">
        <f>D56</f>
        <v>-114014172.4746588</v>
      </c>
      <c r="E60" s="184" t="n"/>
    </row>
    <row r="61">
      <c r="A61" s="188" t="inlineStr">
        <is>
          <t>Selisih masuk − keluar (kJ/h)</t>
        </is>
      </c>
      <c r="B61" s="195">
        <f>B60-D60</f>
        <v>-1.4901161193847656e-08</v>
      </c>
      <c r="C61" s="183" t="n"/>
      <c r="D61" s="183" t="n"/>
      <c r="E61" s="184" t="n"/>
    </row>
    <row r="62">
      <c r="A62" s="188" t="inlineStr">
        <is>
          <t>Q (kW)</t>
        </is>
      </c>
      <c r="B62" s="195">
        <f>$B$58/3600</f>
        <v>0.0</v>
      </c>
      <c r="C62" s="183" t="n"/>
      <c r="D62" s="183" t="n"/>
      <c r="E62" s="184" t="n"/>
    </row>
    <row r="63">
      <c r="A63" s="188" t="inlineStr">
        <is>
          <t>W (kW)</t>
        </is>
      </c>
      <c r="B63" s="195">
        <f>$B$59/3600</f>
        <v>36.271709616821234</v>
      </c>
      <c r="C63" s="183" t="n"/>
      <c r="D63" s="183" t="n"/>
      <c r="E63" s="184" t="n"/>
    </row>
    <row r="66">
      <c r="A66" s="172" t="inlineStr">
        <is>
          <t>Neraca Energi E-107: Economizer umpan furnace</t>
        </is>
      </c>
    </row>
    <row r="67">
      <c r="A67" s="174" t="inlineStr">
        <is>
          <t>Reference state: unsur pada 25 °C dan 1 atm (metode panas pembentukan)</t>
        </is>
      </c>
    </row>
    <row r="68">
      <c r="A68" s="182" t="inlineStr">
        <is>
          <t>No. aliran PFD</t>
        </is>
      </c>
      <c r="B68" s="182" t="n">
        <v>37</v>
      </c>
      <c r="C68" s="184" t="n"/>
      <c r="D68" s="182" t="n">
        <v>38</v>
      </c>
      <c r="E68" s="184" t="n"/>
    </row>
    <row r="69">
      <c r="A69" s="182" t="inlineStr">
        <is>
          <t>Dari</t>
        </is>
      </c>
      <c r="B69" s="192" t="inlineStr">
        <is>
          <t>P-104</t>
        </is>
      </c>
      <c r="C69" s="184" t="n"/>
      <c r="D69" s="192" t="inlineStr">
        <is>
          <t>E-107</t>
        </is>
      </c>
      <c r="E69" s="184" t="n"/>
    </row>
    <row r="70">
      <c r="A70" s="182" t="inlineStr">
        <is>
          <t>Ke</t>
        </is>
      </c>
      <c r="B70" s="192" t="inlineStr">
        <is>
          <t>E-107</t>
        </is>
      </c>
      <c r="C70" s="184" t="n"/>
      <c r="D70" s="192" t="inlineStr">
        <is>
          <t>F-101</t>
        </is>
      </c>
      <c r="E70" s="184" t="n"/>
    </row>
    <row r="71">
      <c r="A71" s="182" t="inlineStr">
        <is>
          <t>T (K)</t>
        </is>
      </c>
      <c r="B71" s="193">
        <f>$D$46</f>
        <v>392.3474957898117</v>
      </c>
      <c r="C71" s="184" t="n"/>
      <c r="D71" s="193">
        <f>D72+273.15</f>
        <v>463.15</v>
      </c>
      <c r="E71" s="184" t="n"/>
    </row>
    <row r="72">
      <c r="A72" s="182" t="inlineStr">
        <is>
          <t>T (°C)</t>
        </is>
      </c>
      <c r="B72" s="193">
        <f>$D$47</f>
        <v>119.19749578981174</v>
      </c>
      <c r="C72" s="184" t="n"/>
      <c r="D72" s="193" t="n">
        <v>190</v>
      </c>
      <c r="E72" s="184" t="n"/>
    </row>
    <row r="73">
      <c r="A73" s="182" t="inlineStr">
        <is>
          <t>P (bar abs)</t>
        </is>
      </c>
      <c r="B73" s="194">
        <f>$D$48</f>
        <v>17.0</v>
      </c>
      <c r="C73" s="184" t="n"/>
      <c r="D73" s="194" t="n">
        <v>17</v>
      </c>
      <c r="E73" s="184" t="n"/>
    </row>
    <row r="74">
      <c r="A74" s="182" t="inlineStr">
        <is>
          <t>Substance</t>
        </is>
      </c>
      <c r="B74" s="182" t="inlineStr">
        <is>
          <t>INLET</t>
        </is>
      </c>
      <c r="C74" s="184" t="n"/>
      <c r="D74" s="182" t="inlineStr">
        <is>
          <t>OUTLET</t>
        </is>
      </c>
      <c r="E74" s="184" t="n"/>
    </row>
    <row r="75">
      <c r="A75" s="185" t="n"/>
      <c r="B75" s="182" t="inlineStr">
        <is>
          <t>Aliran 37</t>
        </is>
      </c>
      <c r="C75" s="184" t="n"/>
      <c r="D75" s="182" t="inlineStr">
        <is>
          <t>Aliran 38</t>
        </is>
      </c>
      <c r="E75" s="184" t="n"/>
    </row>
    <row r="76">
      <c r="A76" s="186" t="n"/>
      <c r="B76" s="182" t="inlineStr">
        <is>
          <t>ṅᵢ (kmol/h)</t>
        </is>
      </c>
      <c r="C76" s="182" t="inlineStr">
        <is>
          <t>Ĥᵢ (kJ/kmol)</t>
        </is>
      </c>
      <c r="D76" s="182" t="inlineStr">
        <is>
          <t>ṅᵢ (kmol/h)</t>
        </is>
      </c>
      <c r="E76" s="182" t="inlineStr">
        <is>
          <t>Ĥᵢ (kJ/kmol)</t>
        </is>
      </c>
    </row>
    <row r="77">
      <c r="A77" s="188" t="inlineStr">
        <is>
          <t>H₂O (l)</t>
        </is>
      </c>
      <c r="B77" s="191">
        <f>'NME-5 Kolom Berat'!I23</f>
        <v>0.14511609269780668</v>
      </c>
      <c r="C77" s="195">
        <f>'Data Termo'!$X$12+('Data Termo'!$J$12*($B$71-298.15)+'Data Termo'!$K$12/2*($B$71^2-298.15^2)+'Data Termo'!$L$12/3*($B$71^3-298.15^3)+'Data Termo'!$M$12/4*($B$71^4-298.15^4))</f>
        <v>-277394.0206498378</v>
      </c>
      <c r="D77" s="191">
        <f>E21</f>
        <v>0.14511609269780668</v>
      </c>
      <c r="E77" s="195">
        <f>'Data Termo'!$X$12+('Data Termo'!$J$12*($D$71-298.15)+'Data Termo'!$K$12/2*($D$71^2-298.15^2)+'Data Termo'!$L$12/3*($D$71^3-298.15^3)+'Data Termo'!$M$12/4*($D$71^4-298.15^4))</f>
        <v>-271843.31195027474</v>
      </c>
    </row>
    <row r="78">
      <c r="A78" s="188" t="inlineStr">
        <is>
          <t>EDC (l)</t>
        </is>
      </c>
      <c r="B78" s="191">
        <f>'NME-5 Kolom Berat'!I31</f>
        <v>750.3075564514485</v>
      </c>
      <c r="C78" s="195">
        <f>'Data Termo'!$X$20+('Data Termo'!$J$20*($B$71-298.15)+'Data Termo'!$K$20/2*($B$71^2-298.15^2)+'Data Termo'!$L$20/3*($B$71^3-298.15^3)+'Data Termo'!$M$20/4*($B$71^4-298.15^4))</f>
        <v>-151902.12953226038</v>
      </c>
      <c r="D78" s="191">
        <f>E29</f>
        <v>750.3075564514485</v>
      </c>
      <c r="E78" s="195">
        <f>'Data Termo'!$X$20+('Data Termo'!$J$20*($D$71-298.15)+'Data Termo'!$K$20/2*($D$71^2-298.15^2)+'Data Termo'!$L$20/3*($D$71^3-298.15^3)+'Data Termo'!$M$20/4*($D$71^4-298.15^4))</f>
        <v>-140901.47192598548</v>
      </c>
    </row>
    <row r="79">
      <c r="A79" s="188" t="inlineStr">
        <is>
          <t>TCE (l)</t>
        </is>
      </c>
      <c r="B79" s="191">
        <f>'NME-5 Kolom Berat'!I32</f>
        <v>0.005009843991228917</v>
      </c>
      <c r="C79" s="195">
        <f>'Data Termo'!$X$21+('Data Termo'!$J$21*($B$71-298.15)+'Data Termo'!$K$21/2*($B$71^2-298.15^2)+'Data Termo'!$L$21/3*($B$71^3-298.15^3)+'Data Termo'!$M$21/4*($B$71^4-298.15^4))</f>
        <v>-161753.6586892659</v>
      </c>
      <c r="D79" s="191">
        <f>E30</f>
        <v>0.005009843991228917</v>
      </c>
      <c r="E79" s="195">
        <f>'Data Termo'!$X$21+('Data Termo'!$J$21*($D$71-298.15)+'Data Termo'!$K$21/2*($D$71^2-298.15^2)+'Data Termo'!$L$21/3*($D$71^3-298.15^3)+'Data Termo'!$M$21/4*($D$71^4-298.15^4))</f>
        <v>-149022.10219417748</v>
      </c>
    </row>
    <row r="80">
      <c r="A80" s="188" t="inlineStr">
        <is>
          <t>VCM (l)</t>
        </is>
      </c>
      <c r="B80" s="191">
        <f>'NME-5 Kolom Berat'!I36</f>
        <v>0.011951314601842957</v>
      </c>
      <c r="C80" s="195">
        <f>'Data Termo'!$X$25+('Data Termo'!$J$25*($B$71-298.15)+'Data Termo'!$K$25/2*($B$71^2-298.15^2)+'Data Termo'!$L$25/3*($B$71^3-298.15^3)+'Data Termo'!$M$25/4*($B$71^4-298.15^4))</f>
        <v>17391.515436378402</v>
      </c>
      <c r="D80" s="191">
        <f>E34</f>
        <v>0.011951314601842957</v>
      </c>
      <c r="E80" s="195">
        <f>'Data Termo'!$X$25+('Data Termo'!$J$25*($D$71-298.15)+'Data Termo'!$K$25/2*($D$71^2-298.15^2)+'Data Termo'!$L$25/3*($D$71^3-298.15^3)+'Data Termo'!$M$25/4*($D$71^4-298.15^4))</f>
        <v>26417.439563832515</v>
      </c>
    </row>
    <row r="81">
      <c r="A81" s="196" t="inlineStr">
        <is>
          <t>Sub Total ṅᵢĤᵢ (kJ/h)</t>
        </is>
      </c>
      <c r="B81" s="197">
        <f>SUMPRODUCT(B77:B80,C77:C80)</f>
        <v>-114014172.4746588</v>
      </c>
      <c r="C81" s="184" t="n"/>
      <c r="D81" s="197">
        <f>SUMPRODUCT(D77:D80,E77:E80)</f>
        <v>-105759318.79480681</v>
      </c>
      <c r="E81" s="184" t="n"/>
    </row>
    <row r="82">
      <c r="A82" s="188" t="inlineStr">
        <is>
          <t>Heat of reaction / heat of mixing</t>
        </is>
      </c>
      <c r="B82" s="198" t="inlineStr">
        <is>
          <t>-</t>
        </is>
      </c>
      <c r="C82" s="183" t="n"/>
      <c r="D82" s="183" t="n"/>
      <c r="E82" s="184" t="n"/>
    </row>
    <row r="83">
      <c r="A83" s="196" t="inlineStr">
        <is>
          <t>Q (kJ/h)</t>
        </is>
      </c>
      <c r="B83" s="197">
        <f>(D81)-(B81)</f>
        <v>8254853.679851994</v>
      </c>
      <c r="C83" s="183" t="n"/>
      <c r="D83" s="183" t="n"/>
      <c r="E83" s="184" t="n"/>
    </row>
    <row r="84">
      <c r="A84" s="196" t="inlineStr">
        <is>
          <t>W (kJ/h)</t>
        </is>
      </c>
      <c r="B84" s="197" t="n">
        <v>0</v>
      </c>
      <c r="C84" s="183" t="n"/>
      <c r="D84" s="183" t="n"/>
      <c r="E84" s="184" t="n"/>
    </row>
    <row r="85">
      <c r="A85" s="196" t="inlineStr">
        <is>
          <t>TOTAL (kJ/h)</t>
        </is>
      </c>
      <c r="B85" s="197">
        <f>B81+$B$83+$B$84</f>
        <v>-105759318.79480681</v>
      </c>
      <c r="C85" s="184" t="n"/>
      <c r="D85" s="197">
        <f>D81</f>
        <v>-105759318.79480681</v>
      </c>
      <c r="E85" s="184" t="n"/>
    </row>
    <row r="86">
      <c r="A86" s="188" t="inlineStr">
        <is>
          <t>Selisih masuk − keluar (kJ/h)</t>
        </is>
      </c>
      <c r="B86" s="195">
        <f>B85-D85</f>
        <v>0.0</v>
      </c>
      <c r="C86" s="183" t="n"/>
      <c r="D86" s="183" t="n"/>
      <c r="E86" s="184" t="n"/>
    </row>
    <row r="87">
      <c r="A87" s="188" t="inlineStr">
        <is>
          <t>Q (kW)</t>
        </is>
      </c>
      <c r="B87" s="195">
        <f>$B$83/3600</f>
        <v>2293.014911069998</v>
      </c>
      <c r="C87" s="183" t="n"/>
      <c r="D87" s="183" t="n"/>
      <c r="E87" s="184" t="n"/>
    </row>
    <row r="88">
      <c r="A88" s="188" t="inlineStr">
        <is>
          <t>W (kW)</t>
        </is>
      </c>
      <c r="B88" s="195">
        <f>$B$84/3600</f>
        <v>0.0</v>
      </c>
      <c r="C88" s="183" t="n"/>
      <c r="D88" s="183" t="n"/>
      <c r="E88" s="184" t="n"/>
    </row>
    <row r="91">
      <c r="A91" s="172" t="inlineStr">
        <is>
          <t>Neraca Energi F-101: Furnace pirolisis (penguapan, pemanasan, reaksi)</t>
        </is>
      </c>
    </row>
    <row r="92">
      <c r="A92" s="174" t="inlineStr">
        <is>
          <t>Reference state: unsur pada 25 °C dan 1 atm (metode panas pembentukan)</t>
        </is>
      </c>
    </row>
    <row r="93">
      <c r="A93" s="182" t="inlineStr">
        <is>
          <t>No. aliran PFD</t>
        </is>
      </c>
      <c r="B93" s="182" t="n">
        <v>38</v>
      </c>
      <c r="C93" s="184" t="n"/>
      <c r="D93" s="182" t="n">
        <v>39</v>
      </c>
      <c r="E93" s="184" t="n"/>
    </row>
    <row r="94">
      <c r="A94" s="182" t="inlineStr">
        <is>
          <t>Dari</t>
        </is>
      </c>
      <c r="B94" s="192" t="inlineStr">
        <is>
          <t>E-107</t>
        </is>
      </c>
      <c r="C94" s="184" t="n"/>
      <c r="D94" s="192" t="inlineStr">
        <is>
          <t>F-101</t>
        </is>
      </c>
      <c r="E94" s="184" t="n"/>
    </row>
    <row r="95">
      <c r="A95" s="182" t="inlineStr">
        <is>
          <t>Ke</t>
        </is>
      </c>
      <c r="B95" s="192" t="inlineStr">
        <is>
          <t>F-101</t>
        </is>
      </c>
      <c r="C95" s="184" t="n"/>
      <c r="D95" s="192" t="inlineStr">
        <is>
          <t>Q-101</t>
        </is>
      </c>
      <c r="E95" s="184" t="n"/>
    </row>
    <row r="96">
      <c r="A96" s="182" t="inlineStr">
        <is>
          <t>T (K)</t>
        </is>
      </c>
      <c r="B96" s="193">
        <f>$D$71</f>
        <v>463.15</v>
      </c>
      <c r="C96" s="184" t="n"/>
      <c r="D96" s="193">
        <f>D97+273.15</f>
        <v>789.15</v>
      </c>
      <c r="E96" s="184" t="n"/>
    </row>
    <row r="97">
      <c r="A97" s="182" t="inlineStr">
        <is>
          <t>T (°C)</t>
        </is>
      </c>
      <c r="B97" s="193">
        <f>$D$72</f>
        <v>190.0</v>
      </c>
      <c r="C97" s="184" t="n"/>
      <c r="D97" s="193" t="n">
        <v>516</v>
      </c>
      <c r="E97" s="184" t="n"/>
    </row>
    <row r="98">
      <c r="A98" s="182" t="inlineStr">
        <is>
          <t>P (bar abs)</t>
        </is>
      </c>
      <c r="B98" s="194">
        <f>$D$73</f>
        <v>17.0</v>
      </c>
      <c r="C98" s="184" t="n"/>
      <c r="D98" s="194" t="n">
        <v>13</v>
      </c>
      <c r="E98" s="184" t="n"/>
    </row>
    <row r="99">
      <c r="A99" s="182" t="inlineStr">
        <is>
          <t>Substance</t>
        </is>
      </c>
      <c r="B99" s="182" t="inlineStr">
        <is>
          <t>INLET</t>
        </is>
      </c>
      <c r="C99" s="184" t="n"/>
      <c r="D99" s="182" t="inlineStr">
        <is>
          <t>OUTLET</t>
        </is>
      </c>
      <c r="E99" s="184" t="n"/>
    </row>
    <row r="100">
      <c r="A100" s="185" t="n"/>
      <c r="B100" s="182" t="inlineStr">
        <is>
          <t>Aliran 38</t>
        </is>
      </c>
      <c r="C100" s="184" t="n"/>
      <c r="D100" s="182" t="inlineStr">
        <is>
          <t>Aliran 39</t>
        </is>
      </c>
      <c r="E100" s="184" t="n"/>
    </row>
    <row r="101">
      <c r="A101" s="186" t="n"/>
      <c r="B101" s="182" t="inlineStr">
        <is>
          <t>ṅᵢ (kmol/h)</t>
        </is>
      </c>
      <c r="C101" s="182" t="inlineStr">
        <is>
          <t>Ĥᵢ (kJ/kmol)</t>
        </is>
      </c>
      <c r="D101" s="182" t="inlineStr">
        <is>
          <t>ṅᵢ (kmol/h)</t>
        </is>
      </c>
      <c r="E101" s="182" t="inlineStr">
        <is>
          <t>Ĥᵢ (kJ/kmol)</t>
        </is>
      </c>
    </row>
    <row r="102">
      <c r="A102" s="188" t="inlineStr">
        <is>
          <t>Cl₂ (l / g)</t>
        </is>
      </c>
      <c r="B102" s="191">
        <f>E19</f>
        <v>0.0</v>
      </c>
      <c r="C102" s="195">
        <f>'Data Termo'!$X$10+('Data Termo'!$J$10*($B$96-298.15)+'Data Termo'!$K$10/2*($B$96^2-298.15^2)+'Data Termo'!$L$10/3*($B$96^3-298.15^3)+'Data Termo'!$M$10/4*($B$96^4-298.15^4))</f>
        <v>-788.1937077295297</v>
      </c>
      <c r="D102" s="191">
        <f>I19</f>
        <v>3.095018670362267</v>
      </c>
      <c r="E102" s="195">
        <f>'Data Termo'!$W$10+('Data Termo'!$E$10*($D$96-298.15)+'Data Termo'!$F$10/2*($D$96^2-298.15^2)+'Data Termo'!$G$10/3*($D$96^3-298.15^3)+'Data Termo'!$H$10/4*($D$96^4-298.15^4)+'Data Termo'!$I$10/5*($D$96^5-298.15^5))</f>
        <v>17666.021388502708</v>
      </c>
    </row>
    <row r="103">
      <c r="A103" s="188" t="inlineStr">
        <is>
          <t>H₂O (l / g)</t>
        </is>
      </c>
      <c r="B103" s="191">
        <f>E21</f>
        <v>0.14511609269780668</v>
      </c>
      <c r="C103" s="195">
        <f>'Data Termo'!$X$12+('Data Termo'!$J$12*($B$96-298.15)+'Data Termo'!$K$12/2*($B$96^2-298.15^2)+'Data Termo'!$L$12/3*($B$96^3-298.15^3)+'Data Termo'!$M$12/4*($B$96^4-298.15^4))</f>
        <v>-271843.31195027474</v>
      </c>
      <c r="D103" s="191">
        <f>I21</f>
        <v>0.14511609269780668</v>
      </c>
      <c r="E103" s="195">
        <f>'Data Termo'!$W$12+('Data Termo'!$E$12*($D$96-298.15)+'Data Termo'!$F$12/2*($D$96^2-298.15^2)+'Data Termo'!$G$12/3*($D$96^3-298.15^3)+'Data Termo'!$H$12/4*($D$96^4-298.15^4)+'Data Termo'!$I$12/5*($D$96^5-298.15^5))</f>
        <v>-224219.90936446365</v>
      </c>
    </row>
    <row r="104">
      <c r="A104" s="188" t="inlineStr">
        <is>
          <t>EDC (l / g)</t>
        </is>
      </c>
      <c r="B104" s="191">
        <f>E29</f>
        <v>750.3075564514485</v>
      </c>
      <c r="C104" s="195">
        <f>'Data Termo'!$X$20+('Data Termo'!$J$20*($B$96-298.15)+'Data Termo'!$K$20/2*($B$96^2-298.15^2)+'Data Termo'!$L$20/3*($B$96^3-298.15^3)+'Data Termo'!$M$20/4*($B$96^4-298.15^4))</f>
        <v>-140901.47192598548</v>
      </c>
      <c r="D104" s="191">
        <f>I29</f>
        <v>337.63840040315176</v>
      </c>
      <c r="E104" s="195">
        <f>'Data Termo'!$W$20+('Data Termo'!$E$20*($D$96-298.15)+'Data Termo'!$F$20/2*($D$96^2-298.15^2)+'Data Termo'!$G$20/3*($D$96^3-298.15^3)+'Data Termo'!$H$20/4*($D$96^4-298.15^4)+'Data Termo'!$I$20/5*($D$96^5-298.15^5))</f>
        <v>-77136.61431849508</v>
      </c>
    </row>
    <row r="105">
      <c r="A105" s="188" t="inlineStr">
        <is>
          <t>TCE (l / g)</t>
        </is>
      </c>
      <c r="B105" s="191">
        <f>E30</f>
        <v>0.005009843991228917</v>
      </c>
      <c r="C105" s="195">
        <f>'Data Termo'!$X$21+('Data Termo'!$J$21*($B$96-298.15)+'Data Termo'!$K$21/2*($B$96^2-298.15^2)+'Data Termo'!$L$21/3*($B$96^3-298.15^3)+'Data Termo'!$M$21/4*($B$96^4-298.15^4))</f>
        <v>-149022.10219417748</v>
      </c>
      <c r="D105" s="191">
        <f>I30</f>
        <v>0.005009843991228917</v>
      </c>
      <c r="E105" s="195">
        <f>'Data Termo'!$W$21+('Data Termo'!$E$21*($D$96-298.15)+'Data Termo'!$F$21/2*($D$96^2-298.15^2)+'Data Termo'!$G$21/3*($D$96^3-298.15^3)+'Data Termo'!$H$21/4*($D$96^4-298.15^4)+'Data Termo'!$I$21/5*($D$96^5-298.15^5))</f>
        <v>-80416.85611424173</v>
      </c>
    </row>
    <row r="106">
      <c r="A106" s="188" t="inlineStr">
        <is>
          <t>HCl (l / g)</t>
        </is>
      </c>
      <c r="B106" s="191">
        <f>E31</f>
        <v>0.0</v>
      </c>
      <c r="C106" s="195">
        <f>'Data Termo'!$X$22+('Data Termo'!$J$22*($B$96-298.15)+'Data Termo'!$K$22/2*($B$96^2-298.15^2)+'Data Termo'!$L$22/3*($B$96^3-298.15^3)+'Data Termo'!$M$22/4*($B$96^4-298.15^4))</f>
        <v>-71014.76149070248</v>
      </c>
      <c r="D106" s="191">
        <f>I31</f>
        <v>406.47911870757224</v>
      </c>
      <c r="E106" s="195">
        <f>'Data Termo'!$W$22+('Data Termo'!$E$22*($D$96-298.15)+'Data Termo'!$F$22/2*($D$96^2-298.15^2)+'Data Termo'!$G$22/3*($D$96^3-298.15^3)+'Data Termo'!$H$22/4*($D$96^4-298.15^4)+'Data Termo'!$I$22/5*($D$96^5-298.15^5))</f>
        <v>-77783.99134875802</v>
      </c>
    </row>
    <row r="107">
      <c r="A107" s="188" t="inlineStr">
        <is>
          <t>VCM (l / g)</t>
        </is>
      </c>
      <c r="B107" s="191">
        <f>E34</f>
        <v>0.011951314601842957</v>
      </c>
      <c r="C107" s="195">
        <f>'Data Termo'!$X$25+('Data Termo'!$J$25*($B$96-298.15)+'Data Termo'!$K$25/2*($B$96^2-298.15^2)+'Data Termo'!$L$25/3*($B$96^3-298.15^3)+'Data Termo'!$M$25/4*($B$96^4-298.15^4))</f>
        <v>26417.439563832515</v>
      </c>
      <c r="D107" s="191">
        <f>I34</f>
        <v>406.4910700221741</v>
      </c>
      <c r="E107" s="195">
        <f>'Data Termo'!$W$25+('Data Termo'!$E$25*($D$96-298.15)+'Data Termo'!$F$25/2*($D$96^2-298.15^2)+'Data Termo'!$G$25/3*($D$96^3-298.15^3)+'Data Termo'!$H$25/4*($D$96^4-298.15^4)+'Data Termo'!$I$25/5*($D$96^5-298.15^5))</f>
        <v>65910.08560612066</v>
      </c>
    </row>
    <row r="108">
      <c r="A108" s="188" t="inlineStr">
        <is>
          <t>C₄H₈Cl₂ (berat) (l / g)</t>
        </is>
      </c>
      <c r="B108" s="191">
        <f>E35</f>
        <v>0.0</v>
      </c>
      <c r="C108" s="195">
        <f>'Data Termo'!$X$26+('Data Termo'!$J$26*($B$96-298.15)+'Data Termo'!$K$26/2*($B$96^2-298.15^2)+'Data Termo'!$L$26/3*($B$96^3-298.15^3)+'Data Termo'!$M$26/4*($B$96^4-298.15^4))</f>
        <v>-191114.4938238102</v>
      </c>
      <c r="D108" s="191">
        <f>I35</f>
        <v>3.0950186703622276</v>
      </c>
      <c r="E108" s="195">
        <f>'Data Termo'!$W$26+('Data Termo'!$E$26*($D$96-298.15)+'Data Termo'!$F$26/2*($D$96^2-298.15^2)+'Data Termo'!$G$26/3*($D$96^3-298.15^3)+'Data Termo'!$H$26/4*($D$96^4-298.15^4)+'Data Termo'!$I$26/5*($D$96^5-298.15^5))</f>
        <v>-92279.65862278166</v>
      </c>
    </row>
    <row r="109">
      <c r="A109" s="196" t="inlineStr">
        <is>
          <t>Sub Total ṅᵢĤᵢ (kJ/h)</t>
        </is>
      </c>
      <c r="B109" s="197">
        <f>SUMPRODUCT(B102:B108,C102:C108)</f>
        <v>-105759318.79480681</v>
      </c>
      <c r="C109" s="184" t="n"/>
      <c r="D109" s="197">
        <f>SUMPRODUCT(D102:D108,E102:E108)</f>
        <v>-31133861.494086187</v>
      </c>
      <c r="E109" s="184" t="n"/>
    </row>
    <row r="110">
      <c r="A110" s="188" t="inlineStr">
        <is>
          <t>Heat of reaction / heat of mixing</t>
        </is>
      </c>
      <c r="B110" s="198" t="inlineStr">
        <is>
          <t>Sudah termasuk dalam Ĥᵢ (metode panas pembentukan)</t>
        </is>
      </c>
      <c r="C110" s="183" t="n"/>
      <c r="D110" s="183" t="n"/>
      <c r="E110" s="184" t="n"/>
    </row>
    <row r="111">
      <c r="A111" s="196" t="inlineStr">
        <is>
          <t>Q (kJ/h)</t>
        </is>
      </c>
      <c r="B111" s="197">
        <f>(D109)-(B109)</f>
        <v>74625457.30072062</v>
      </c>
      <c r="C111" s="183" t="n"/>
      <c r="D111" s="183" t="n"/>
      <c r="E111" s="184" t="n"/>
    </row>
    <row r="112">
      <c r="A112" s="196" t="inlineStr">
        <is>
          <t>W (kJ/h)</t>
        </is>
      </c>
      <c r="B112" s="197" t="n">
        <v>0</v>
      </c>
      <c r="C112" s="183" t="n"/>
      <c r="D112" s="183" t="n"/>
      <c r="E112" s="184" t="n"/>
    </row>
    <row r="113">
      <c r="A113" s="196" t="inlineStr">
        <is>
          <t>TOTAL (kJ/h)</t>
        </is>
      </c>
      <c r="B113" s="197">
        <f>B109+$B$111+$B$112</f>
        <v>-31133861.49408619</v>
      </c>
      <c r="C113" s="184" t="n"/>
      <c r="D113" s="197">
        <f>D109</f>
        <v>-31133861.494086187</v>
      </c>
      <c r="E113" s="184" t="n"/>
    </row>
    <row r="114">
      <c r="A114" s="188" t="inlineStr">
        <is>
          <t>Selisih masuk − keluar (kJ/h)</t>
        </is>
      </c>
      <c r="B114" s="195">
        <f>B113-D113</f>
        <v>-3.725290298461914e-09</v>
      </c>
      <c r="C114" s="183" t="n"/>
      <c r="D114" s="183" t="n"/>
      <c r="E114" s="184" t="n"/>
    </row>
    <row r="115">
      <c r="A115" s="188" t="inlineStr">
        <is>
          <t>Q (kW)</t>
        </is>
      </c>
      <c r="B115" s="195">
        <f>$B$111/3600</f>
        <v>20729.293694644617</v>
      </c>
      <c r="C115" s="183" t="n"/>
      <c r="D115" s="183" t="n"/>
      <c r="E115" s="184" t="n"/>
    </row>
    <row r="116">
      <c r="A116" s="188" t="inlineStr">
        <is>
          <t>W (kW)</t>
        </is>
      </c>
      <c r="B116" s="195">
        <f>$B$112/3600</f>
        <v>0.0</v>
      </c>
      <c r="C116" s="183" t="n"/>
      <c r="D116" s="183" t="n"/>
      <c r="E116" s="184" t="n"/>
    </row>
    <row r="119">
      <c r="A119" s="172" t="inlineStr">
        <is>
          <t>Neraca Energi Q-101: Quench gas pirolisis</t>
        </is>
      </c>
    </row>
    <row r="120">
      <c r="A120" s="174" t="inlineStr">
        <is>
          <t>Reference state: unsur pada 25 °C dan 1 atm (metode panas pembentukan)</t>
        </is>
      </c>
    </row>
    <row r="121">
      <c r="A121" s="182" t="inlineStr">
        <is>
          <t>No. aliran PFD</t>
        </is>
      </c>
      <c r="B121" s="182" t="n">
        <v>39</v>
      </c>
      <c r="C121" s="184" t="n"/>
      <c r="D121" s="182" t="n">
        <v>40</v>
      </c>
      <c r="E121" s="184" t="n"/>
    </row>
    <row r="122">
      <c r="A122" s="182" t="inlineStr">
        <is>
          <t>Dari</t>
        </is>
      </c>
      <c r="B122" s="192" t="inlineStr">
        <is>
          <t>F-101</t>
        </is>
      </c>
      <c r="C122" s="184" t="n"/>
      <c r="D122" s="192" t="inlineStr">
        <is>
          <t>Q-101</t>
        </is>
      </c>
      <c r="E122" s="184" t="n"/>
    </row>
    <row r="123">
      <c r="A123" s="182" t="inlineStr">
        <is>
          <t>Ke</t>
        </is>
      </c>
      <c r="B123" s="192" t="inlineStr">
        <is>
          <t>Q-101</t>
        </is>
      </c>
      <c r="C123" s="184" t="n"/>
      <c r="D123" s="192" t="inlineStr">
        <is>
          <t>E-108</t>
        </is>
      </c>
      <c r="E123" s="184" t="n"/>
    </row>
    <row r="124">
      <c r="A124" s="182" t="inlineStr">
        <is>
          <t>T (K)</t>
        </is>
      </c>
      <c r="B124" s="193">
        <f>$D$96</f>
        <v>789.15</v>
      </c>
      <c r="C124" s="184" t="n"/>
      <c r="D124" s="193">
        <f>D125+273.15</f>
        <v>353.15</v>
      </c>
      <c r="E124" s="184" t="n"/>
    </row>
    <row r="125">
      <c r="A125" s="182" t="inlineStr">
        <is>
          <t>T (°C)</t>
        </is>
      </c>
      <c r="B125" s="193">
        <f>$D$97</f>
        <v>516.0</v>
      </c>
      <c r="C125" s="184" t="n"/>
      <c r="D125" s="193" t="n">
        <v>80</v>
      </c>
      <c r="E125" s="184" t="n"/>
    </row>
    <row r="126">
      <c r="A126" s="182" t="inlineStr">
        <is>
          <t>P (bar abs)</t>
        </is>
      </c>
      <c r="B126" s="194">
        <f>$D$98</f>
        <v>13.0</v>
      </c>
      <c r="C126" s="184" t="n"/>
      <c r="D126" s="194" t="n">
        <v>11</v>
      </c>
      <c r="E126" s="184" t="n"/>
    </row>
    <row r="127">
      <c r="A127" s="182" t="inlineStr">
        <is>
          <t>Substance</t>
        </is>
      </c>
      <c r="B127" s="182" t="inlineStr">
        <is>
          <t>INLET</t>
        </is>
      </c>
      <c r="C127" s="184" t="n"/>
      <c r="D127" s="182" t="inlineStr">
        <is>
          <t>OUTLET</t>
        </is>
      </c>
      <c r="E127" s="184" t="n"/>
    </row>
    <row r="128">
      <c r="A128" s="185" t="n"/>
      <c r="B128" s="182" t="inlineStr">
        <is>
          <t>Aliran 39</t>
        </is>
      </c>
      <c r="C128" s="184" t="n"/>
      <c r="D128" s="182" t="inlineStr">
        <is>
          <t>Aliran 40</t>
        </is>
      </c>
      <c r="E128" s="184" t="n"/>
    </row>
    <row r="129">
      <c r="A129" s="186" t="n"/>
      <c r="B129" s="182" t="inlineStr">
        <is>
          <t>ṅᵢ (kmol/h)</t>
        </is>
      </c>
      <c r="C129" s="182" t="inlineStr">
        <is>
          <t>Ĥᵢ (kJ/kmol)</t>
        </is>
      </c>
      <c r="D129" s="182" t="inlineStr">
        <is>
          <t>ṅᵢ (kmol/h)</t>
        </is>
      </c>
      <c r="E129" s="182" t="inlineStr">
        <is>
          <t>Ĥᵢ (kJ/kmol)</t>
        </is>
      </c>
    </row>
    <row r="130">
      <c r="A130" s="188" t="inlineStr">
        <is>
          <t>Cl₂ (g)</t>
        </is>
      </c>
      <c r="B130" s="191">
        <f>I19</f>
        <v>3.095018670362267</v>
      </c>
      <c r="C130" s="195">
        <f>'Data Termo'!$W$10+('Data Termo'!$E$10*($B$124-298.15)+'Data Termo'!$F$10/2*($B$124^2-298.15^2)+'Data Termo'!$G$10/3*($B$124^3-298.15^3)+'Data Termo'!$H$10/4*($B$124^4-298.15^4)+'Data Termo'!$I$10/5*($B$124^5-298.15^5))</f>
        <v>17666.021388502708</v>
      </c>
      <c r="D130" s="191">
        <f>'NME-7 Kolom HCl'!E19</f>
        <v>3.095018670362267</v>
      </c>
      <c r="E130" s="195">
        <f>'Data Termo'!$W$10+('Data Termo'!$E$10*($D$124-298.15)+'Data Termo'!$F$10/2*($D$124^2-298.15^2)+'Data Termo'!$G$10/3*($D$124^3-298.15^3)+'Data Termo'!$H$10/4*($D$124^4-298.15^4)+'Data Termo'!$I$10/5*($D$124^5-298.15^5))</f>
        <v>1875.5064263304025</v>
      </c>
    </row>
    <row r="131">
      <c r="A131" s="188" t="inlineStr">
        <is>
          <t>H₂O (g / l)</t>
        </is>
      </c>
      <c r="B131" s="191">
        <f>I21</f>
        <v>0.14511609269780668</v>
      </c>
      <c r="C131" s="195">
        <f>'Data Termo'!$W$12+('Data Termo'!$E$12*($B$124-298.15)+'Data Termo'!$F$12/2*($B$124^2-298.15^2)+'Data Termo'!$G$12/3*($B$124^3-298.15^3)+'Data Termo'!$H$12/4*($B$124^4-298.15^4)+'Data Termo'!$I$12/5*($B$124^5-298.15^5))</f>
        <v>-224219.90936446365</v>
      </c>
      <c r="D131" s="191">
        <f>'NME-7 Kolom HCl'!E21</f>
        <v>0.14511609269780668</v>
      </c>
      <c r="E131" s="195">
        <f>'Data Termo'!$X$12+('Data Termo'!$J$12*($D$124-298.15)+'Data Termo'!$K$12/2*($D$124^2-298.15^2)+'Data Termo'!$L$12/3*($D$124^3-298.15^3)+'Data Termo'!$M$12/4*($D$124^4-298.15^4))</f>
        <v>-280356.60729102255</v>
      </c>
    </row>
    <row r="132">
      <c r="A132" s="188" t="inlineStr">
        <is>
          <t>EDC (g / l)</t>
        </is>
      </c>
      <c r="B132" s="191">
        <f>I29</f>
        <v>337.63840040315176</v>
      </c>
      <c r="C132" s="195">
        <f>'Data Termo'!$W$20+('Data Termo'!$E$20*($B$124-298.15)+'Data Termo'!$F$20/2*($B$124^2-298.15^2)+'Data Termo'!$G$20/3*($B$124^3-298.15^3)+'Data Termo'!$H$20/4*($B$124^4-298.15^4)+'Data Termo'!$I$20/5*($B$124^5-298.15^5))</f>
        <v>-77136.61431849508</v>
      </c>
      <c r="D132" s="191">
        <f>'NME-7 Kolom HCl'!E29</f>
        <v>337.63840040315176</v>
      </c>
      <c r="E132" s="195">
        <f>'Data Termo'!$X$20+('Data Termo'!$J$20*($D$124-298.15)+'Data Termo'!$K$20/2*($D$124^2-298.15^2)+'Data Termo'!$L$20/3*($D$124^3-298.15^3)+'Data Termo'!$M$20/4*($D$124^4-298.15^4))</f>
        <v>-157439.41867649485</v>
      </c>
    </row>
    <row r="133">
      <c r="A133" s="188" t="inlineStr">
        <is>
          <t>TCE (g / l)</t>
        </is>
      </c>
      <c r="B133" s="191">
        <f>I30</f>
        <v>0.005009843991228917</v>
      </c>
      <c r="C133" s="195">
        <f>'Data Termo'!$W$21+('Data Termo'!$E$21*($B$124-298.15)+'Data Termo'!$F$21/2*($B$124^2-298.15^2)+'Data Termo'!$G$21/3*($B$124^3-298.15^3)+'Data Termo'!$H$21/4*($B$124^4-298.15^4)+'Data Termo'!$I$21/5*($B$124^5-298.15^5))</f>
        <v>-80416.85611424173</v>
      </c>
      <c r="D133" s="191">
        <f>'NME-7 Kolom HCl'!E30</f>
        <v>0.005009843991228917</v>
      </c>
      <c r="E133" s="195">
        <f>'Data Termo'!$X$21+('Data Termo'!$J$21*($D$124-298.15)+'Data Termo'!$K$21/2*($D$124^2-298.15^2)+'Data Termo'!$L$21/3*($D$124^3-298.15^3)+'Data Termo'!$M$21/4*($D$124^4-298.15^4))</f>
        <v>-168230.88877389175</v>
      </c>
    </row>
    <row r="134">
      <c r="A134" s="188" t="inlineStr">
        <is>
          <t>HCl (g)</t>
        </is>
      </c>
      <c r="B134" s="191">
        <f>I31</f>
        <v>406.47911870757224</v>
      </c>
      <c r="C134" s="195">
        <f>'Data Termo'!$W$22+('Data Termo'!$E$22*($B$124-298.15)+'Data Termo'!$F$22/2*($B$124^2-298.15^2)+'Data Termo'!$G$22/3*($B$124^3-298.15^3)+'Data Termo'!$H$22/4*($B$124^4-298.15^4)+'Data Termo'!$I$22/5*($B$124^5-298.15^5))</f>
        <v>-77783.99134875802</v>
      </c>
      <c r="D134" s="191">
        <f>'NME-7 Kolom HCl'!E31</f>
        <v>406.47911870757224</v>
      </c>
      <c r="E134" s="195">
        <f>'Data Termo'!$W$22+('Data Termo'!$E$22*($D$124-298.15)+'Data Termo'!$F$22/2*($D$124^2-298.15^2)+'Data Termo'!$G$22/3*($D$124^3-298.15^3)+'Data Termo'!$H$22/4*($D$124^4-298.15^4)+'Data Termo'!$I$22/5*($D$124^5-298.15^5))</f>
        <v>-90699.68384583016</v>
      </c>
    </row>
    <row r="135">
      <c r="A135" s="188" t="inlineStr">
        <is>
          <t>VCM (g)</t>
        </is>
      </c>
      <c r="B135" s="191">
        <f>I34</f>
        <v>406.4910700221741</v>
      </c>
      <c r="C135" s="195">
        <f>'Data Termo'!$W$25+('Data Termo'!$E$25*($B$124-298.15)+'Data Termo'!$F$25/2*($B$124^2-298.15^2)+'Data Termo'!$G$25/3*($B$124^3-298.15^3)+'Data Termo'!$H$25/4*($B$124^4-298.15^4)+'Data Termo'!$I$25/5*($B$124^5-298.15^5))</f>
        <v>65910.08560612066</v>
      </c>
      <c r="D135" s="191">
        <f>'NME-7 Kolom HCl'!E34</f>
        <v>406.4910700221741</v>
      </c>
      <c r="E135" s="195">
        <f>'Data Termo'!$W$25+('Data Termo'!$E$25*($D$124-298.15)+'Data Termo'!$F$25/2*($D$124^2-298.15^2)+'Data Termo'!$G$25/3*($D$124^3-298.15^3)+'Data Termo'!$H$25/4*($D$124^4-298.15^4)+'Data Termo'!$I$25/5*($D$124^5-298.15^5))</f>
        <v>31626.381370557698</v>
      </c>
    </row>
    <row r="136">
      <c r="A136" s="188" t="inlineStr">
        <is>
          <t>C₄H₈Cl₂ (berat) (g / l)</t>
        </is>
      </c>
      <c r="B136" s="191">
        <f>I35</f>
        <v>3.0950186703622276</v>
      </c>
      <c r="C136" s="195">
        <f>'Data Termo'!$W$26+('Data Termo'!$E$26*($B$124-298.15)+'Data Termo'!$F$26/2*($B$124^2-298.15^2)+'Data Termo'!$G$26/3*($B$124^3-298.15^3)+'Data Termo'!$H$26/4*($B$124^4-298.15^4)+'Data Termo'!$I$26/5*($B$124^5-298.15^5))</f>
        <v>-92279.65862278166</v>
      </c>
      <c r="D136" s="191">
        <f>'NME-7 Kolom HCl'!E35</f>
        <v>3.0950186703622276</v>
      </c>
      <c r="E136" s="195">
        <f>'Data Termo'!$X$26+('Data Termo'!$J$26*($D$124-298.15)+'Data Termo'!$K$26/2*($D$124^2-298.15^2)+'Data Termo'!$L$26/3*($D$124^3-298.15^3)+'Data Termo'!$M$26/4*($D$124^4-298.15^4))</f>
        <v>-213923.58851938247</v>
      </c>
    </row>
    <row r="137">
      <c r="A137" s="196" t="inlineStr">
        <is>
          <t>Sub Total ṅᵢĤᵢ (kJ/h)</t>
        </is>
      </c>
      <c r="B137" s="197">
        <f>SUMPRODUCT(B130:B136,C130:C136)</f>
        <v>-31133861.494086187</v>
      </c>
      <c r="C137" s="184" t="n"/>
      <c r="D137" s="197">
        <f>SUMPRODUCT(D130:D136,E130:E136)</f>
        <v>-77867099.27380678</v>
      </c>
      <c r="E137" s="184" t="n"/>
    </row>
    <row r="138">
      <c r="A138" s="188" t="inlineStr">
        <is>
          <t>Heat of reaction / heat of mixing</t>
        </is>
      </c>
      <c r="B138" s="198" t="inlineStr">
        <is>
          <t>-</t>
        </is>
      </c>
      <c r="C138" s="183" t="n"/>
      <c r="D138" s="183" t="n"/>
      <c r="E138" s="184" t="n"/>
    </row>
    <row r="139">
      <c r="A139" s="196" t="inlineStr">
        <is>
          <t>Q (kJ/h)</t>
        </is>
      </c>
      <c r="B139" s="197">
        <f>(D137)-(B137)</f>
        <v>-46733237.77972059</v>
      </c>
      <c r="C139" s="183" t="n"/>
      <c r="D139" s="183" t="n"/>
      <c r="E139" s="184" t="n"/>
    </row>
    <row r="140">
      <c r="A140" s="196" t="inlineStr">
        <is>
          <t>W (kJ/h)</t>
        </is>
      </c>
      <c r="B140" s="197" t="n">
        <v>0</v>
      </c>
      <c r="C140" s="183" t="n"/>
      <c r="D140" s="183" t="n"/>
      <c r="E140" s="184" t="n"/>
    </row>
    <row r="141">
      <c r="A141" s="196" t="inlineStr">
        <is>
          <t>TOTAL (kJ/h)</t>
        </is>
      </c>
      <c r="B141" s="197">
        <f>B137+$B$139+$B$140</f>
        <v>-77867099.27380678</v>
      </c>
      <c r="C141" s="184" t="n"/>
      <c r="D141" s="197">
        <f>D137</f>
        <v>-77867099.27380678</v>
      </c>
      <c r="E141" s="184" t="n"/>
    </row>
    <row r="142">
      <c r="A142" s="188" t="inlineStr">
        <is>
          <t>Selisih masuk − keluar (kJ/h)</t>
        </is>
      </c>
      <c r="B142" s="195">
        <f>B141-D141</f>
        <v>0.0</v>
      </c>
      <c r="C142" s="183" t="n"/>
      <c r="D142" s="183" t="n"/>
      <c r="E142" s="184" t="n"/>
    </row>
    <row r="143">
      <c r="A143" s="188" t="inlineStr">
        <is>
          <t>Q (kW)</t>
        </is>
      </c>
      <c r="B143" s="195">
        <f>$B$139/3600</f>
        <v>-12981.454938811275</v>
      </c>
      <c r="C143" s="183" t="n"/>
      <c r="D143" s="183" t="n"/>
      <c r="E143" s="184" t="n"/>
    </row>
    <row r="144">
      <c r="A144" s="188" t="inlineStr">
        <is>
          <t>W (kW)</t>
        </is>
      </c>
      <c r="B144" s="195">
        <f>$B$140/3600</f>
        <v>0.0</v>
      </c>
      <c r="C144" s="183" t="n"/>
      <c r="D144" s="183" t="n"/>
      <c r="E144" s="184" t="n"/>
    </row>
  </sheetData>
  <mergeCells count="121">
    <mergeCell ref="D60:E60"/>
    <mergeCell ref="B100:C100"/>
    <mergeCell ref="D100:E100"/>
    <mergeCell ref="B141:C141"/>
    <mergeCell ref="B139:E139"/>
    <mergeCell ref="C7:L7"/>
    <mergeCell ref="B93:C93"/>
    <mergeCell ref="D45:E45"/>
    <mergeCell ref="B110:E110"/>
    <mergeCell ref="D141:E141"/>
    <mergeCell ref="D70:E70"/>
    <mergeCell ref="A49:A51"/>
    <mergeCell ref="D48:E48"/>
    <mergeCell ref="B115:E115"/>
    <mergeCell ref="B69:C69"/>
    <mergeCell ref="D125:E125"/>
    <mergeCell ref="D72:E72"/>
    <mergeCell ref="B12:E12"/>
    <mergeCell ref="B86:E86"/>
    <mergeCell ref="B127:C127"/>
    <mergeCell ref="D56:E56"/>
    <mergeCell ref="D71:E71"/>
    <mergeCell ref="D127:E127"/>
    <mergeCell ref="B49:C49"/>
    <mergeCell ref="B13:E13"/>
    <mergeCell ref="D73:E73"/>
    <mergeCell ref="D98:E98"/>
    <mergeCell ref="D113:E113"/>
    <mergeCell ref="B112:E112"/>
    <mergeCell ref="B87:E87"/>
    <mergeCell ref="F13:I13"/>
    <mergeCell ref="A12:A14"/>
    <mergeCell ref="D99:E99"/>
    <mergeCell ref="F37:I37"/>
    <mergeCell ref="B114:E114"/>
    <mergeCell ref="B63:E63"/>
    <mergeCell ref="D124:E124"/>
    <mergeCell ref="B138:E138"/>
    <mergeCell ref="D126:E126"/>
    <mergeCell ref="D75:E75"/>
    <mergeCell ref="D47:E47"/>
    <mergeCell ref="B140:E140"/>
    <mergeCell ref="C10:L10"/>
    <mergeCell ref="B61:E61"/>
    <mergeCell ref="A74:A76"/>
    <mergeCell ref="B95:C95"/>
    <mergeCell ref="A99:A101"/>
    <mergeCell ref="B116:E116"/>
    <mergeCell ref="B37:E37"/>
    <mergeCell ref="B84:E84"/>
    <mergeCell ref="B97:C97"/>
    <mergeCell ref="B125:C125"/>
    <mergeCell ref="B72:C72"/>
    <mergeCell ref="B81:C81"/>
    <mergeCell ref="D128:E128"/>
    <mergeCell ref="D81:E81"/>
    <mergeCell ref="B121:C121"/>
    <mergeCell ref="B142:E142"/>
    <mergeCell ref="B122:C122"/>
    <mergeCell ref="B56:C56"/>
    <mergeCell ref="B71:C71"/>
    <mergeCell ref="B96:C96"/>
    <mergeCell ref="D96:E96"/>
    <mergeCell ref="B43:C43"/>
    <mergeCell ref="B144:E144"/>
    <mergeCell ref="D49:E49"/>
    <mergeCell ref="B98:C98"/>
    <mergeCell ref="B60:C60"/>
    <mergeCell ref="C6:L6"/>
    <mergeCell ref="A127:A129"/>
    <mergeCell ref="B44:C44"/>
    <mergeCell ref="B58:E58"/>
    <mergeCell ref="B38:I38"/>
    <mergeCell ref="B99:C99"/>
    <mergeCell ref="D93:E93"/>
    <mergeCell ref="B57:E57"/>
    <mergeCell ref="B124:C124"/>
    <mergeCell ref="B45:C45"/>
    <mergeCell ref="B5:L5"/>
    <mergeCell ref="B85:C85"/>
    <mergeCell ref="D85:E85"/>
    <mergeCell ref="B94:C94"/>
    <mergeCell ref="D94:E94"/>
    <mergeCell ref="B126:C126"/>
    <mergeCell ref="B75:C75"/>
    <mergeCell ref="D69:E69"/>
    <mergeCell ref="B109:C109"/>
    <mergeCell ref="B47:C47"/>
    <mergeCell ref="D109:E109"/>
    <mergeCell ref="B83:E83"/>
    <mergeCell ref="C8:L8"/>
    <mergeCell ref="B143:E143"/>
    <mergeCell ref="B46:C46"/>
    <mergeCell ref="D46:E46"/>
    <mergeCell ref="B70:C70"/>
    <mergeCell ref="B48:C48"/>
    <mergeCell ref="D95:E95"/>
    <mergeCell ref="B62:E62"/>
    <mergeCell ref="B59:E59"/>
    <mergeCell ref="D97:E97"/>
    <mergeCell ref="B73:C73"/>
    <mergeCell ref="D43:E43"/>
    <mergeCell ref="B128:C128"/>
    <mergeCell ref="F12:I12"/>
    <mergeCell ref="D122:E122"/>
    <mergeCell ref="B137:C137"/>
    <mergeCell ref="D137:E137"/>
    <mergeCell ref="B111:E111"/>
    <mergeCell ref="B74:C74"/>
    <mergeCell ref="D121:E121"/>
    <mergeCell ref="B68:C68"/>
    <mergeCell ref="D74:E74"/>
    <mergeCell ref="D68:E68"/>
    <mergeCell ref="B88:E88"/>
    <mergeCell ref="B82:E82"/>
    <mergeCell ref="B123:C123"/>
    <mergeCell ref="D123:E123"/>
    <mergeCell ref="B50:C50"/>
    <mergeCell ref="D50:E50"/>
    <mergeCell ref="D44:E44"/>
    <mergeCell ref="B113:C1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M96"/>
  <sheetViews>
    <sheetView tabSelected="0" zoomScale="85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3">
      <c r="A3" s="172" t="inlineStr">
        <is>
          <t>Neraca Massa dan Energi</t>
        </is>
      </c>
    </row>
    <row r="4">
      <c r="A4" s="172" t="inlineStr">
        <is>
          <t>NM Blok 7: Pemisahan HCl (Kolom HCl)</t>
        </is>
      </c>
    </row>
    <row r="5">
      <c r="A5" s="173" t="inlineStr">
        <is>
          <t>Tujuan:</t>
        </is>
      </c>
      <c r="B5" s="174" t="inlineStr">
        <is>
          <t>Memisahkan HCl (distilat) untuk didaur ulang ke oksiklorinasi</t>
        </is>
      </c>
    </row>
    <row r="6">
      <c r="A6" s="173" t="inlineStr">
        <is>
          <t>Unjuk Kerja</t>
        </is>
      </c>
      <c r="B6" s="204">
        <f>0.5/1000000</f>
        <v>5e-07</v>
      </c>
      <c r="C6" s="174" t="inlineStr">
        <is>
          <t>Kadar HCl dalam VCM produk (fraksi berat)</t>
        </is>
      </c>
    </row>
    <row r="7">
      <c r="B7" s="176">
        <f>100/1000000</f>
        <v>0.0001</v>
      </c>
      <c r="C7" s="174" t="inlineStr">
        <is>
          <t>Kadar VCM dalam HCl daur ulang (fraksi mol)</t>
        </is>
      </c>
    </row>
    <row r="8">
      <c r="B8" s="180" t="n">
        <v>1000</v>
      </c>
      <c r="C8" s="174" t="inlineStr">
        <is>
          <t>Laju refluks kolom HCl KD-103 (kg/h)</t>
        </is>
      </c>
    </row>
    <row r="10">
      <c r="A10" s="173" t="inlineStr">
        <is>
          <t>Basis Perhitungan</t>
        </is>
      </c>
      <c r="B10" s="181">
        <f>'NME-1 Klorinasi Langsung'!$B$16</f>
        <v>6100.572183061604</v>
      </c>
      <c r="C10" s="174" t="inlineStr">
        <is>
          <t>kg/h aliran etilena ke R-01 (NME-1)</t>
        </is>
      </c>
    </row>
    <row r="12">
      <c r="A12" s="182" t="inlineStr">
        <is>
          <t>Substance</t>
        </is>
      </c>
      <c r="B12" s="182" t="inlineStr">
        <is>
          <t>Inlet</t>
        </is>
      </c>
      <c r="C12" s="183" t="n"/>
      <c r="D12" s="183" t="n"/>
      <c r="E12" s="184" t="n"/>
      <c r="F12" s="182" t="inlineStr">
        <is>
          <t>Outlet</t>
        </is>
      </c>
      <c r="G12" s="183" t="n"/>
      <c r="H12" s="183" t="n"/>
      <c r="I12" s="183" t="n"/>
      <c r="J12" s="183" t="n"/>
      <c r="K12" s="183" t="n"/>
      <c r="L12" s="183" t="n"/>
      <c r="M12" s="184" t="n"/>
    </row>
    <row r="13">
      <c r="A13" s="185" t="n"/>
      <c r="B13" s="182" t="inlineStr">
        <is>
          <t>Aliran 41</t>
        </is>
      </c>
      <c r="C13" s="183" t="n"/>
      <c r="D13" s="183" t="n"/>
      <c r="E13" s="184" t="n"/>
      <c r="F13" s="182" t="inlineStr">
        <is>
          <t>Aliran 42</t>
        </is>
      </c>
      <c r="G13" s="183" t="n"/>
      <c r="H13" s="183" t="n"/>
      <c r="I13" s="184" t="n"/>
      <c r="J13" s="182" t="inlineStr">
        <is>
          <t>Aliran 45</t>
        </is>
      </c>
      <c r="K13" s="183" t="n"/>
      <c r="L13" s="183" t="n"/>
      <c r="M13" s="184" t="n"/>
    </row>
    <row r="14">
      <c r="A14" s="186" t="n"/>
      <c r="B14" s="187" t="inlineStr">
        <is>
          <t>ẋᵢ</t>
        </is>
      </c>
      <c r="C14" s="187" t="inlineStr">
        <is>
          <t>ṁᵢ (kg/h)</t>
        </is>
      </c>
      <c r="D14" s="187" t="inlineStr">
        <is>
          <t>ẏᵢ</t>
        </is>
      </c>
      <c r="E14" s="187" t="inlineStr">
        <is>
          <t>ṅᵢ (kmol/h)</t>
        </is>
      </c>
      <c r="F14" s="187" t="inlineStr">
        <is>
          <t>ẋᵢ</t>
        </is>
      </c>
      <c r="G14" s="187" t="inlineStr">
        <is>
          <t>ṁᵢ (kg/h)</t>
        </is>
      </c>
      <c r="H14" s="187" t="inlineStr">
        <is>
          <t>ẏᵢ</t>
        </is>
      </c>
      <c r="I14" s="187" t="inlineStr">
        <is>
          <t>ṅᵢ (kmol/h)</t>
        </is>
      </c>
      <c r="J14" s="187" t="inlineStr">
        <is>
          <t>ẋᵢ</t>
        </is>
      </c>
      <c r="K14" s="187" t="inlineStr">
        <is>
          <t>ṁᵢ (kg/h)</t>
        </is>
      </c>
      <c r="L14" s="187" t="inlineStr">
        <is>
          <t>ẏᵢ</t>
        </is>
      </c>
      <c r="M14" s="187" t="inlineStr">
        <is>
          <t>ṅᵢ (kmol/h)</t>
        </is>
      </c>
    </row>
    <row r="15">
      <c r="A15" s="188" t="inlineStr">
        <is>
          <t>C₂H₄</t>
        </is>
      </c>
      <c r="B15" s="189">
        <f>C15/C$36</f>
        <v>0.0</v>
      </c>
      <c r="C15" s="190">
        <f>E15*'Data Komponen'!$D$3</f>
        <v>0.0</v>
      </c>
      <c r="D15" s="189">
        <f>E15/E$36</f>
        <v>0.0</v>
      </c>
      <c r="E15" s="191">
        <f>'NME-6 Pirolisis'!I15</f>
        <v>0.0</v>
      </c>
      <c r="F15" s="189">
        <f>G15/G$36</f>
        <v>0.0</v>
      </c>
      <c r="G15" s="190">
        <f>I15*'Data Komponen'!$D$3</f>
        <v>0.0</v>
      </c>
      <c r="H15" s="189">
        <f>I15/I$36</f>
        <v>0.0</v>
      </c>
      <c r="I15" s="191">
        <f>0</f>
        <v>0.0</v>
      </c>
      <c r="J15" s="189">
        <f>K15/K$36</f>
        <v>0.0</v>
      </c>
      <c r="K15" s="190">
        <f>M15*'Data Komponen'!$D$3</f>
        <v>0.0</v>
      </c>
      <c r="L15" s="189">
        <f>M15/M$36</f>
        <v>0.0</v>
      </c>
      <c r="M15" s="191">
        <f>E15</f>
        <v>0.0</v>
      </c>
    </row>
    <row r="16">
      <c r="A16" s="188" t="inlineStr">
        <is>
          <t>CH₄</t>
        </is>
      </c>
      <c r="B16" s="189">
        <f>C16/C$36</f>
        <v>0.0</v>
      </c>
      <c r="C16" s="190">
        <f>E16*'Data Komponen'!$D$4</f>
        <v>0.0</v>
      </c>
      <c r="D16" s="189">
        <f>E16/E$36</f>
        <v>0.0</v>
      </c>
      <c r="E16" s="191">
        <f>'NME-6 Pirolisis'!I16</f>
        <v>0.0</v>
      </c>
      <c r="F16" s="189">
        <f>G16/G$36</f>
        <v>0.0</v>
      </c>
      <c r="G16" s="190">
        <f>I16*'Data Komponen'!$D$4</f>
        <v>0.0</v>
      </c>
      <c r="H16" s="189">
        <f>I16/I$36</f>
        <v>0.0</v>
      </c>
      <c r="I16" s="191">
        <f>0</f>
        <v>0.0</v>
      </c>
      <c r="J16" s="189">
        <f>K16/K$36</f>
        <v>0.0</v>
      </c>
      <c r="K16" s="190">
        <f>M16*'Data Komponen'!$D$4</f>
        <v>0.0</v>
      </c>
      <c r="L16" s="189">
        <f>M16/M$36</f>
        <v>0.0</v>
      </c>
      <c r="M16" s="191">
        <f>E16</f>
        <v>0.0</v>
      </c>
    </row>
    <row r="17">
      <c r="A17" s="188" t="inlineStr">
        <is>
          <t>C₂H₆</t>
        </is>
      </c>
      <c r="B17" s="189">
        <f>C17/C$36</f>
        <v>0.0</v>
      </c>
      <c r="C17" s="190">
        <f>E17*'Data Komponen'!$D$5</f>
        <v>0.0</v>
      </c>
      <c r="D17" s="189">
        <f>E17/E$36</f>
        <v>0.0</v>
      </c>
      <c r="E17" s="191">
        <f>'NME-6 Pirolisis'!I17</f>
        <v>0.0</v>
      </c>
      <c r="F17" s="189">
        <f>G17/G$36</f>
        <v>0.0</v>
      </c>
      <c r="G17" s="190">
        <f>I17*'Data Komponen'!$D$5</f>
        <v>0.0</v>
      </c>
      <c r="H17" s="189">
        <f>I17/I$36</f>
        <v>0.0</v>
      </c>
      <c r="I17" s="191">
        <f>0</f>
        <v>0.0</v>
      </c>
      <c r="J17" s="189">
        <f>K17/K$36</f>
        <v>0.0</v>
      </c>
      <c r="K17" s="190">
        <f>M17*'Data Komponen'!$D$5</f>
        <v>0.0</v>
      </c>
      <c r="L17" s="189">
        <f>M17/M$36</f>
        <v>0.0</v>
      </c>
      <c r="M17" s="191">
        <f>E17</f>
        <v>0.0</v>
      </c>
    </row>
    <row r="18">
      <c r="A18" s="188" t="inlineStr">
        <is>
          <t>C₂H₂</t>
        </is>
      </c>
      <c r="B18" s="189">
        <f>C18/C$36</f>
        <v>0.0</v>
      </c>
      <c r="C18" s="190">
        <f>E18*'Data Komponen'!$D$6</f>
        <v>0.0</v>
      </c>
      <c r="D18" s="189">
        <f>E18/E$36</f>
        <v>0.0</v>
      </c>
      <c r="E18" s="191">
        <f>'NME-6 Pirolisis'!I18</f>
        <v>0.0</v>
      </c>
      <c r="F18" s="189">
        <f>G18/G$36</f>
        <v>0.0</v>
      </c>
      <c r="G18" s="190">
        <f>I18*'Data Komponen'!$D$6</f>
        <v>0.0</v>
      </c>
      <c r="H18" s="189">
        <f>I18/I$36</f>
        <v>0.0</v>
      </c>
      <c r="I18" s="191">
        <f>0</f>
        <v>0.0</v>
      </c>
      <c r="J18" s="189">
        <f>K18/K$36</f>
        <v>0.0</v>
      </c>
      <c r="K18" s="190">
        <f>M18*'Data Komponen'!$D$6</f>
        <v>0.0</v>
      </c>
      <c r="L18" s="189">
        <f>M18/M$36</f>
        <v>0.0</v>
      </c>
      <c r="M18" s="191">
        <f>E18</f>
        <v>0.0</v>
      </c>
    </row>
    <row r="19">
      <c r="A19" s="188" t="inlineStr">
        <is>
          <t>Cl₂</t>
        </is>
      </c>
      <c r="B19" s="189">
        <f>C19/C$36</f>
        <v>0.0029554386444104208</v>
      </c>
      <c r="C19" s="190">
        <f>E19*'Data Komponen'!$D$7</f>
        <v>219.45229882203654</v>
      </c>
      <c r="D19" s="189">
        <f>E19/E$36</f>
        <v>0.0026751562365353756</v>
      </c>
      <c r="E19" s="191">
        <f>'NME-6 Pirolisis'!I19</f>
        <v>3.095018670362267</v>
      </c>
      <c r="F19" s="189">
        <f>G19/G$36</f>
        <v>0.014588687507313541</v>
      </c>
      <c r="G19" s="190">
        <f>I19*'Data Komponen'!$D$7</f>
        <v>219.45229882203654</v>
      </c>
      <c r="H19" s="189">
        <f>I19/I$36</f>
        <v>0.0075559257840029</v>
      </c>
      <c r="I19" s="191">
        <f>E19</f>
        <v>3.095018670362267</v>
      </c>
      <c r="J19" s="189">
        <f>K19/K$36</f>
        <v>0.0</v>
      </c>
      <c r="K19" s="190">
        <f>M19*'Data Komponen'!$D$7</f>
        <v>0.0</v>
      </c>
      <c r="L19" s="189">
        <f>M19/M$36</f>
        <v>0.0</v>
      </c>
      <c r="M19" s="191">
        <f>0</f>
        <v>0.0</v>
      </c>
    </row>
    <row r="20">
      <c r="A20" s="188" t="inlineStr">
        <is>
          <t>CₙHₘ</t>
        </is>
      </c>
      <c r="B20" s="189">
        <f>C20/C$36</f>
        <v>0.0</v>
      </c>
      <c r="C20" s="190">
        <f>E20*'Data Komponen'!$D$8</f>
        <v>0.0</v>
      </c>
      <c r="D20" s="189">
        <f>E20/E$36</f>
        <v>0.0</v>
      </c>
      <c r="E20" s="191">
        <f>'NME-6 Pirolisis'!I20</f>
        <v>0.0</v>
      </c>
      <c r="F20" s="189">
        <f>G20/G$36</f>
        <v>0.0</v>
      </c>
      <c r="G20" s="190">
        <f>I20*'Data Komponen'!$D$8</f>
        <v>0.0</v>
      </c>
      <c r="H20" s="189">
        <f>I20/I$36</f>
        <v>0.0</v>
      </c>
      <c r="I20" s="191">
        <f>0</f>
        <v>0.0</v>
      </c>
      <c r="J20" s="189">
        <f>K20/K$36</f>
        <v>0.0</v>
      </c>
      <c r="K20" s="190">
        <f>M20*'Data Komponen'!$D$8</f>
        <v>0.0</v>
      </c>
      <c r="L20" s="189">
        <f>M20/M$36</f>
        <v>0.0</v>
      </c>
      <c r="M20" s="191">
        <f>E20</f>
        <v>0.0</v>
      </c>
    </row>
    <row r="21">
      <c r="A21" s="188" t="inlineStr">
        <is>
          <t>H₂O</t>
        </is>
      </c>
      <c r="B21" s="189">
        <f>C21/C$36</f>
        <v>3.520721366887499e-05</v>
      </c>
      <c r="C21" s="190">
        <f>E21*'Data Komponen'!$D$9</f>
        <v>2.614266409950987</v>
      </c>
      <c r="D21" s="189">
        <f>E21/E$36</f>
        <v>0.00012543000923375498</v>
      </c>
      <c r="E21" s="191">
        <f>'NME-6 Pirolisis'!I21</f>
        <v>0.14511609269780668</v>
      </c>
      <c r="F21" s="189">
        <f>G21/G$36</f>
        <v>0.0</v>
      </c>
      <c r="G21" s="190">
        <f>I21*'Data Komponen'!$D$9</f>
        <v>0.0</v>
      </c>
      <c r="H21" s="189">
        <f>I21/I$36</f>
        <v>0.0</v>
      </c>
      <c r="I21" s="191">
        <f>0</f>
        <v>0.0</v>
      </c>
      <c r="J21" s="189">
        <f>K21/K$36</f>
        <v>4.4151641924924604e-05</v>
      </c>
      <c r="K21" s="190">
        <f>M21*'Data Komponen'!$D$9</f>
        <v>2.614266409950987</v>
      </c>
      <c r="L21" s="189">
        <f>M21/M$36</f>
        <v>0.0001941783629896648</v>
      </c>
      <c r="M21" s="191">
        <f>E21</f>
        <v>0.14511609269780668</v>
      </c>
    </row>
    <row r="22">
      <c r="A22" s="188" t="inlineStr">
        <is>
          <t>CₓHᵧCl</t>
        </is>
      </c>
      <c r="B22" s="189">
        <f>C22/C$36</f>
        <v>0.0</v>
      </c>
      <c r="C22" s="190">
        <f>E22*'Data Komponen'!$D$10</f>
        <v>0.0</v>
      </c>
      <c r="D22" s="189">
        <f>E22/E$36</f>
        <v>0.0</v>
      </c>
      <c r="E22" s="191">
        <f>'NME-6 Pirolisis'!I22</f>
        <v>0.0</v>
      </c>
      <c r="F22" s="189">
        <f>G22/G$36</f>
        <v>0.0</v>
      </c>
      <c r="G22" s="190">
        <f>I22*'Data Komponen'!$D$10</f>
        <v>0.0</v>
      </c>
      <c r="H22" s="189">
        <f>I22/I$36</f>
        <v>0.0</v>
      </c>
      <c r="I22" s="191">
        <f>0</f>
        <v>0.0</v>
      </c>
      <c r="J22" s="189">
        <f>K22/K$36</f>
        <v>0.0</v>
      </c>
      <c r="K22" s="190">
        <f>M22*'Data Komponen'!$D$10</f>
        <v>0.0</v>
      </c>
      <c r="L22" s="189">
        <f>M22/M$36</f>
        <v>0.0</v>
      </c>
      <c r="M22" s="191">
        <f>E22</f>
        <v>0.0</v>
      </c>
    </row>
    <row r="23">
      <c r="A23" s="188" t="inlineStr">
        <is>
          <t>Br₂</t>
        </is>
      </c>
      <c r="B23" s="189">
        <f>C23/C$36</f>
        <v>0.0</v>
      </c>
      <c r="C23" s="190">
        <f>E23*'Data Komponen'!$D$11</f>
        <v>0.0</v>
      </c>
      <c r="D23" s="189">
        <f>E23/E$36</f>
        <v>0.0</v>
      </c>
      <c r="E23" s="191">
        <f>'NME-6 Pirolisis'!I23</f>
        <v>0.0</v>
      </c>
      <c r="F23" s="189">
        <f>G23/G$36</f>
        <v>0.0</v>
      </c>
      <c r="G23" s="190">
        <f>I23*'Data Komponen'!$D$11</f>
        <v>0.0</v>
      </c>
      <c r="H23" s="189">
        <f>I23/I$36</f>
        <v>0.0</v>
      </c>
      <c r="I23" s="191">
        <f>0</f>
        <v>0.0</v>
      </c>
      <c r="J23" s="189">
        <f>K23/K$36</f>
        <v>0.0</v>
      </c>
      <c r="K23" s="190">
        <f>M23*'Data Komponen'!$D$11</f>
        <v>0.0</v>
      </c>
      <c r="L23" s="189">
        <f>M23/M$36</f>
        <v>0.0</v>
      </c>
      <c r="M23" s="191">
        <f>E23</f>
        <v>0.0</v>
      </c>
    </row>
    <row r="24">
      <c r="A24" s="188" t="inlineStr">
        <is>
          <t>NCl₃</t>
        </is>
      </c>
      <c r="B24" s="189">
        <f>C24/C$36</f>
        <v>0.0</v>
      </c>
      <c r="C24" s="190">
        <f>E24*'Data Komponen'!$D$12</f>
        <v>0.0</v>
      </c>
      <c r="D24" s="189">
        <f>E24/E$36</f>
        <v>0.0</v>
      </c>
      <c r="E24" s="191">
        <f>'NME-6 Pirolisis'!I24</f>
        <v>0.0</v>
      </c>
      <c r="F24" s="189">
        <f>G24/G$36</f>
        <v>0.0</v>
      </c>
      <c r="G24" s="190">
        <f>I24*'Data Komponen'!$D$12</f>
        <v>0.0</v>
      </c>
      <c r="H24" s="189">
        <f>I24/I$36</f>
        <v>0.0</v>
      </c>
      <c r="I24" s="191">
        <f>0</f>
        <v>0.0</v>
      </c>
      <c r="J24" s="189">
        <f>K24/K$36</f>
        <v>0.0</v>
      </c>
      <c r="K24" s="190">
        <f>M24*'Data Komponen'!$D$12</f>
        <v>0.0</v>
      </c>
      <c r="L24" s="189">
        <f>M24/M$36</f>
        <v>0.0</v>
      </c>
      <c r="M24" s="191">
        <f>E24</f>
        <v>0.0</v>
      </c>
    </row>
    <row r="25">
      <c r="A25" s="188" t="inlineStr">
        <is>
          <t>H₂</t>
        </is>
      </c>
      <c r="B25" s="189">
        <f>C25/C$36</f>
        <v>0.0</v>
      </c>
      <c r="C25" s="190">
        <f>E25*'Data Komponen'!$D$13</f>
        <v>0.0</v>
      </c>
      <c r="D25" s="189">
        <f>E25/E$36</f>
        <v>0.0</v>
      </c>
      <c r="E25" s="191">
        <f>'NME-6 Pirolisis'!I25</f>
        <v>0.0</v>
      </c>
      <c r="F25" s="189">
        <f>G25/G$36</f>
        <v>0.0</v>
      </c>
      <c r="G25" s="190">
        <f>I25*'Data Komponen'!$D$13</f>
        <v>0.0</v>
      </c>
      <c r="H25" s="189">
        <f>I25/I$36</f>
        <v>0.0</v>
      </c>
      <c r="I25" s="191">
        <f>0</f>
        <v>0.0</v>
      </c>
      <c r="J25" s="189">
        <f>K25/K$36</f>
        <v>0.0</v>
      </c>
      <c r="K25" s="190">
        <f>M25*'Data Komponen'!$D$13</f>
        <v>0.0</v>
      </c>
      <c r="L25" s="189">
        <f>M25/M$36</f>
        <v>0.0</v>
      </c>
      <c r="M25" s="191">
        <f>E25</f>
        <v>0.0</v>
      </c>
    </row>
    <row r="26">
      <c r="A26" s="188" t="inlineStr">
        <is>
          <t>O₂</t>
        </is>
      </c>
      <c r="B26" s="189">
        <f>C26/C$36</f>
        <v>0.0</v>
      </c>
      <c r="C26" s="190">
        <f>E26*'Data Komponen'!$D$14</f>
        <v>0.0</v>
      </c>
      <c r="D26" s="189">
        <f>E26/E$36</f>
        <v>0.0</v>
      </c>
      <c r="E26" s="191">
        <f>'NME-6 Pirolisis'!I26</f>
        <v>0.0</v>
      </c>
      <c r="F26" s="189">
        <f>G26/G$36</f>
        <v>0.0</v>
      </c>
      <c r="G26" s="190">
        <f>I26*'Data Komponen'!$D$14</f>
        <v>0.0</v>
      </c>
      <c r="H26" s="189">
        <f>I26/I$36</f>
        <v>0.0</v>
      </c>
      <c r="I26" s="191">
        <f>0</f>
        <v>0.0</v>
      </c>
      <c r="J26" s="189">
        <f>K26/K$36</f>
        <v>0.0</v>
      </c>
      <c r="K26" s="190">
        <f>M26*'Data Komponen'!$D$14</f>
        <v>0.0</v>
      </c>
      <c r="L26" s="189">
        <f>M26/M$36</f>
        <v>0.0</v>
      </c>
      <c r="M26" s="191">
        <f>E26</f>
        <v>0.0</v>
      </c>
    </row>
    <row r="27">
      <c r="A27" s="188" t="inlineStr">
        <is>
          <t>N₂</t>
        </is>
      </c>
      <c r="B27" s="189">
        <f>C27/C$36</f>
        <v>0.0</v>
      </c>
      <c r="C27" s="190">
        <f>E27*'Data Komponen'!$D$15</f>
        <v>0.0</v>
      </c>
      <c r="D27" s="189">
        <f>E27/E$36</f>
        <v>0.0</v>
      </c>
      <c r="E27" s="191">
        <f>'NME-6 Pirolisis'!I27</f>
        <v>0.0</v>
      </c>
      <c r="F27" s="189">
        <f>G27/G$36</f>
        <v>0.0</v>
      </c>
      <c r="G27" s="190">
        <f>I27*'Data Komponen'!$D$15</f>
        <v>0.0</v>
      </c>
      <c r="H27" s="189">
        <f>I27/I$36</f>
        <v>0.0</v>
      </c>
      <c r="I27" s="191">
        <f>0</f>
        <v>0.0</v>
      </c>
      <c r="J27" s="189">
        <f>K27/K$36</f>
        <v>0.0</v>
      </c>
      <c r="K27" s="190">
        <f>M27*'Data Komponen'!$D$15</f>
        <v>0.0</v>
      </c>
      <c r="L27" s="189">
        <f>M27/M$36</f>
        <v>0.0</v>
      </c>
      <c r="M27" s="191">
        <f>E27</f>
        <v>0.0</v>
      </c>
    </row>
    <row r="28">
      <c r="A28" s="188" t="inlineStr">
        <is>
          <t>CO₂</t>
        </is>
      </c>
      <c r="B28" s="189">
        <f>C28/C$36</f>
        <v>0.0</v>
      </c>
      <c r="C28" s="190">
        <f>E28*'Data Komponen'!$D$16</f>
        <v>0.0</v>
      </c>
      <c r="D28" s="189">
        <f>E28/E$36</f>
        <v>0.0</v>
      </c>
      <c r="E28" s="191">
        <f>'NME-6 Pirolisis'!I28</f>
        <v>0.0</v>
      </c>
      <c r="F28" s="189">
        <f>G28/G$36</f>
        <v>0.0</v>
      </c>
      <c r="G28" s="190">
        <f>I28*'Data Komponen'!$D$16</f>
        <v>0.0</v>
      </c>
      <c r="H28" s="189">
        <f>I28/I$36</f>
        <v>0.0</v>
      </c>
      <c r="I28" s="191">
        <f>0</f>
        <v>0.0</v>
      </c>
      <c r="J28" s="189">
        <f>K28/K$36</f>
        <v>0.0</v>
      </c>
      <c r="K28" s="190">
        <f>M28*'Data Komponen'!$D$16</f>
        <v>0.0</v>
      </c>
      <c r="L28" s="189">
        <f>M28/M$36</f>
        <v>0.0</v>
      </c>
      <c r="M28" s="191">
        <f>E28</f>
        <v>0.0</v>
      </c>
    </row>
    <row r="29">
      <c r="A29" s="188" t="inlineStr">
        <is>
          <t>EDC</t>
        </is>
      </c>
      <c r="B29" s="189">
        <f>C29/C$36</f>
        <v>0.44997557984069364</v>
      </c>
      <c r="C29" s="190">
        <f>E29*'Data Komponen'!$D$17</f>
        <v>33412.3584654955</v>
      </c>
      <c r="D29" s="189">
        <f>E29/E$36</f>
        <v>0.2918352258038551</v>
      </c>
      <c r="E29" s="191">
        <f>'NME-6 Pirolisis'!I29</f>
        <v>337.63840040315176</v>
      </c>
      <c r="F29" s="189">
        <f>G29/G$36</f>
        <v>0.0</v>
      </c>
      <c r="G29" s="190">
        <f>I29*'Data Komponen'!$D$17</f>
        <v>0.0</v>
      </c>
      <c r="H29" s="189">
        <f>I29/I$36</f>
        <v>0.0</v>
      </c>
      <c r="I29" s="191">
        <f>0</f>
        <v>0.0</v>
      </c>
      <c r="J29" s="189">
        <f>K29/K$36</f>
        <v>0.5642923311949061</v>
      </c>
      <c r="K29" s="190">
        <f>M29*'Data Komponen'!$D$17</f>
        <v>33412.3584654955</v>
      </c>
      <c r="L29" s="189">
        <f>M29/M$36</f>
        <v>0.4517904985855777</v>
      </c>
      <c r="M29" s="191">
        <f>E29</f>
        <v>337.63840040315176</v>
      </c>
    </row>
    <row r="30">
      <c r="A30" s="188" t="inlineStr">
        <is>
          <t>TCE</t>
        </is>
      </c>
      <c r="B30" s="189">
        <f>C30/C$36</f>
        <v>9.000603106538252e-06</v>
      </c>
      <c r="C30" s="190">
        <f>E30*'Data Komponen'!$D$18</f>
        <v>0.6683282179619111</v>
      </c>
      <c r="D30" s="189">
        <f>E30/E$36</f>
        <v>4.330221179453052e-06</v>
      </c>
      <c r="E30" s="191">
        <f>'NME-6 Pirolisis'!I30</f>
        <v>0.005009843991228917</v>
      </c>
      <c r="F30" s="189">
        <f>G30/G$36</f>
        <v>0.0</v>
      </c>
      <c r="G30" s="190">
        <f>I30*'Data Komponen'!$D$18</f>
        <v>0.0</v>
      </c>
      <c r="H30" s="189">
        <f>I30/I$36</f>
        <v>0.0</v>
      </c>
      <c r="I30" s="191">
        <f>0</f>
        <v>0.0</v>
      </c>
      <c r="J30" s="189">
        <f>K30/K$36</f>
        <v>1.1287215432772394e-05</v>
      </c>
      <c r="K30" s="190">
        <f>M30*'Data Komponen'!$D$18</f>
        <v>0.6683282179619111</v>
      </c>
      <c r="L30" s="189">
        <f>M30/M$36</f>
        <v>6.703621128197196e-06</v>
      </c>
      <c r="M30" s="191">
        <f>E30</f>
        <v>0.005009843991228917</v>
      </c>
    </row>
    <row r="31">
      <c r="A31" s="188" t="inlineStr">
        <is>
          <t>HCl</t>
        </is>
      </c>
      <c r="B31" s="189">
        <f>C31/C$36</f>
        <v>0.19959452730205052</v>
      </c>
      <c r="C31" s="190">
        <f>E31*'Data Komponen'!$D$19</f>
        <v>14820.63514719679</v>
      </c>
      <c r="D31" s="189">
        <f>E31/E$36</f>
        <v>0.35133718573164124</v>
      </c>
      <c r="E31" s="191">
        <f>'NME-6 Pirolisis'!I31</f>
        <v>406.47911870757224</v>
      </c>
      <c r="F31" s="189">
        <f>G31/G$36</f>
        <v>0.9852411288573418</v>
      </c>
      <c r="G31" s="190">
        <f>I31*'Data Komponen'!$D$19</f>
        <v>14820.622520934165</v>
      </c>
      <c r="H31" s="189">
        <f>I31/I$36</f>
        <v>0.9923440742159971</v>
      </c>
      <c r="I31" s="191">
        <f>E31-M31</f>
        <v>406.4787724125549</v>
      </c>
      <c r="J31" s="189">
        <f>K31/K$36</f>
        <v>2.1324155189495443e-07</v>
      </c>
      <c r="K31" s="190">
        <f>M31*'Data Komponen'!$D$19</f>
        <v>0.01262626262626249</v>
      </c>
      <c r="L31" s="189">
        <f>M31/M$36</f>
        <v>4.6337382934789143e-07</v>
      </c>
      <c r="M31" s="191">
        <f>$B$6/(1-$B$6)*('NME-8 Kolom VCM'!G35+'NME-8 Kolom VCM'!G30)/'Data Komponen'!$D$19</f>
        <v>0.000346295017313362</v>
      </c>
    </row>
    <row r="32">
      <c r="A32" s="188" t="inlineStr">
        <is>
          <t>FeCl₃</t>
        </is>
      </c>
      <c r="B32" s="189">
        <f>C32/C$36</f>
        <v>0.0</v>
      </c>
      <c r="C32" s="190">
        <f>E32*'Data Komponen'!$D$20</f>
        <v>0.0</v>
      </c>
      <c r="D32" s="189">
        <f>E32/E$36</f>
        <v>0.0</v>
      </c>
      <c r="E32" s="191">
        <f>'NME-6 Pirolisis'!I32</f>
        <v>0.0</v>
      </c>
      <c r="F32" s="189">
        <f>G32/G$36</f>
        <v>0.0</v>
      </c>
      <c r="G32" s="190">
        <f>I32*'Data Komponen'!$D$20</f>
        <v>0.0</v>
      </c>
      <c r="H32" s="189">
        <f>I32/I$36</f>
        <v>0.0</v>
      </c>
      <c r="I32" s="191">
        <f>0</f>
        <v>0.0</v>
      </c>
      <c r="J32" s="189">
        <f>K32/K$36</f>
        <v>0.0</v>
      </c>
      <c r="K32" s="190">
        <f>M32*'Data Komponen'!$D$20</f>
        <v>0.0</v>
      </c>
      <c r="L32" s="189">
        <f>M32/M$36</f>
        <v>0.0</v>
      </c>
      <c r="M32" s="191">
        <f>E32</f>
        <v>0.0</v>
      </c>
    </row>
    <row r="33">
      <c r="A33" s="188" t="inlineStr">
        <is>
          <t>C₂H₅Cl</t>
        </is>
      </c>
      <c r="B33" s="189">
        <f>C33/C$36</f>
        <v>0.0</v>
      </c>
      <c r="C33" s="190">
        <f>E33*'Data Komponen'!$D$21</f>
        <v>0.0</v>
      </c>
      <c r="D33" s="189">
        <f>E33/E$36</f>
        <v>0.0</v>
      </c>
      <c r="E33" s="191">
        <f>'NME-6 Pirolisis'!I33</f>
        <v>0.0</v>
      </c>
      <c r="F33" s="189">
        <f>G33/G$36</f>
        <v>0.0</v>
      </c>
      <c r="G33" s="190">
        <f>I33*'Data Komponen'!$D$21</f>
        <v>0.0</v>
      </c>
      <c r="H33" s="189">
        <f>I33/I$36</f>
        <v>0.0</v>
      </c>
      <c r="I33" s="191">
        <f>0</f>
        <v>0.0</v>
      </c>
      <c r="J33" s="189">
        <f>K33/K$36</f>
        <v>0.0</v>
      </c>
      <c r="K33" s="190">
        <f>M33*'Data Komponen'!$D$21</f>
        <v>0.0</v>
      </c>
      <c r="L33" s="189">
        <f>M33/M$36</f>
        <v>0.0</v>
      </c>
      <c r="M33" s="191">
        <f>E33</f>
        <v>0.0</v>
      </c>
    </row>
    <row r="34">
      <c r="A34" s="188" t="inlineStr">
        <is>
          <t>VCM</t>
        </is>
      </c>
      <c r="B34" s="189">
        <f>C34/C$36</f>
        <v>0.3421361327434011</v>
      </c>
      <c r="C34" s="190">
        <f>E34*'Data Komponen'!$D$22</f>
        <v>25404.878894245834</v>
      </c>
      <c r="D34" s="189">
        <f>E34/E$36</f>
        <v>0.3513475157610198</v>
      </c>
      <c r="E34" s="191">
        <f>'NME-6 Pirolisis'!I34</f>
        <v>406.4910700221741</v>
      </c>
      <c r="F34" s="189">
        <f>G34/G$36</f>
        <v>0.00017018363534467435</v>
      </c>
      <c r="G34" s="190">
        <f>I34*'Data Komponen'!$D$22</f>
        <v>2.56001028053807</v>
      </c>
      <c r="H34" s="189">
        <f>I34/I$36</f>
        <v>0.0001</v>
      </c>
      <c r="I34" s="191">
        <f>$B$7/(1-$B$7)*(I31+I19)</f>
        <v>0.0409614752558173</v>
      </c>
      <c r="J34" s="189">
        <f>K34/K$36</f>
        <v>0.4290129281233482</v>
      </c>
      <c r="K34" s="190">
        <f>M34*'Data Komponen'!$D$22</f>
        <v>25402.318883965298</v>
      </c>
      <c r="L34" s="189">
        <f>M34/M$36</f>
        <v>0.543866743152774</v>
      </c>
      <c r="M34" s="191">
        <f>E34-I34</f>
        <v>406.4501085469183</v>
      </c>
    </row>
    <row r="35">
      <c r="A35" s="188" t="inlineStr">
        <is>
          <t>C₄H₈Cl₂ (berat)</t>
        </is>
      </c>
      <c r="B35" s="189">
        <f>C35/C$36</f>
        <v>0.005294113652669008</v>
      </c>
      <c r="C35" s="190">
        <f>E35*'Data Komponen'!$D$23</f>
        <v>393.1076063787176</v>
      </c>
      <c r="D35" s="189">
        <f>E35/E$36</f>
        <v>0.0026751562365353414</v>
      </c>
      <c r="E35" s="191">
        <f>'NME-6 Pirolisis'!I35</f>
        <v>3.0950186703622276</v>
      </c>
      <c r="F35" s="189">
        <f>G35/G$36</f>
        <v>0.0</v>
      </c>
      <c r="G35" s="190">
        <f>I35*'Data Komponen'!$D$23</f>
        <v>0.0</v>
      </c>
      <c r="H35" s="189">
        <f>I35/I$36</f>
        <v>0.0</v>
      </c>
      <c r="I35" s="191">
        <f>0</f>
        <v>0.0</v>
      </c>
      <c r="J35" s="189">
        <f>K35/K$36</f>
        <v>0.006639088582836035</v>
      </c>
      <c r="K35" s="190">
        <f>M35*'Data Komponen'!$D$23</f>
        <v>393.1076063787176</v>
      </c>
      <c r="L35" s="189">
        <f>M35/M$36</f>
        <v>0.004141412903701133</v>
      </c>
      <c r="M35" s="191">
        <f>E35</f>
        <v>3.0950186703622276</v>
      </c>
    </row>
    <row r="36">
      <c r="A36" s="182" t="inlineStr">
        <is>
          <t>Sub Total</t>
        </is>
      </c>
      <c r="B36" s="189">
        <f>SUM(B15:B35)</f>
        <v>1.0</v>
      </c>
      <c r="C36" s="190">
        <f>SUM(C15:C35)</f>
        <v>74253.71500676678</v>
      </c>
      <c r="D36" s="189">
        <f>SUM(D15:D35)</f>
        <v>1.0</v>
      </c>
      <c r="E36" s="191">
        <f>SUM(E15:E35)</f>
        <v>1156.9487524103115</v>
      </c>
      <c r="F36" s="189">
        <f>SUM(F15:F35)</f>
        <v>1.0</v>
      </c>
      <c r="G36" s="190">
        <f>SUM(G15:G35)</f>
        <v>15042.634830036739</v>
      </c>
      <c r="H36" s="189">
        <f>SUM(H15:H35)</f>
        <v>1.0</v>
      </c>
      <c r="I36" s="191">
        <f>SUM(I15:I35)</f>
        <v>409.614752558173</v>
      </c>
      <c r="J36" s="189">
        <f>SUM(J15:J35)</f>
        <v>0.9999999999999998</v>
      </c>
      <c r="K36" s="190">
        <f>SUM(K15:K35)</f>
        <v>59211.08017673006</v>
      </c>
      <c r="L36" s="189">
        <f>SUM(L15:L35)</f>
        <v>1.0</v>
      </c>
      <c r="M36" s="191">
        <f>SUM(M15:M35)</f>
        <v>747.3339998521386</v>
      </c>
    </row>
    <row r="37">
      <c r="A37" s="182" t="inlineStr">
        <is>
          <t>TOTAL MASSA</t>
        </is>
      </c>
      <c r="B37" s="190">
        <f>C36</f>
        <v>74253.71500676678</v>
      </c>
      <c r="C37" s="183" t="n"/>
      <c r="D37" s="183" t="n"/>
      <c r="E37" s="184" t="n"/>
      <c r="F37" s="190">
        <f>G36+K36</f>
        <v>74253.7150067668</v>
      </c>
      <c r="G37" s="183" t="n"/>
      <c r="H37" s="183" t="n"/>
      <c r="I37" s="183" t="n"/>
      <c r="J37" s="183" t="n"/>
      <c r="K37" s="183" t="n"/>
      <c r="L37" s="183" t="n"/>
      <c r="M37" s="184" t="n"/>
    </row>
    <row r="38">
      <c r="A38" s="182" t="inlineStr">
        <is>
          <t>Selisih (Inlet − Outlet), kg/h</t>
        </is>
      </c>
      <c r="B38" s="190">
        <f>B37-F37</f>
        <v>-1.4551915228366852e-11</v>
      </c>
      <c r="C38" s="183" t="n"/>
      <c r="D38" s="183" t="n"/>
      <c r="E38" s="183" t="n"/>
      <c r="F38" s="183" t="n"/>
      <c r="G38" s="183" t="n"/>
      <c r="H38" s="183" t="n"/>
      <c r="I38" s="183" t="n"/>
      <c r="J38" s="183" t="n"/>
      <c r="K38" s="183" t="n"/>
      <c r="L38" s="183" t="n"/>
      <c r="M38" s="184" t="n"/>
    </row>
    <row r="41">
      <c r="A41" s="172" t="inlineStr">
        <is>
          <t>Neraca Energi E-108: Pendingin umpan kolom HCl</t>
        </is>
      </c>
    </row>
    <row r="42">
      <c r="A42" s="174" t="inlineStr">
        <is>
          <t>Reference state: unsur pada 25 °C dan 1 atm (metode panas pembentukan)</t>
        </is>
      </c>
    </row>
    <row r="43">
      <c r="A43" s="182" t="inlineStr">
        <is>
          <t>No. aliran PFD</t>
        </is>
      </c>
      <c r="B43" s="182" t="n">
        <v>40</v>
      </c>
      <c r="C43" s="184" t="n"/>
      <c r="D43" s="182" t="n">
        <v>41</v>
      </c>
      <c r="E43" s="184" t="n"/>
    </row>
    <row r="44">
      <c r="A44" s="182" t="inlineStr">
        <is>
          <t>Dari</t>
        </is>
      </c>
      <c r="B44" s="192" t="inlineStr">
        <is>
          <t>Q-101</t>
        </is>
      </c>
      <c r="C44" s="184" t="n"/>
      <c r="D44" s="192" t="inlineStr">
        <is>
          <t>E-108</t>
        </is>
      </c>
      <c r="E44" s="184" t="n"/>
    </row>
    <row r="45">
      <c r="A45" s="182" t="inlineStr">
        <is>
          <t>Ke</t>
        </is>
      </c>
      <c r="B45" s="192" t="inlineStr">
        <is>
          <t>E-108</t>
        </is>
      </c>
      <c r="C45" s="184" t="n"/>
      <c r="D45" s="192" t="inlineStr">
        <is>
          <t>KD-103</t>
        </is>
      </c>
      <c r="E45" s="184" t="n"/>
    </row>
    <row r="46">
      <c r="A46" s="182" t="inlineStr">
        <is>
          <t>T (K)</t>
        </is>
      </c>
      <c r="B46" s="193">
        <f>'NME-6 Pirolisis'!$D$124</f>
        <v>353.15</v>
      </c>
      <c r="C46" s="184" t="n"/>
      <c r="D46" s="193">
        <f>D47+273.15</f>
        <v>303.15</v>
      </c>
      <c r="E46" s="184" t="n"/>
    </row>
    <row r="47">
      <c r="A47" s="182" t="inlineStr">
        <is>
          <t>T (°C)</t>
        </is>
      </c>
      <c r="B47" s="193">
        <f>'NME-6 Pirolisis'!$D$125</f>
        <v>80.0</v>
      </c>
      <c r="C47" s="184" t="n"/>
      <c r="D47" s="193" t="n">
        <v>30</v>
      </c>
      <c r="E47" s="184" t="n"/>
    </row>
    <row r="48">
      <c r="A48" s="182" t="inlineStr">
        <is>
          <t>P (bar abs)</t>
        </is>
      </c>
      <c r="B48" s="194">
        <f>'NME-6 Pirolisis'!$D$126</f>
        <v>11.0</v>
      </c>
      <c r="C48" s="184" t="n"/>
      <c r="D48" s="194" t="n">
        <v>11</v>
      </c>
      <c r="E48" s="184" t="n"/>
    </row>
    <row r="49">
      <c r="A49" s="182" t="inlineStr">
        <is>
          <t>Substance</t>
        </is>
      </c>
      <c r="B49" s="182" t="inlineStr">
        <is>
          <t>INLET</t>
        </is>
      </c>
      <c r="C49" s="184" t="n"/>
      <c r="D49" s="182" t="inlineStr">
        <is>
          <t>OUTLET</t>
        </is>
      </c>
      <c r="E49" s="184" t="n"/>
    </row>
    <row r="50">
      <c r="A50" s="185" t="n"/>
      <c r="B50" s="182" t="inlineStr">
        <is>
          <t>Aliran 40</t>
        </is>
      </c>
      <c r="C50" s="184" t="n"/>
      <c r="D50" s="182" t="inlineStr">
        <is>
          <t>Aliran 41</t>
        </is>
      </c>
      <c r="E50" s="184" t="n"/>
    </row>
    <row r="51">
      <c r="A51" s="186" t="n"/>
      <c r="B51" s="182" t="inlineStr">
        <is>
          <t>ṅᵢ (kmol/h)</t>
        </is>
      </c>
      <c r="C51" s="182" t="inlineStr">
        <is>
          <t>Ĥᵢ (kJ/kmol)</t>
        </is>
      </c>
      <c r="D51" s="182" t="inlineStr">
        <is>
          <t>ṅᵢ (kmol/h)</t>
        </is>
      </c>
      <c r="E51" s="182" t="inlineStr">
        <is>
          <t>Ĥᵢ (kJ/kmol)</t>
        </is>
      </c>
    </row>
    <row r="52">
      <c r="A52" s="188" t="inlineStr">
        <is>
          <t>Cl₂ (g)</t>
        </is>
      </c>
      <c r="B52" s="191">
        <f>E19</f>
        <v>3.095018670362267</v>
      </c>
      <c r="C52" s="195">
        <f>'Data Termo'!$W$10+('Data Termo'!$E$10*($B$46-298.15)+'Data Termo'!$F$10/2*($B$46^2-298.15^2)+'Data Termo'!$G$10/3*($B$46^3-298.15^3)+'Data Termo'!$H$10/4*($B$46^4-298.15^4)+'Data Termo'!$I$10/5*($B$46^5-298.15^5))</f>
        <v>1875.5064263304025</v>
      </c>
      <c r="D52" s="191">
        <f>E19</f>
        <v>3.095018670362267</v>
      </c>
      <c r="E52" s="195">
        <f>'Data Termo'!$W$10+('Data Termo'!$E$10*($D$46-298.15)+'Data Termo'!$F$10/2*($D$46^2-298.15^2)+'Data Termo'!$G$10/3*($D$46^3-298.15^3)+'Data Termo'!$H$10/4*($D$46^4-298.15^4)+'Data Termo'!$I$10/5*($D$46^5-298.15^5))</f>
        <v>168.78709752922617</v>
      </c>
    </row>
    <row r="53">
      <c r="A53" s="188" t="inlineStr">
        <is>
          <t>H₂O (l)</t>
        </is>
      </c>
      <c r="B53" s="191">
        <f>E21</f>
        <v>0.14511609269780668</v>
      </c>
      <c r="C53" s="195">
        <f>'Data Termo'!$X$12+('Data Termo'!$J$12*($B$46-298.15)+'Data Termo'!$K$12/2*($B$46^2-298.15^2)+'Data Termo'!$L$12/3*($B$46^3-298.15^3)+'Data Termo'!$M$12/4*($B$46^4-298.15^4))</f>
        <v>-280356.60729102255</v>
      </c>
      <c r="D53" s="191">
        <f>E21</f>
        <v>0.14511609269780668</v>
      </c>
      <c r="E53" s="195">
        <f>'Data Termo'!$X$12+('Data Termo'!$J$12*($D$46-298.15)+'Data Termo'!$K$12/2*($D$46^2-298.15^2)+'Data Termo'!$L$12/3*($D$46^3-298.15^3)+'Data Termo'!$M$12/4*($D$46^4-298.15^4))</f>
        <v>-284115.49215514417</v>
      </c>
    </row>
    <row r="54">
      <c r="A54" s="188" t="inlineStr">
        <is>
          <t>EDC (l)</t>
        </is>
      </c>
      <c r="B54" s="191">
        <f>E29</f>
        <v>337.63840040315176</v>
      </c>
      <c r="C54" s="195">
        <f>'Data Termo'!$X$20+('Data Termo'!$J$20*($B$46-298.15)+'Data Termo'!$K$20/2*($B$46^2-298.15^2)+'Data Termo'!$L$20/3*($B$46^3-298.15^3)+'Data Termo'!$M$20/4*($B$46^4-298.15^4))</f>
        <v>-157439.41867649485</v>
      </c>
      <c r="D54" s="191">
        <f>E29</f>
        <v>337.63840040315176</v>
      </c>
      <c r="E54" s="195">
        <f>'Data Termo'!$X$20+('Data Termo'!$J$20*($D$46-298.15)+'Data Termo'!$K$20/2*($D$46^2-298.15^2)+'Data Termo'!$L$20/3*($D$46^3-298.15^3)+'Data Termo'!$M$20/4*($D$46^4-298.15^4))</f>
        <v>-164105.29056479066</v>
      </c>
    </row>
    <row r="55">
      <c r="A55" s="188" t="inlineStr">
        <is>
          <t>TCE (l)</t>
        </is>
      </c>
      <c r="B55" s="191">
        <f>E30</f>
        <v>0.005009843991228917</v>
      </c>
      <c r="C55" s="195">
        <f>'Data Termo'!$X$21+('Data Termo'!$J$21*($B$46-298.15)+'Data Termo'!$K$21/2*($B$46^2-298.15^2)+'Data Termo'!$L$21/3*($B$46^3-298.15^3)+'Data Termo'!$M$21/4*($B$46^4-298.15^4))</f>
        <v>-168230.88877389175</v>
      </c>
      <c r="D55" s="191">
        <f>E30</f>
        <v>0.005009843991228917</v>
      </c>
      <c r="E55" s="195">
        <f>'Data Termo'!$X$21+('Data Termo'!$J$21*($D$46-298.15)+'Data Termo'!$K$21/2*($D$46^2-298.15^2)+'Data Termo'!$L$21/3*($D$46^3-298.15^3)+'Data Termo'!$M$21/4*($D$46^4-298.15^4))</f>
        <v>-176061.5104953496</v>
      </c>
    </row>
    <row r="56">
      <c r="A56" s="188" t="inlineStr">
        <is>
          <t>HCl (g)</t>
        </is>
      </c>
      <c r="B56" s="191">
        <f>E31</f>
        <v>406.47911870757224</v>
      </c>
      <c r="C56" s="195">
        <f>'Data Termo'!$W$22+('Data Termo'!$E$22*($B$46-298.15)+'Data Termo'!$F$22/2*($B$46^2-298.15^2)+'Data Termo'!$G$22/3*($B$46^3-298.15^3)+'Data Termo'!$H$22/4*($B$46^4-298.15^4)+'Data Termo'!$I$22/5*($B$46^5-298.15^5))</f>
        <v>-90699.68384583016</v>
      </c>
      <c r="D56" s="191">
        <f>E31</f>
        <v>406.47911870757224</v>
      </c>
      <c r="E56" s="195">
        <f>'Data Termo'!$W$22+('Data Termo'!$E$22*($D$46-298.15)+'Data Termo'!$F$22/2*($D$46^2-298.15^2)+'Data Termo'!$G$22/3*($D$46^3-298.15^3)+'Data Termo'!$H$22/4*($D$46^4-298.15^4)+'Data Termo'!$I$22/5*($D$46^5-298.15^5))</f>
        <v>-92154.59665199295</v>
      </c>
    </row>
    <row r="57">
      <c r="A57" s="188" t="inlineStr">
        <is>
          <t>VCM (g / l)</t>
        </is>
      </c>
      <c r="B57" s="191">
        <f>E34</f>
        <v>406.4910700221741</v>
      </c>
      <c r="C57" s="195">
        <f>'Data Termo'!$W$25+('Data Termo'!$E$25*($B$46-298.15)+'Data Termo'!$F$25/2*($B$46^2-298.15^2)+'Data Termo'!$G$25/3*($B$46^3-298.15^3)+'Data Termo'!$H$25/4*($B$46^4-298.15^4)+'Data Termo'!$I$25/5*($B$46^5-298.15^5))</f>
        <v>31626.381370557698</v>
      </c>
      <c r="D57" s="191">
        <f>E34</f>
        <v>406.4910700221741</v>
      </c>
      <c r="E57" s="195">
        <f>'Data Termo'!$X$25+('Data Termo'!$J$25*($D$46-298.15)+'Data Termo'!$K$25/2*($D$46^2-298.15^2)+'Data Termo'!$L$25/3*($D$46^3-298.15^3)+'Data Termo'!$M$25/4*($D$46^4-298.15^4))</f>
        <v>8675.531920408333</v>
      </c>
    </row>
    <row r="58">
      <c r="A58" s="188" t="inlineStr">
        <is>
          <t>C₄H₈Cl₂ (berat) (l)</t>
        </is>
      </c>
      <c r="B58" s="191">
        <f>E35</f>
        <v>3.0950186703622276</v>
      </c>
      <c r="C58" s="195">
        <f>'Data Termo'!$X$26+('Data Termo'!$J$26*($B$46-298.15)+'Data Termo'!$K$26/2*($B$46^2-298.15^2)+'Data Termo'!$L$26/3*($B$46^3-298.15^3)+'Data Termo'!$M$26/4*($B$46^4-298.15^4))</f>
        <v>-213923.58851938247</v>
      </c>
      <c r="D58" s="191">
        <f>E35</f>
        <v>3.0950186703622276</v>
      </c>
      <c r="E58" s="195">
        <f>'Data Termo'!$X$26+('Data Termo'!$J$26*($D$46-298.15)+'Data Termo'!$K$26/2*($D$46^2-298.15^2)+'Data Termo'!$L$26/3*($D$46^3-298.15^3)+'Data Termo'!$M$26/4*($D$46^4-298.15^4))</f>
        <v>-223405.62671791366</v>
      </c>
    </row>
    <row r="59">
      <c r="A59" s="196" t="inlineStr">
        <is>
          <t>Sub Total ṅᵢĤᵢ (kJ/h)</t>
        </is>
      </c>
      <c r="B59" s="197">
        <f>SUMPRODUCT(B52:B58,C52:C58)</f>
        <v>-77867099.27380678</v>
      </c>
      <c r="C59" s="184" t="n"/>
      <c r="D59" s="197">
        <f>SUMPRODUCT(D52:D58,E52:E58)</f>
        <v>-90073674.73994058</v>
      </c>
      <c r="E59" s="184" t="n"/>
    </row>
    <row r="60">
      <c r="A60" s="188" t="inlineStr">
        <is>
          <t>Heat of reaction / heat of mixing</t>
        </is>
      </c>
      <c r="B60" s="198" t="inlineStr">
        <is>
          <t>-</t>
        </is>
      </c>
      <c r="C60" s="183" t="n"/>
      <c r="D60" s="183" t="n"/>
      <c r="E60" s="184" t="n"/>
    </row>
    <row r="61">
      <c r="A61" s="196" t="inlineStr">
        <is>
          <t>Q (kJ/h)</t>
        </is>
      </c>
      <c r="B61" s="197">
        <f>(D59)-(B59)</f>
        <v>-12206575.466133803</v>
      </c>
      <c r="C61" s="183" t="n"/>
      <c r="D61" s="183" t="n"/>
      <c r="E61" s="184" t="n"/>
    </row>
    <row r="62">
      <c r="A62" s="196" t="inlineStr">
        <is>
          <t>W (kJ/h)</t>
        </is>
      </c>
      <c r="B62" s="197" t="n">
        <v>0</v>
      </c>
      <c r="C62" s="183" t="n"/>
      <c r="D62" s="183" t="n"/>
      <c r="E62" s="184" t="n"/>
    </row>
    <row r="63">
      <c r="A63" s="196" t="inlineStr">
        <is>
          <t>TOTAL (kJ/h)</t>
        </is>
      </c>
      <c r="B63" s="197">
        <f>B59+$B$61+$B$62</f>
        <v>-90073674.73994058</v>
      </c>
      <c r="C63" s="184" t="n"/>
      <c r="D63" s="197">
        <f>D59</f>
        <v>-90073674.73994058</v>
      </c>
      <c r="E63" s="184" t="n"/>
    </row>
    <row r="64">
      <c r="A64" s="188" t="inlineStr">
        <is>
          <t>Selisih masuk − keluar (kJ/h)</t>
        </is>
      </c>
      <c r="B64" s="195">
        <f>B63-D63</f>
        <v>0.0</v>
      </c>
      <c r="C64" s="183" t="n"/>
      <c r="D64" s="183" t="n"/>
      <c r="E64" s="184" t="n"/>
    </row>
    <row r="65">
      <c r="A65" s="188" t="inlineStr">
        <is>
          <t>Q (kW)</t>
        </is>
      </c>
      <c r="B65" s="195">
        <f>$B$61/3600</f>
        <v>-3390.71540725939</v>
      </c>
      <c r="C65" s="183" t="n"/>
      <c r="D65" s="183" t="n"/>
      <c r="E65" s="184" t="n"/>
    </row>
    <row r="66">
      <c r="A66" s="188" t="inlineStr">
        <is>
          <t>W (kW)</t>
        </is>
      </c>
      <c r="B66" s="195">
        <f>$B$62/3600</f>
        <v>0.0</v>
      </c>
      <c r="C66" s="183" t="n"/>
      <c r="D66" s="183" t="n"/>
      <c r="E66" s="184" t="n"/>
    </row>
    <row r="69">
      <c r="A69" s="172" t="inlineStr">
        <is>
          <t>Neraca Energi KD-103: Kolom HCl (kondensor dan reboiler)</t>
        </is>
      </c>
    </row>
    <row r="70">
      <c r="A70" s="174" t="inlineStr">
        <is>
          <t>Reference state: unsur pada 25 °C dan 1 atm (metode panas pembentukan)</t>
        </is>
      </c>
    </row>
    <row r="71">
      <c r="A71" s="182" t="inlineStr">
        <is>
          <t>No. aliran PFD</t>
        </is>
      </c>
      <c r="B71" s="182" t="n">
        <v>41</v>
      </c>
      <c r="C71" s="184" t="n"/>
      <c r="D71" s="182" t="n">
        <v>42</v>
      </c>
      <c r="E71" s="184" t="n"/>
      <c r="F71" s="182" t="n">
        <v>45</v>
      </c>
      <c r="G71" s="184" t="n"/>
    </row>
    <row r="72">
      <c r="A72" s="182" t="inlineStr">
        <is>
          <t>Dari</t>
        </is>
      </c>
      <c r="B72" s="192" t="inlineStr">
        <is>
          <t>E-108</t>
        </is>
      </c>
      <c r="C72" s="184" t="n"/>
      <c r="D72" s="192" t="inlineStr">
        <is>
          <t>KD-103</t>
        </is>
      </c>
      <c r="E72" s="184" t="n"/>
      <c r="F72" s="192" t="inlineStr">
        <is>
          <t>KD-103</t>
        </is>
      </c>
      <c r="G72" s="184" t="n"/>
    </row>
    <row r="73">
      <c r="A73" s="182" t="inlineStr">
        <is>
          <t>Ke</t>
        </is>
      </c>
      <c r="B73" s="192" t="inlineStr">
        <is>
          <t>KD-103</t>
        </is>
      </c>
      <c r="C73" s="184" t="n"/>
      <c r="D73" s="192" t="inlineStr">
        <is>
          <t>V-104</t>
        </is>
      </c>
      <c r="E73" s="184" t="n"/>
      <c r="F73" s="192" t="inlineStr">
        <is>
          <t>V-105</t>
        </is>
      </c>
      <c r="G73" s="184" t="n"/>
    </row>
    <row r="74">
      <c r="A74" s="182" t="inlineStr">
        <is>
          <t>T (K)</t>
        </is>
      </c>
      <c r="B74" s="193">
        <f>$D$46</f>
        <v>303.15</v>
      </c>
      <c r="C74" s="184" t="n"/>
      <c r="D74" s="193">
        <f>D75+273.15</f>
        <v>244.24999999999997</v>
      </c>
      <c r="E74" s="184" t="n"/>
      <c r="F74" s="193">
        <f>F75+273.15</f>
        <v>354.15</v>
      </c>
      <c r="G74" s="184" t="n"/>
    </row>
    <row r="75">
      <c r="A75" s="182" t="inlineStr">
        <is>
          <t>T (°C)</t>
        </is>
      </c>
      <c r="B75" s="193">
        <f>$D$47</f>
        <v>30.0</v>
      </c>
      <c r="C75" s="184" t="n"/>
      <c r="D75" s="193" t="n">
        <v>-28.9</v>
      </c>
      <c r="E75" s="184" t="n"/>
      <c r="F75" s="193" t="n">
        <v>81</v>
      </c>
      <c r="G75" s="184" t="n"/>
    </row>
    <row r="76">
      <c r="A76" s="182" t="inlineStr">
        <is>
          <t>P (bar abs)</t>
        </is>
      </c>
      <c r="B76" s="194">
        <f>$D$48</f>
        <v>11.0</v>
      </c>
      <c r="C76" s="184" t="n"/>
      <c r="D76" s="194" t="n">
        <v>11</v>
      </c>
      <c r="E76" s="184" t="n"/>
      <c r="F76" s="194" t="n">
        <v>9.800000000000001</v>
      </c>
      <c r="G76" s="184" t="n"/>
    </row>
    <row r="77">
      <c r="A77" s="182" t="inlineStr">
        <is>
          <t>Substance</t>
        </is>
      </c>
      <c r="B77" s="182" t="inlineStr">
        <is>
          <t>INLET</t>
        </is>
      </c>
      <c r="C77" s="184" t="n"/>
      <c r="D77" s="182" t="inlineStr">
        <is>
          <t>OUTLET</t>
        </is>
      </c>
      <c r="E77" s="183" t="n"/>
      <c r="F77" s="183" t="n"/>
      <c r="G77" s="184" t="n"/>
    </row>
    <row r="78">
      <c r="A78" s="185" t="n"/>
      <c r="B78" s="182" t="inlineStr">
        <is>
          <t>Aliran 41</t>
        </is>
      </c>
      <c r="C78" s="184" t="n"/>
      <c r="D78" s="182" t="inlineStr">
        <is>
          <t>Aliran 42</t>
        </is>
      </c>
      <c r="E78" s="184" t="n"/>
      <c r="F78" s="182" t="inlineStr">
        <is>
          <t>Aliran 45</t>
        </is>
      </c>
      <c r="G78" s="184" t="n"/>
    </row>
    <row r="79">
      <c r="A79" s="186" t="n"/>
      <c r="B79" s="182" t="inlineStr">
        <is>
          <t>ṅᵢ (kmol/h)</t>
        </is>
      </c>
      <c r="C79" s="182" t="inlineStr">
        <is>
          <t>Ĥᵢ (kJ/kmol)</t>
        </is>
      </c>
      <c r="D79" s="182" t="inlineStr">
        <is>
          <t>ṅᵢ (kmol/h)</t>
        </is>
      </c>
      <c r="E79" s="182" t="inlineStr">
        <is>
          <t>Ĥᵢ (kJ/kmol)</t>
        </is>
      </c>
      <c r="F79" s="182" t="inlineStr">
        <is>
          <t>ṅᵢ (kmol/h)</t>
        </is>
      </c>
      <c r="G79" s="182" t="inlineStr">
        <is>
          <t>Ĥᵢ (kJ/kmol)</t>
        </is>
      </c>
    </row>
    <row r="80">
      <c r="A80" s="188" t="inlineStr">
        <is>
          <t>Cl₂ (g / l / l)</t>
        </is>
      </c>
      <c r="B80" s="191">
        <f>E19</f>
        <v>3.095018670362267</v>
      </c>
      <c r="C80" s="195">
        <f>'Data Termo'!$W$10+('Data Termo'!$E$10*($B$74-298.15)+'Data Termo'!$F$10/2*($B$74^2-298.15^2)+'Data Termo'!$G$10/3*($B$74^3-298.15^3)+'Data Termo'!$H$10/4*($B$74^4-298.15^4)+'Data Termo'!$I$10/5*($B$74^5-298.15^5))</f>
        <v>168.78709752922617</v>
      </c>
      <c r="D80" s="191">
        <f>I19</f>
        <v>3.095018670362267</v>
      </c>
      <c r="E80" s="195">
        <f>'Data Termo'!$X$10+('Data Termo'!$J$10*($D$74-298.15)+'Data Termo'!$K$10/2*($D$74^2-298.15^2)+'Data Termo'!$L$10/3*($D$74^3-298.15^3)+'Data Termo'!$M$10/4*($D$74^4-298.15^4))</f>
        <v>-21044.74570250154</v>
      </c>
      <c r="F80" s="191">
        <f>M19</f>
        <v>0.0</v>
      </c>
      <c r="G80" s="195">
        <f>'Data Termo'!$X$10+('Data Termo'!$J$10*($F$74-298.15)+'Data Termo'!$K$10/2*($F$74^2-298.15^2)+'Data Termo'!$L$10/3*($F$74^3-298.15^3)+'Data Termo'!$M$10/4*($F$74^4-298.15^4))</f>
        <v>-12741.659963346372</v>
      </c>
    </row>
    <row r="81">
      <c r="A81" s="188" t="inlineStr">
        <is>
          <t>H₂O (l)</t>
        </is>
      </c>
      <c r="B81" s="191">
        <f>E21</f>
        <v>0.14511609269780668</v>
      </c>
      <c r="C81" s="195">
        <f>'Data Termo'!$X$12+('Data Termo'!$J$12*($B$74-298.15)+'Data Termo'!$K$12/2*($B$74^2-298.15^2)+'Data Termo'!$L$12/3*($B$74^3-298.15^3)+'Data Termo'!$M$12/4*($B$74^4-298.15^4))</f>
        <v>-284115.49215514417</v>
      </c>
      <c r="D81" s="191">
        <f>I21</f>
        <v>0.0</v>
      </c>
      <c r="E81" s="195">
        <f>'Data Termo'!$X$12+('Data Termo'!$J$12*($D$74-298.15)+'Data Termo'!$K$12/2*($D$74^2-298.15^2)+'Data Termo'!$L$12/3*($D$74^3-298.15^3)+'Data Termo'!$M$12/4*($D$74^4-298.15^4))</f>
        <v>-288611.805736987</v>
      </c>
      <c r="F81" s="191">
        <f>M21</f>
        <v>0.14511609269780668</v>
      </c>
      <c r="G81" s="195">
        <f>'Data Termo'!$X$12+('Data Termo'!$J$12*($F$74-298.15)+'Data Termo'!$K$12/2*($F$74^2-298.15^2)+'Data Termo'!$L$12/3*($F$74^3-298.15^3)+'Data Termo'!$M$12/4*($F$74^4-298.15^4))</f>
        <v>-280281.4272487552</v>
      </c>
    </row>
    <row r="82">
      <c r="A82" s="188" t="inlineStr">
        <is>
          <t>EDC (l)</t>
        </is>
      </c>
      <c r="B82" s="191">
        <f>E29</f>
        <v>337.63840040315176</v>
      </c>
      <c r="C82" s="195">
        <f>'Data Termo'!$X$20+('Data Termo'!$J$20*($B$74-298.15)+'Data Termo'!$K$20/2*($B$74^2-298.15^2)+'Data Termo'!$L$20/3*($B$74^3-298.15^3)+'Data Termo'!$M$20/4*($B$74^4-298.15^4))</f>
        <v>-164105.29056479066</v>
      </c>
      <c r="D82" s="191">
        <f>I29</f>
        <v>0.0</v>
      </c>
      <c r="E82" s="195">
        <f>'Data Termo'!$X$20+('Data Termo'!$J$20*($D$74-298.15)+'Data Termo'!$K$20/2*($D$74^2-298.15^2)+'Data Termo'!$L$20/3*($D$74^3-298.15^3)+'Data Termo'!$M$20/4*($D$74^4-298.15^4))</f>
        <v>-171482.53171043674</v>
      </c>
      <c r="F82" s="191">
        <f>M29</f>
        <v>337.63840040315176</v>
      </c>
      <c r="G82" s="195">
        <f>'Data Termo'!$X$20+('Data Termo'!$J$20*($F$74-298.15)+'Data Termo'!$K$20/2*($F$74^2-298.15^2)+'Data Termo'!$L$20/3*($F$74^3-298.15^3)+'Data Termo'!$M$20/4*($F$74^4-298.15^4))</f>
        <v>-157301.89385144098</v>
      </c>
    </row>
    <row r="83">
      <c r="A83" s="188" t="inlineStr">
        <is>
          <t>TCE (l)</t>
        </is>
      </c>
      <c r="B83" s="191">
        <f>E30</f>
        <v>0.005009843991228917</v>
      </c>
      <c r="C83" s="195">
        <f>'Data Termo'!$X$21+('Data Termo'!$J$21*($B$74-298.15)+'Data Termo'!$K$21/2*($B$74^2-298.15^2)+'Data Termo'!$L$21/3*($B$74^3-298.15^3)+'Data Termo'!$M$21/4*($B$74^4-298.15^4))</f>
        <v>-176061.5104953496</v>
      </c>
      <c r="D83" s="191">
        <f>I30</f>
        <v>0.0</v>
      </c>
      <c r="E83" s="195">
        <f>'Data Termo'!$X$21+('Data Termo'!$J$21*($D$74-298.15)+'Data Termo'!$K$21/2*($D$74^2-298.15^2)+'Data Termo'!$L$21/3*($D$74^3-298.15^3)+'Data Termo'!$M$21/4*($D$74^4-298.15^4))</f>
        <v>-184739.44680369837</v>
      </c>
      <c r="F83" s="191">
        <f>M30</f>
        <v>0.005009843991228917</v>
      </c>
      <c r="G83" s="195">
        <f>'Data Termo'!$X$21+('Data Termo'!$J$21*($F$74-298.15)+'Data Termo'!$K$21/2*($F$74^2-298.15^2)+'Data Termo'!$L$21/3*($F$74^3-298.15^3)+'Data Termo'!$M$21/4*($F$74^4-298.15^4))</f>
        <v>-168069.63394001866</v>
      </c>
    </row>
    <row r="84">
      <c r="A84" s="188" t="inlineStr">
        <is>
          <t>HCl (g / l / l)</t>
        </is>
      </c>
      <c r="B84" s="191">
        <f>E31</f>
        <v>406.47911870757224</v>
      </c>
      <c r="C84" s="195">
        <f>'Data Termo'!$W$22+('Data Termo'!$E$22*($B$74-298.15)+'Data Termo'!$F$22/2*($B$74^2-298.15^2)+'Data Termo'!$G$22/3*($B$74^3-298.15^3)+'Data Termo'!$H$22/4*($B$74^4-298.15^4)+'Data Termo'!$I$22/5*($B$74^5-298.15^5))</f>
        <v>-92154.59665199295</v>
      </c>
      <c r="D84" s="191">
        <f>I31</f>
        <v>406.4787724125549</v>
      </c>
      <c r="E84" s="195">
        <f>'Data Termo'!$X$22+('Data Termo'!$J$22*($D$74-298.15)+'Data Termo'!$K$22/2*($D$74^2-298.15^2)+'Data Termo'!$L$22/3*($D$74^3-298.15^3)+'Data Termo'!$M$22/4*($D$74^4-298.15^4))</f>
        <v>-102986.04400212948</v>
      </c>
      <c r="F84" s="191">
        <f>M31</f>
        <v>0.000346295017313362</v>
      </c>
      <c r="G84" s="195">
        <f>'Data Termo'!$X$22+('Data Termo'!$J$22*($F$74-298.15)+'Data Termo'!$K$22/2*($F$74^2-298.15^2)+'Data Termo'!$L$22/3*($F$74^3-298.15^3)+'Data Termo'!$M$22/4*($F$74^4-298.15^4))</f>
        <v>-91860.8668146845</v>
      </c>
    </row>
    <row r="85">
      <c r="A85" s="188" t="inlineStr">
        <is>
          <t>VCM (l)</t>
        </is>
      </c>
      <c r="B85" s="191">
        <f>E34</f>
        <v>406.4910700221741</v>
      </c>
      <c r="C85" s="195">
        <f>'Data Termo'!$X$25+('Data Termo'!$J$25*($B$74-298.15)+'Data Termo'!$K$25/2*($B$74^2-298.15^2)+'Data Termo'!$L$25/3*($B$74^3-298.15^3)+'Data Termo'!$M$25/4*($B$74^4-298.15^4))</f>
        <v>8675.531920408333</v>
      </c>
      <c r="D85" s="191">
        <f>I34</f>
        <v>0.0409614752558173</v>
      </c>
      <c r="E85" s="195">
        <f>'Data Termo'!$X$25+('Data Termo'!$J$25*($D$74-298.15)+'Data Termo'!$K$25/2*($D$74^2-298.15^2)+'Data Termo'!$L$25/3*($D$74^3-298.15^3)+'Data Termo'!$M$25/4*($D$74^4-298.15^4))</f>
        <v>3828.0505842374987</v>
      </c>
      <c r="F85" s="191">
        <f>M34</f>
        <v>406.4501085469183</v>
      </c>
      <c r="G85" s="195">
        <f>'Data Termo'!$X$25+('Data Termo'!$J$25*($F$74-298.15)+'Data Termo'!$K$25/2*($F$74^2-298.15^2)+'Data Termo'!$L$25/3*($F$74^3-298.15^3)+'Data Termo'!$M$25/4*($F$74^4-298.15^4))</f>
        <v>13388.733700239374</v>
      </c>
    </row>
    <row r="86">
      <c r="A86" s="188" t="inlineStr">
        <is>
          <t>C₄H₈Cl₂ (berat) (l)</t>
        </is>
      </c>
      <c r="B86" s="191">
        <f>E35</f>
        <v>3.0950186703622276</v>
      </c>
      <c r="C86" s="195">
        <f>'Data Termo'!$X$26+('Data Termo'!$J$26*($B$74-298.15)+'Data Termo'!$K$26/2*($B$74^2-298.15^2)+'Data Termo'!$L$26/3*($B$74^3-298.15^3)+'Data Termo'!$M$26/4*($B$74^4-298.15^4))</f>
        <v>-223405.62671791366</v>
      </c>
      <c r="D86" s="191">
        <f>I35</f>
        <v>0.0</v>
      </c>
      <c r="E86" s="195">
        <f>'Data Termo'!$X$26+('Data Termo'!$J$26*($D$74-298.15)+'Data Termo'!$K$26/2*($D$74^2-298.15^2)+'Data Termo'!$L$26/3*($D$74^3-298.15^3)+'Data Termo'!$M$26/4*($D$74^4-298.15^4))</f>
        <v>-233995.38999750136</v>
      </c>
      <c r="F86" s="191">
        <f>M35</f>
        <v>3.0950186703622276</v>
      </c>
      <c r="G86" s="195">
        <f>'Data Termo'!$X$26+('Data Termo'!$J$26*($F$74-298.15)+'Data Termo'!$K$26/2*($F$74^2-298.15^2)+'Data Termo'!$L$26/3*($F$74^3-298.15^3)+'Data Termo'!$M$26/4*($F$74^4-298.15^4))</f>
        <v>-213729.18331098295</v>
      </c>
    </row>
    <row r="87">
      <c r="A87" s="196" t="inlineStr">
        <is>
          <t>Sub Total ṅᵢĤᵢ (kJ/h)</t>
        </is>
      </c>
      <c r="B87" s="197">
        <f>SUMPRODUCT(B80:B86,C80:C86)</f>
        <v>-90073674.73994058</v>
      </c>
      <c r="C87" s="184" t="n"/>
      <c r="D87" s="197">
        <f>SUMPRODUCT(D80:D86,E80:E86)</f>
        <v>-41926617.81987394</v>
      </c>
      <c r="E87" s="184" t="n"/>
      <c r="F87" s="197">
        <f>SUMPRODUCT(F80:F86,G80:G86)</f>
        <v>-48372350.526551865</v>
      </c>
      <c r="G87" s="184" t="n"/>
    </row>
    <row r="88">
      <c r="A88" s="188" t="inlineStr">
        <is>
          <t>Heat of reaction / heat of mixing</t>
        </is>
      </c>
      <c r="B88" s="198" t="inlineStr">
        <is>
          <t>-</t>
        </is>
      </c>
      <c r="C88" s="183" t="n"/>
      <c r="D88" s="183" t="n"/>
      <c r="E88" s="183" t="n"/>
      <c r="F88" s="183" t="n"/>
      <c r="G88" s="184" t="n"/>
    </row>
    <row r="89">
      <c r="A89" s="196" t="inlineStr">
        <is>
          <t>Q kondensor (kJ/h)</t>
        </is>
      </c>
      <c r="B89" s="197">
        <f>-(1+$B$8/G36)*(D84*('Data Termo'!$Q$22*1000*MAX(0,1-$D$74/'Data Termo'!$R$22)^'Data Termo'!$S$22)+D80*('Data Termo'!$Q$10*1000*MAX(0,1-$D$74/'Data Termo'!$R$10)^'Data Termo'!$S$10)+D85*('Data Termo'!$Q$25*1000*MAX(0,1-$D$74/'Data Termo'!$R$25)^'Data Termo'!$S$25))</f>
        <v>-5433543.00446155</v>
      </c>
      <c r="C89" s="183" t="n"/>
      <c r="D89" s="183" t="n"/>
      <c r="E89" s="183" t="n"/>
      <c r="F89" s="183" t="n"/>
      <c r="G89" s="184" t="n"/>
    </row>
    <row r="90">
      <c r="A90" s="196" t="inlineStr">
        <is>
          <t>Q reboiler (kJ/h)</t>
        </is>
      </c>
      <c r="B90" s="197">
        <f>(D87+F87)-(B87)-$B$89</f>
        <v>5208249.397976332</v>
      </c>
      <c r="C90" s="183" t="n"/>
      <c r="D90" s="183" t="n"/>
      <c r="E90" s="183" t="n"/>
      <c r="F90" s="183" t="n"/>
      <c r="G90" s="184" t="n"/>
    </row>
    <row r="91">
      <c r="A91" s="196" t="inlineStr">
        <is>
          <t>W (kJ/h)</t>
        </is>
      </c>
      <c r="B91" s="197" t="n">
        <v>0</v>
      </c>
      <c r="C91" s="183" t="n"/>
      <c r="D91" s="183" t="n"/>
      <c r="E91" s="183" t="n"/>
      <c r="F91" s="183" t="n"/>
      <c r="G91" s="184" t="n"/>
    </row>
    <row r="92">
      <c r="A92" s="196" t="inlineStr">
        <is>
          <t>TOTAL (kJ/h)</t>
        </is>
      </c>
      <c r="B92" s="197">
        <f>B87+$B$89+$B$90+$B$91</f>
        <v>-90298968.3464258</v>
      </c>
      <c r="C92" s="184" t="n"/>
      <c r="D92" s="197">
        <f>D87+F87</f>
        <v>-90298968.3464258</v>
      </c>
      <c r="E92" s="183" t="n"/>
      <c r="F92" s="183" t="n"/>
      <c r="G92" s="184" t="n"/>
    </row>
    <row r="93">
      <c r="A93" s="188" t="inlineStr">
        <is>
          <t>Selisih masuk − keluar (kJ/h)</t>
        </is>
      </c>
      <c r="B93" s="195">
        <f>B92-D92</f>
        <v>0.0</v>
      </c>
      <c r="C93" s="183" t="n"/>
      <c r="D93" s="183" t="n"/>
      <c r="E93" s="183" t="n"/>
      <c r="F93" s="183" t="n"/>
      <c r="G93" s="184" t="n"/>
    </row>
    <row r="94">
      <c r="A94" s="188" t="inlineStr">
        <is>
          <t>Q kondensor (kW)</t>
        </is>
      </c>
      <c r="B94" s="195">
        <f>$B$89/3600</f>
        <v>-1509.3175012393194</v>
      </c>
      <c r="C94" s="183" t="n"/>
      <c r="D94" s="183" t="n"/>
      <c r="E94" s="183" t="n"/>
      <c r="F94" s="183" t="n"/>
      <c r="G94" s="184" t="n"/>
    </row>
    <row r="95">
      <c r="A95" s="188" t="inlineStr">
        <is>
          <t>Q reboiler (kW)</t>
        </is>
      </c>
      <c r="B95" s="195">
        <f>$B$90/3600</f>
        <v>1446.7359438823146</v>
      </c>
      <c r="C95" s="183" t="n"/>
      <c r="D95" s="183" t="n"/>
      <c r="E95" s="183" t="n"/>
      <c r="F95" s="183" t="n"/>
      <c r="G95" s="184" t="n"/>
    </row>
    <row r="96">
      <c r="A96" s="188" t="inlineStr">
        <is>
          <t>W (kW)</t>
        </is>
      </c>
      <c r="B96" s="195">
        <f>$B$91/3600</f>
        <v>0.0</v>
      </c>
      <c r="C96" s="183" t="n"/>
      <c r="D96" s="183" t="n"/>
      <c r="E96" s="183" t="n"/>
      <c r="F96" s="183" t="n"/>
      <c r="G96" s="184" t="n"/>
    </row>
  </sheetData>
  <mergeCells count="78">
    <mergeCell ref="B65:E65"/>
    <mergeCell ref="C7:L7"/>
    <mergeCell ref="B88:G88"/>
    <mergeCell ref="D45:E45"/>
    <mergeCell ref="B77:C77"/>
    <mergeCell ref="F12:M12"/>
    <mergeCell ref="A49:A51"/>
    <mergeCell ref="D48:E48"/>
    <mergeCell ref="B78:C78"/>
    <mergeCell ref="D72:E72"/>
    <mergeCell ref="D78:E78"/>
    <mergeCell ref="B12:E12"/>
    <mergeCell ref="F72:G72"/>
    <mergeCell ref="D77:G77"/>
    <mergeCell ref="D71:E71"/>
    <mergeCell ref="B49:C49"/>
    <mergeCell ref="F71:G71"/>
    <mergeCell ref="B13:E13"/>
    <mergeCell ref="D73:E73"/>
    <mergeCell ref="B63:C63"/>
    <mergeCell ref="F13:I13"/>
    <mergeCell ref="A12:A14"/>
    <mergeCell ref="B64:E64"/>
    <mergeCell ref="F74:G74"/>
    <mergeCell ref="D76:E76"/>
    <mergeCell ref="F76:G76"/>
    <mergeCell ref="D75:E75"/>
    <mergeCell ref="B66:E66"/>
    <mergeCell ref="F75:G75"/>
    <mergeCell ref="D47:E47"/>
    <mergeCell ref="C10:L10"/>
    <mergeCell ref="B91:G91"/>
    <mergeCell ref="B61:E61"/>
    <mergeCell ref="F37:M37"/>
    <mergeCell ref="B93:G93"/>
    <mergeCell ref="B37:E37"/>
    <mergeCell ref="F73:G73"/>
    <mergeCell ref="F87:G87"/>
    <mergeCell ref="B72:C72"/>
    <mergeCell ref="D63:E63"/>
    <mergeCell ref="B71:C71"/>
    <mergeCell ref="B43:C43"/>
    <mergeCell ref="D49:E49"/>
    <mergeCell ref="C6:L6"/>
    <mergeCell ref="B95:G95"/>
    <mergeCell ref="B44:C44"/>
    <mergeCell ref="B89:G89"/>
    <mergeCell ref="B60:E60"/>
    <mergeCell ref="B92:C92"/>
    <mergeCell ref="B90:G90"/>
    <mergeCell ref="B76:C76"/>
    <mergeCell ref="B45:C45"/>
    <mergeCell ref="B5:L5"/>
    <mergeCell ref="B75:C75"/>
    <mergeCell ref="B47:C47"/>
    <mergeCell ref="F78:G78"/>
    <mergeCell ref="C8:L8"/>
    <mergeCell ref="B59:C59"/>
    <mergeCell ref="D92:G92"/>
    <mergeCell ref="B46:C46"/>
    <mergeCell ref="D46:E46"/>
    <mergeCell ref="B38:M38"/>
    <mergeCell ref="B48:C48"/>
    <mergeCell ref="B62:E62"/>
    <mergeCell ref="A77:A79"/>
    <mergeCell ref="B73:C73"/>
    <mergeCell ref="B87:C87"/>
    <mergeCell ref="J13:M13"/>
    <mergeCell ref="D87:E87"/>
    <mergeCell ref="D43:E43"/>
    <mergeCell ref="B94:G94"/>
    <mergeCell ref="B74:C74"/>
    <mergeCell ref="D74:E74"/>
    <mergeCell ref="B50:C50"/>
    <mergeCell ref="B96:G96"/>
    <mergeCell ref="D50:E50"/>
    <mergeCell ref="D44:E44"/>
    <mergeCell ref="D59:E5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M119"/>
  <sheetViews>
    <sheetView tabSelected="0" zoomScale="85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3">
      <c r="A3" s="172" t="inlineStr">
        <is>
          <t>Neraca Massa dan Energi</t>
        </is>
      </c>
    </row>
    <row r="4">
      <c r="A4" s="172" t="inlineStr">
        <is>
          <t>NM Blok 8: Pemurnian VCM (Kolom VCM)</t>
        </is>
      </c>
    </row>
    <row r="5">
      <c r="A5" s="173" t="inlineStr">
        <is>
          <t>Tujuan:</t>
        </is>
      </c>
      <c r="B5" s="174" t="inlineStr">
        <is>
          <t>Memisahkan VCM produk (distilat) dari EDC tak bereaksi yang didaur ulang</t>
        </is>
      </c>
    </row>
    <row r="6">
      <c r="A6" s="173" t="inlineStr">
        <is>
          <t>Unjuk Kerja</t>
        </is>
      </c>
      <c r="B6" s="175" t="n">
        <v>0.9995000000000001</v>
      </c>
      <c r="C6" s="174" t="inlineStr">
        <is>
          <t>Kemurnian VCM produk (fraksi mol VCM/(VCM + EDC))</t>
        </is>
      </c>
    </row>
    <row r="7">
      <c r="B7" s="177" t="n">
        <v>0.005</v>
      </c>
      <c r="C7" s="174" t="inlineStr">
        <is>
          <t>Kadar VCM dalam EDC produk bawah (fraksi berat)</t>
        </is>
      </c>
    </row>
    <row r="8">
      <c r="B8" s="201" t="n">
        <v>2.98</v>
      </c>
      <c r="C8" s="174" t="inlineStr">
        <is>
          <t>Beban kondensor kolom VCM Dimian &amp; Bildea, Tabel 7.8 (MW)</t>
        </is>
      </c>
    </row>
    <row r="9">
      <c r="B9" s="201">
        <f>(20.8+16.9)/2+273.15</f>
        <v>292.0</v>
      </c>
      <c r="C9" s="174" t="inlineStr">
        <is>
          <t>Suhu kondensor rata-rata Dimian &amp; Bildea, Tabel 7.8 (K)</t>
        </is>
      </c>
    </row>
    <row r="11">
      <c r="A11" s="173" t="inlineStr">
        <is>
          <t>Basis Perhitungan</t>
        </is>
      </c>
      <c r="B11" s="181">
        <f>'NME-1 Klorinasi Langsung'!$B$16</f>
        <v>6100.572183061604</v>
      </c>
      <c r="C11" s="174" t="inlineStr">
        <is>
          <t>kg/h aliran etilena ke R-01 (NME-1)</t>
        </is>
      </c>
    </row>
    <row r="13">
      <c r="A13" s="182" t="inlineStr">
        <is>
          <t>Substance</t>
        </is>
      </c>
      <c r="B13" s="182" t="inlineStr">
        <is>
          <t>Inlet</t>
        </is>
      </c>
      <c r="C13" s="183" t="n"/>
      <c r="D13" s="183" t="n"/>
      <c r="E13" s="184" t="n"/>
      <c r="F13" s="182" t="inlineStr">
        <is>
          <t>Outlet</t>
        </is>
      </c>
      <c r="G13" s="183" t="n"/>
      <c r="H13" s="183" t="n"/>
      <c r="I13" s="183" t="n"/>
      <c r="J13" s="183" t="n"/>
      <c r="K13" s="183" t="n"/>
      <c r="L13" s="183" t="n"/>
      <c r="M13" s="184" t="n"/>
    </row>
    <row r="14">
      <c r="A14" s="185" t="n"/>
      <c r="B14" s="182" t="inlineStr">
        <is>
          <t>Aliran 46</t>
        </is>
      </c>
      <c r="C14" s="183" t="n"/>
      <c r="D14" s="183" t="n"/>
      <c r="E14" s="184" t="n"/>
      <c r="F14" s="182" t="inlineStr">
        <is>
          <t>Aliran 47</t>
        </is>
      </c>
      <c r="G14" s="183" t="n"/>
      <c r="H14" s="183" t="n"/>
      <c r="I14" s="184" t="n"/>
      <c r="J14" s="182" t="inlineStr">
        <is>
          <t>Aliran 49</t>
        </is>
      </c>
      <c r="K14" s="183" t="n"/>
      <c r="L14" s="183" t="n"/>
      <c r="M14" s="184" t="n"/>
    </row>
    <row r="15">
      <c r="A15" s="186" t="n"/>
      <c r="B15" s="187" t="inlineStr">
        <is>
          <t>ẋᵢ</t>
        </is>
      </c>
      <c r="C15" s="187" t="inlineStr">
        <is>
          <t>ṁᵢ (kg/h)</t>
        </is>
      </c>
      <c r="D15" s="187" t="inlineStr">
        <is>
          <t>ẏᵢ</t>
        </is>
      </c>
      <c r="E15" s="187" t="inlineStr">
        <is>
          <t>ṅᵢ (kmol/h)</t>
        </is>
      </c>
      <c r="F15" s="187" t="inlineStr">
        <is>
          <t>ẋᵢ</t>
        </is>
      </c>
      <c r="G15" s="187" t="inlineStr">
        <is>
          <t>ṁᵢ (kg/h)</t>
        </is>
      </c>
      <c r="H15" s="187" t="inlineStr">
        <is>
          <t>ẏᵢ</t>
        </is>
      </c>
      <c r="I15" s="187" t="inlineStr">
        <is>
          <t>ṅᵢ (kmol/h)</t>
        </is>
      </c>
      <c r="J15" s="187" t="inlineStr">
        <is>
          <t>ẋᵢ</t>
        </is>
      </c>
      <c r="K15" s="187" t="inlineStr">
        <is>
          <t>ṁᵢ (kg/h)</t>
        </is>
      </c>
      <c r="L15" s="187" t="inlineStr">
        <is>
          <t>ẏᵢ</t>
        </is>
      </c>
      <c r="M15" s="187" t="inlineStr">
        <is>
          <t>ṅᵢ (kmol/h)</t>
        </is>
      </c>
    </row>
    <row r="16">
      <c r="A16" s="188" t="inlineStr">
        <is>
          <t>C₂H₄</t>
        </is>
      </c>
      <c r="B16" s="189">
        <f>C16/C$37</f>
        <v>0.0</v>
      </c>
      <c r="C16" s="190">
        <f>E16*'Data Komponen'!$D$3</f>
        <v>0.0</v>
      </c>
      <c r="D16" s="189">
        <f>E16/E$37</f>
        <v>0.0</v>
      </c>
      <c r="E16" s="191">
        <f>'NME-7 Kolom HCl'!M15</f>
        <v>0.0</v>
      </c>
      <c r="F16" s="189">
        <f>G16/G$37</f>
        <v>0.0</v>
      </c>
      <c r="G16" s="190">
        <f>I16*'Data Komponen'!$D$3</f>
        <v>0.0</v>
      </c>
      <c r="H16" s="189">
        <f>I16/I$37</f>
        <v>0.0</v>
      </c>
      <c r="I16" s="191">
        <f>0</f>
        <v>0.0</v>
      </c>
      <c r="J16" s="189">
        <f>K16/K$37</f>
        <v>0.0</v>
      </c>
      <c r="K16" s="190">
        <f>M16*'Data Komponen'!$D$3</f>
        <v>0.0</v>
      </c>
      <c r="L16" s="189">
        <f>M16/M$37</f>
        <v>0.0</v>
      </c>
      <c r="M16" s="191">
        <f>E16</f>
        <v>0.0</v>
      </c>
    </row>
    <row r="17">
      <c r="A17" s="188" t="inlineStr">
        <is>
          <t>CH₄</t>
        </is>
      </c>
      <c r="B17" s="189">
        <f>C17/C$37</f>
        <v>0.0</v>
      </c>
      <c r="C17" s="190">
        <f>E17*'Data Komponen'!$D$4</f>
        <v>0.0</v>
      </c>
      <c r="D17" s="189">
        <f>E17/E$37</f>
        <v>0.0</v>
      </c>
      <c r="E17" s="191">
        <f>'NME-7 Kolom HCl'!M16</f>
        <v>0.0</v>
      </c>
      <c r="F17" s="189">
        <f>G17/G$37</f>
        <v>0.0</v>
      </c>
      <c r="G17" s="190">
        <f>I17*'Data Komponen'!$D$4</f>
        <v>0.0</v>
      </c>
      <c r="H17" s="189">
        <f>I17/I$37</f>
        <v>0.0</v>
      </c>
      <c r="I17" s="191">
        <f>0</f>
        <v>0.0</v>
      </c>
      <c r="J17" s="189">
        <f>K17/K$37</f>
        <v>0.0</v>
      </c>
      <c r="K17" s="190">
        <f>M17*'Data Komponen'!$D$4</f>
        <v>0.0</v>
      </c>
      <c r="L17" s="189">
        <f>M17/M$37</f>
        <v>0.0</v>
      </c>
      <c r="M17" s="191">
        <f>E17</f>
        <v>0.0</v>
      </c>
    </row>
    <row r="18">
      <c r="A18" s="188" t="inlineStr">
        <is>
          <t>C₂H₆</t>
        </is>
      </c>
      <c r="B18" s="189">
        <f>C18/C$37</f>
        <v>0.0</v>
      </c>
      <c r="C18" s="190">
        <f>E18*'Data Komponen'!$D$5</f>
        <v>0.0</v>
      </c>
      <c r="D18" s="189">
        <f>E18/E$37</f>
        <v>0.0</v>
      </c>
      <c r="E18" s="191">
        <f>'NME-7 Kolom HCl'!M17</f>
        <v>0.0</v>
      </c>
      <c r="F18" s="189">
        <f>G18/G$37</f>
        <v>0.0</v>
      </c>
      <c r="G18" s="190">
        <f>I18*'Data Komponen'!$D$5</f>
        <v>0.0</v>
      </c>
      <c r="H18" s="189">
        <f>I18/I$37</f>
        <v>0.0</v>
      </c>
      <c r="I18" s="191">
        <f>0</f>
        <v>0.0</v>
      </c>
      <c r="J18" s="189">
        <f>K18/K$37</f>
        <v>0.0</v>
      </c>
      <c r="K18" s="190">
        <f>M18*'Data Komponen'!$D$5</f>
        <v>0.0</v>
      </c>
      <c r="L18" s="189">
        <f>M18/M$37</f>
        <v>0.0</v>
      </c>
      <c r="M18" s="191">
        <f>E18</f>
        <v>0.0</v>
      </c>
    </row>
    <row r="19">
      <c r="A19" s="188" t="inlineStr">
        <is>
          <t>C₂H₂</t>
        </is>
      </c>
      <c r="B19" s="189">
        <f>C19/C$37</f>
        <v>0.0</v>
      </c>
      <c r="C19" s="190">
        <f>E19*'Data Komponen'!$D$6</f>
        <v>0.0</v>
      </c>
      <c r="D19" s="189">
        <f>E19/E$37</f>
        <v>0.0</v>
      </c>
      <c r="E19" s="191">
        <f>'NME-7 Kolom HCl'!M18</f>
        <v>0.0</v>
      </c>
      <c r="F19" s="189">
        <f>G19/G$37</f>
        <v>0.0</v>
      </c>
      <c r="G19" s="190">
        <f>I19*'Data Komponen'!$D$6</f>
        <v>0.0</v>
      </c>
      <c r="H19" s="189">
        <f>I19/I$37</f>
        <v>0.0</v>
      </c>
      <c r="I19" s="191">
        <f>0</f>
        <v>0.0</v>
      </c>
      <c r="J19" s="189">
        <f>K19/K$37</f>
        <v>0.0</v>
      </c>
      <c r="K19" s="190">
        <f>M19*'Data Komponen'!$D$6</f>
        <v>0.0</v>
      </c>
      <c r="L19" s="189">
        <f>M19/M$37</f>
        <v>0.0</v>
      </c>
      <c r="M19" s="191">
        <f>E19</f>
        <v>0.0</v>
      </c>
    </row>
    <row r="20">
      <c r="A20" s="188" t="inlineStr">
        <is>
          <t>Cl₂</t>
        </is>
      </c>
      <c r="B20" s="189">
        <f>C20/C$37</f>
        <v>0.0</v>
      </c>
      <c r="C20" s="190">
        <f>E20*'Data Komponen'!$D$7</f>
        <v>0.0</v>
      </c>
      <c r="D20" s="189">
        <f>E20/E$37</f>
        <v>0.0</v>
      </c>
      <c r="E20" s="191">
        <f>'NME-7 Kolom HCl'!M19</f>
        <v>0.0</v>
      </c>
      <c r="F20" s="189">
        <f>G20/G$37</f>
        <v>0.0</v>
      </c>
      <c r="G20" s="190">
        <f>I20*'Data Komponen'!$D$7</f>
        <v>0.0</v>
      </c>
      <c r="H20" s="189">
        <f>I20/I$37</f>
        <v>0.0</v>
      </c>
      <c r="I20" s="191">
        <f>0</f>
        <v>0.0</v>
      </c>
      <c r="J20" s="189">
        <f>K20/K$37</f>
        <v>0.0</v>
      </c>
      <c r="K20" s="190">
        <f>M20*'Data Komponen'!$D$7</f>
        <v>0.0</v>
      </c>
      <c r="L20" s="189">
        <f>M20/M$37</f>
        <v>0.0</v>
      </c>
      <c r="M20" s="191">
        <f>E20</f>
        <v>0.0</v>
      </c>
    </row>
    <row r="21">
      <c r="A21" s="188" t="inlineStr">
        <is>
          <t>CₙHₘ</t>
        </is>
      </c>
      <c r="B21" s="189">
        <f>C21/C$37</f>
        <v>0.0</v>
      </c>
      <c r="C21" s="190">
        <f>E21*'Data Komponen'!$D$8</f>
        <v>0.0</v>
      </c>
      <c r="D21" s="189">
        <f>E21/E$37</f>
        <v>0.0</v>
      </c>
      <c r="E21" s="191">
        <f>'NME-7 Kolom HCl'!M20</f>
        <v>0.0</v>
      </c>
      <c r="F21" s="189">
        <f>G21/G$37</f>
        <v>0.0</v>
      </c>
      <c r="G21" s="190">
        <f>I21*'Data Komponen'!$D$8</f>
        <v>0.0</v>
      </c>
      <c r="H21" s="189">
        <f>I21/I$37</f>
        <v>0.0</v>
      </c>
      <c r="I21" s="191">
        <f>0</f>
        <v>0.0</v>
      </c>
      <c r="J21" s="189">
        <f>K21/K$37</f>
        <v>0.0</v>
      </c>
      <c r="K21" s="190">
        <f>M21*'Data Komponen'!$D$8</f>
        <v>0.0</v>
      </c>
      <c r="L21" s="189">
        <f>M21/M$37</f>
        <v>0.0</v>
      </c>
      <c r="M21" s="191">
        <f>E21</f>
        <v>0.0</v>
      </c>
    </row>
    <row r="22">
      <c r="A22" s="188" t="inlineStr">
        <is>
          <t>H₂O</t>
        </is>
      </c>
      <c r="B22" s="189">
        <f>C22/C$37</f>
        <v>4.4151641924924604e-05</v>
      </c>
      <c r="C22" s="190">
        <f>E22*'Data Komponen'!$D$9</f>
        <v>2.614266409950987</v>
      </c>
      <c r="D22" s="189">
        <f>E22/E$37</f>
        <v>0.0001941783629896648</v>
      </c>
      <c r="E22" s="191">
        <f>'NME-7 Kolom HCl'!M21</f>
        <v>0.14511609269780668</v>
      </c>
      <c r="F22" s="189">
        <f>G22/G$37</f>
        <v>0.0</v>
      </c>
      <c r="G22" s="190">
        <f>I22*'Data Komponen'!$D$9</f>
        <v>0.0</v>
      </c>
      <c r="H22" s="189">
        <f>I22/I$37</f>
        <v>0.0</v>
      </c>
      <c r="I22" s="191">
        <f>0</f>
        <v>0.0</v>
      </c>
      <c r="J22" s="189">
        <f>K22/K$37</f>
        <v>7.698402996788152e-05</v>
      </c>
      <c r="K22" s="190">
        <f>M22*'Data Komponen'!$D$9</f>
        <v>2.6142664099510515</v>
      </c>
      <c r="L22" s="189">
        <f>M22/M$37</f>
        <v>0.00042258820769546076</v>
      </c>
      <c r="M22" s="191">
        <f>E22</f>
        <v>0.14511609269780668</v>
      </c>
    </row>
    <row r="23">
      <c r="A23" s="188" t="inlineStr">
        <is>
          <t>CₓHᵧCl</t>
        </is>
      </c>
      <c r="B23" s="189">
        <f>C23/C$37</f>
        <v>0.0</v>
      </c>
      <c r="C23" s="190">
        <f>E23*'Data Komponen'!$D$10</f>
        <v>0.0</v>
      </c>
      <c r="D23" s="189">
        <f>E23/E$37</f>
        <v>0.0</v>
      </c>
      <c r="E23" s="191">
        <f>'NME-7 Kolom HCl'!M22</f>
        <v>0.0</v>
      </c>
      <c r="F23" s="189">
        <f>G23/G$37</f>
        <v>0.0</v>
      </c>
      <c r="G23" s="190">
        <f>I23*'Data Komponen'!$D$10</f>
        <v>0.0</v>
      </c>
      <c r="H23" s="189">
        <f>I23/I$37</f>
        <v>0.0</v>
      </c>
      <c r="I23" s="191">
        <f>0</f>
        <v>0.0</v>
      </c>
      <c r="J23" s="189">
        <f>K23/K$37</f>
        <v>0.0</v>
      </c>
      <c r="K23" s="190">
        <f>M23*'Data Komponen'!$D$10</f>
        <v>0.0</v>
      </c>
      <c r="L23" s="189">
        <f>M23/M$37</f>
        <v>0.0</v>
      </c>
      <c r="M23" s="191">
        <f>E23</f>
        <v>0.0</v>
      </c>
    </row>
    <row r="24">
      <c r="A24" s="188" t="inlineStr">
        <is>
          <t>Br₂</t>
        </is>
      </c>
      <c r="B24" s="189">
        <f>C24/C$37</f>
        <v>0.0</v>
      </c>
      <c r="C24" s="190">
        <f>E24*'Data Komponen'!$D$11</f>
        <v>0.0</v>
      </c>
      <c r="D24" s="189">
        <f>E24/E$37</f>
        <v>0.0</v>
      </c>
      <c r="E24" s="191">
        <f>'NME-7 Kolom HCl'!M23</f>
        <v>0.0</v>
      </c>
      <c r="F24" s="189">
        <f>G24/G$37</f>
        <v>0.0</v>
      </c>
      <c r="G24" s="190">
        <f>I24*'Data Komponen'!$D$11</f>
        <v>0.0</v>
      </c>
      <c r="H24" s="189">
        <f>I24/I$37</f>
        <v>0.0</v>
      </c>
      <c r="I24" s="191">
        <f>0</f>
        <v>0.0</v>
      </c>
      <c r="J24" s="189">
        <f>K24/K$37</f>
        <v>0.0</v>
      </c>
      <c r="K24" s="190">
        <f>M24*'Data Komponen'!$D$11</f>
        <v>0.0</v>
      </c>
      <c r="L24" s="189">
        <f>M24/M$37</f>
        <v>0.0</v>
      </c>
      <c r="M24" s="191">
        <f>E24</f>
        <v>0.0</v>
      </c>
    </row>
    <row r="25">
      <c r="A25" s="188" t="inlineStr">
        <is>
          <t>NCl₃</t>
        </is>
      </c>
      <c r="B25" s="189">
        <f>C25/C$37</f>
        <v>0.0</v>
      </c>
      <c r="C25" s="190">
        <f>E25*'Data Komponen'!$D$12</f>
        <v>0.0</v>
      </c>
      <c r="D25" s="189">
        <f>E25/E$37</f>
        <v>0.0</v>
      </c>
      <c r="E25" s="191">
        <f>'NME-7 Kolom HCl'!M24</f>
        <v>0.0</v>
      </c>
      <c r="F25" s="189">
        <f>G25/G$37</f>
        <v>0.0</v>
      </c>
      <c r="G25" s="190">
        <f>I25*'Data Komponen'!$D$12</f>
        <v>0.0</v>
      </c>
      <c r="H25" s="189">
        <f>I25/I$37</f>
        <v>0.0</v>
      </c>
      <c r="I25" s="191">
        <f>0</f>
        <v>0.0</v>
      </c>
      <c r="J25" s="189">
        <f>K25/K$37</f>
        <v>0.0</v>
      </c>
      <c r="K25" s="190">
        <f>M25*'Data Komponen'!$D$12</f>
        <v>0.0</v>
      </c>
      <c r="L25" s="189">
        <f>M25/M$37</f>
        <v>0.0</v>
      </c>
      <c r="M25" s="191">
        <f>E25</f>
        <v>0.0</v>
      </c>
    </row>
    <row r="26">
      <c r="A26" s="188" t="inlineStr">
        <is>
          <t>H₂</t>
        </is>
      </c>
      <c r="B26" s="189">
        <f>C26/C$37</f>
        <v>0.0</v>
      </c>
      <c r="C26" s="190">
        <f>E26*'Data Komponen'!$D$13</f>
        <v>0.0</v>
      </c>
      <c r="D26" s="189">
        <f>E26/E$37</f>
        <v>0.0</v>
      </c>
      <c r="E26" s="191">
        <f>'NME-7 Kolom HCl'!M25</f>
        <v>0.0</v>
      </c>
      <c r="F26" s="189">
        <f>G26/G$37</f>
        <v>0.0</v>
      </c>
      <c r="G26" s="190">
        <f>I26*'Data Komponen'!$D$13</f>
        <v>0.0</v>
      </c>
      <c r="H26" s="189">
        <f>I26/I$37</f>
        <v>0.0</v>
      </c>
      <c r="I26" s="191">
        <f>0</f>
        <v>0.0</v>
      </c>
      <c r="J26" s="189">
        <f>K26/K$37</f>
        <v>0.0</v>
      </c>
      <c r="K26" s="190">
        <f>M26*'Data Komponen'!$D$13</f>
        <v>0.0</v>
      </c>
      <c r="L26" s="189">
        <f>M26/M$37</f>
        <v>0.0</v>
      </c>
      <c r="M26" s="191">
        <f>E26</f>
        <v>0.0</v>
      </c>
    </row>
    <row r="27">
      <c r="A27" s="188" t="inlineStr">
        <is>
          <t>O₂</t>
        </is>
      </c>
      <c r="B27" s="189">
        <f>C27/C$37</f>
        <v>0.0</v>
      </c>
      <c r="C27" s="190">
        <f>E27*'Data Komponen'!$D$14</f>
        <v>0.0</v>
      </c>
      <c r="D27" s="189">
        <f>E27/E$37</f>
        <v>0.0</v>
      </c>
      <c r="E27" s="191">
        <f>'NME-7 Kolom HCl'!M26</f>
        <v>0.0</v>
      </c>
      <c r="F27" s="189">
        <f>G27/G$37</f>
        <v>0.0</v>
      </c>
      <c r="G27" s="190">
        <f>I27*'Data Komponen'!$D$14</f>
        <v>0.0</v>
      </c>
      <c r="H27" s="189">
        <f>I27/I$37</f>
        <v>0.0</v>
      </c>
      <c r="I27" s="191">
        <f>0</f>
        <v>0.0</v>
      </c>
      <c r="J27" s="189">
        <f>K27/K$37</f>
        <v>0.0</v>
      </c>
      <c r="K27" s="190">
        <f>M27*'Data Komponen'!$D$14</f>
        <v>0.0</v>
      </c>
      <c r="L27" s="189">
        <f>M27/M$37</f>
        <v>0.0</v>
      </c>
      <c r="M27" s="191">
        <f>E27</f>
        <v>0.0</v>
      </c>
    </row>
    <row r="28">
      <c r="A28" s="188" t="inlineStr">
        <is>
          <t>N₂</t>
        </is>
      </c>
      <c r="B28" s="189">
        <f>C28/C$37</f>
        <v>0.0</v>
      </c>
      <c r="C28" s="190">
        <f>E28*'Data Komponen'!$D$15</f>
        <v>0.0</v>
      </c>
      <c r="D28" s="189">
        <f>E28/E$37</f>
        <v>0.0</v>
      </c>
      <c r="E28" s="191">
        <f>'NME-7 Kolom HCl'!M27</f>
        <v>0.0</v>
      </c>
      <c r="F28" s="189">
        <f>G28/G$37</f>
        <v>0.0</v>
      </c>
      <c r="G28" s="190">
        <f>I28*'Data Komponen'!$D$15</f>
        <v>0.0</v>
      </c>
      <c r="H28" s="189">
        <f>I28/I$37</f>
        <v>0.0</v>
      </c>
      <c r="I28" s="191">
        <f>0</f>
        <v>0.0</v>
      </c>
      <c r="J28" s="189">
        <f>K28/K$37</f>
        <v>0.0</v>
      </c>
      <c r="K28" s="190">
        <f>M28*'Data Komponen'!$D$15</f>
        <v>0.0</v>
      </c>
      <c r="L28" s="189">
        <f>M28/M$37</f>
        <v>0.0</v>
      </c>
      <c r="M28" s="191">
        <f>E28</f>
        <v>0.0</v>
      </c>
    </row>
    <row r="29">
      <c r="A29" s="188" t="inlineStr">
        <is>
          <t>CO₂</t>
        </is>
      </c>
      <c r="B29" s="189">
        <f>C29/C$37</f>
        <v>0.0</v>
      </c>
      <c r="C29" s="190">
        <f>E29*'Data Komponen'!$D$16</f>
        <v>0.0</v>
      </c>
      <c r="D29" s="189">
        <f>E29/E$37</f>
        <v>0.0</v>
      </c>
      <c r="E29" s="191">
        <f>'NME-7 Kolom HCl'!M28</f>
        <v>0.0</v>
      </c>
      <c r="F29" s="189">
        <f>G29/G$37</f>
        <v>0.0</v>
      </c>
      <c r="G29" s="190">
        <f>I29*'Data Komponen'!$D$16</f>
        <v>0.0</v>
      </c>
      <c r="H29" s="189">
        <f>I29/I$37</f>
        <v>0.0</v>
      </c>
      <c r="I29" s="191">
        <f>0</f>
        <v>0.0</v>
      </c>
      <c r="J29" s="189">
        <f>K29/K$37</f>
        <v>0.0</v>
      </c>
      <c r="K29" s="190">
        <f>M29*'Data Komponen'!$D$16</f>
        <v>0.0</v>
      </c>
      <c r="L29" s="189">
        <f>M29/M$37</f>
        <v>0.0</v>
      </c>
      <c r="M29" s="191">
        <f>E29</f>
        <v>0.0</v>
      </c>
    </row>
    <row r="30">
      <c r="A30" s="188" t="inlineStr">
        <is>
          <t>EDC</t>
        </is>
      </c>
      <c r="B30" s="189">
        <f>C30/C$37</f>
        <v>0.5642923311949061</v>
      </c>
      <c r="C30" s="190">
        <f>E30*'Data Komponen'!$D$17</f>
        <v>33412.3584654955</v>
      </c>
      <c r="D30" s="189">
        <f>E30/E$37</f>
        <v>0.4517904985855777</v>
      </c>
      <c r="E30" s="191">
        <f>'NME-7 Kolom HCl'!M29</f>
        <v>337.63840040315176</v>
      </c>
      <c r="F30" s="189">
        <f>G30/G$37</f>
        <v>0.0007914660699231632</v>
      </c>
      <c r="G30" s="190">
        <f>I30*'Data Komponen'!$D$17</f>
        <v>19.986516917250967</v>
      </c>
      <c r="H30" s="189">
        <f>I30/I$37</f>
        <v>0.0004999995713487337</v>
      </c>
      <c r="I30" s="191">
        <f>I35*(1-$B$6)/$B$6</f>
        <v>0.20196765243434703</v>
      </c>
      <c r="J30" s="189">
        <f>K30/K$37</f>
        <v>0.9833272358941256</v>
      </c>
      <c r="K30" s="190">
        <f>M30*'Data Komponen'!$D$17</f>
        <v>33392.37194857867</v>
      </c>
      <c r="L30" s="189">
        <f>M30/M$37</f>
        <v>0.9826384839634729</v>
      </c>
      <c r="M30" s="191">
        <f>E30-I30</f>
        <v>337.4364327507174</v>
      </c>
    </row>
    <row r="31">
      <c r="A31" s="188" t="inlineStr">
        <is>
          <t>TCE</t>
        </is>
      </c>
      <c r="B31" s="189">
        <f>C31/C$37</f>
        <v>1.1287215432772394e-05</v>
      </c>
      <c r="C31" s="190">
        <f>E31*'Data Komponen'!$D$18</f>
        <v>0.6683282179619111</v>
      </c>
      <c r="D31" s="189">
        <f>E31/E$37</f>
        <v>6.703621128197196e-06</v>
      </c>
      <c r="E31" s="191">
        <f>'NME-7 Kolom HCl'!M30</f>
        <v>0.005009843991228917</v>
      </c>
      <c r="F31" s="189">
        <f>G31/G$37</f>
        <v>0.0</v>
      </c>
      <c r="G31" s="190">
        <f>I31*'Data Komponen'!$D$18</f>
        <v>0.0</v>
      </c>
      <c r="H31" s="189">
        <f>I31/I$37</f>
        <v>0.0</v>
      </c>
      <c r="I31" s="191">
        <f>0</f>
        <v>0.0</v>
      </c>
      <c r="J31" s="189">
        <f>K31/K$37</f>
        <v>1.9680702534415202e-05</v>
      </c>
      <c r="K31" s="190">
        <f>M31*'Data Komponen'!$D$18</f>
        <v>0.6683282179619057</v>
      </c>
      <c r="L31" s="189">
        <f>M31/M$37</f>
        <v>1.4589015964590536e-05</v>
      </c>
      <c r="M31" s="191">
        <f>E31</f>
        <v>0.005009843991228917</v>
      </c>
    </row>
    <row r="32">
      <c r="A32" s="188" t="inlineStr">
        <is>
          <t>HCl</t>
        </is>
      </c>
      <c r="B32" s="189">
        <f>C32/C$37</f>
        <v>2.1324155189495443e-07</v>
      </c>
      <c r="C32" s="190">
        <f>E32*'Data Komponen'!$D$19</f>
        <v>0.01262626262626249</v>
      </c>
      <c r="D32" s="189">
        <f>E32/E$37</f>
        <v>4.6337382934789143e-07</v>
      </c>
      <c r="E32" s="191">
        <f>'NME-7 Kolom HCl'!M31</f>
        <v>0.000346295017313362</v>
      </c>
      <c r="F32" s="189">
        <f>G32/G$37</f>
        <v>5.000000000000225e-07</v>
      </c>
      <c r="G32" s="190">
        <f>I32*'Data Komponen'!$D$19</f>
        <v>0.012626262626262798</v>
      </c>
      <c r="H32" s="189">
        <f>I32/I$37</f>
        <v>8.573024349687274e-07</v>
      </c>
      <c r="I32" s="191">
        <f>E32</f>
        <v>0.000346295017313362</v>
      </c>
      <c r="J32" s="189">
        <f>K32/K$37</f>
        <v>0.0</v>
      </c>
      <c r="K32" s="190">
        <f>M32*'Data Komponen'!$D$19</f>
        <v>0.0</v>
      </c>
      <c r="L32" s="189">
        <f>M32/M$37</f>
        <v>0.0</v>
      </c>
      <c r="M32" s="191">
        <f>0</f>
        <v>0.0</v>
      </c>
    </row>
    <row r="33">
      <c r="A33" s="188" t="inlineStr">
        <is>
          <t>FeCl₃</t>
        </is>
      </c>
      <c r="B33" s="189">
        <f>C33/C$37</f>
        <v>0.0</v>
      </c>
      <c r="C33" s="190">
        <f>E33*'Data Komponen'!$D$20</f>
        <v>0.0</v>
      </c>
      <c r="D33" s="189">
        <f>E33/E$37</f>
        <v>0.0</v>
      </c>
      <c r="E33" s="191">
        <f>'NME-7 Kolom HCl'!M32</f>
        <v>0.0</v>
      </c>
      <c r="F33" s="189">
        <f>G33/G$37</f>
        <v>0.0</v>
      </c>
      <c r="G33" s="190">
        <f>I33*'Data Komponen'!$D$20</f>
        <v>0.0</v>
      </c>
      <c r="H33" s="189">
        <f>I33/I$37</f>
        <v>0.0</v>
      </c>
      <c r="I33" s="191">
        <f>0</f>
        <v>0.0</v>
      </c>
      <c r="J33" s="189">
        <f>K33/K$37</f>
        <v>0.0</v>
      </c>
      <c r="K33" s="190">
        <f>M33*'Data Komponen'!$D$20</f>
        <v>0.0</v>
      </c>
      <c r="L33" s="189">
        <f>M33/M$37</f>
        <v>0.0</v>
      </c>
      <c r="M33" s="191">
        <f>E33</f>
        <v>0.0</v>
      </c>
    </row>
    <row r="34">
      <c r="A34" s="188" t="inlineStr">
        <is>
          <t>C₂H₅Cl</t>
        </is>
      </c>
      <c r="B34" s="189">
        <f>C34/C$37</f>
        <v>0.0</v>
      </c>
      <c r="C34" s="190">
        <f>E34*'Data Komponen'!$D$21</f>
        <v>0.0</v>
      </c>
      <c r="D34" s="189">
        <f>E34/E$37</f>
        <v>0.0</v>
      </c>
      <c r="E34" s="191">
        <f>'NME-7 Kolom HCl'!M33</f>
        <v>0.0</v>
      </c>
      <c r="F34" s="189">
        <f>G34/G$37</f>
        <v>0.0</v>
      </c>
      <c r="G34" s="190">
        <f>I34*'Data Komponen'!$D$21</f>
        <v>0.0</v>
      </c>
      <c r="H34" s="189">
        <f>I34/I$37</f>
        <v>0.0</v>
      </c>
      <c r="I34" s="191">
        <f>0</f>
        <v>0.0</v>
      </c>
      <c r="J34" s="189">
        <f>K34/K$37</f>
        <v>0.0</v>
      </c>
      <c r="K34" s="190">
        <f>M34*'Data Komponen'!$D$21</f>
        <v>0.0</v>
      </c>
      <c r="L34" s="189">
        <f>M34/M$37</f>
        <v>0.0</v>
      </c>
      <c r="M34" s="191">
        <f>E34</f>
        <v>0.0</v>
      </c>
    </row>
    <row r="35">
      <c r="A35" s="188" t="inlineStr">
        <is>
          <t>VCM</t>
        </is>
      </c>
      <c r="B35" s="189">
        <f>C35/C$37</f>
        <v>0.4290129281233482</v>
      </c>
      <c r="C35" s="190">
        <f>E35*'Data Komponen'!$D$22</f>
        <v>25402.318883965298</v>
      </c>
      <c r="D35" s="189">
        <f>E35/E$37</f>
        <v>0.543866743152774</v>
      </c>
      <c r="E35" s="191">
        <f>'NME-7 Kolom HCl'!M34</f>
        <v>406.4501085469183</v>
      </c>
      <c r="F35" s="189">
        <f>G35/G$37</f>
        <v>0.9992080339300768</v>
      </c>
      <c r="G35" s="190">
        <f>I35*'Data Komponen'!$D$22</f>
        <v>25232.52610934458</v>
      </c>
      <c r="H35" s="189">
        <f>I35/I$37</f>
        <v>0.9994991431262162</v>
      </c>
      <c r="I35" s="191">
        <f>E35-M35</f>
        <v>403.7333372162991</v>
      </c>
      <c r="J35" s="189">
        <f>K35/K$37</f>
        <v>0.005000000000000001</v>
      </c>
      <c r="K35" s="190">
        <f>M35*'Data Komponen'!$D$22</f>
        <v>169.79277462103175</v>
      </c>
      <c r="L35" s="189">
        <f>M35/M$37</f>
        <v>0.007911428057228038</v>
      </c>
      <c r="M35" s="191">
        <f>$B$7/(1-$B$7)*(SUM(K16:K34)+K36)/'Data Komponen'!$D$22</f>
        <v>2.716771330619088</v>
      </c>
    </row>
    <row r="36">
      <c r="A36" s="188" t="inlineStr">
        <is>
          <t>C₄H₈Cl₂ (berat)</t>
        </is>
      </c>
      <c r="B36" s="189">
        <f>C36/C$37</f>
        <v>0.006639088582836035</v>
      </c>
      <c r="C36" s="190">
        <f>E36*'Data Komponen'!$D$23</f>
        <v>393.1076063787176</v>
      </c>
      <c r="D36" s="189">
        <f>E36/E$37</f>
        <v>0.004141412903701133</v>
      </c>
      <c r="E36" s="191">
        <f>'NME-7 Kolom HCl'!M35</f>
        <v>3.0950186703622276</v>
      </c>
      <c r="F36" s="189">
        <f>G36/G$37</f>
        <v>0.0</v>
      </c>
      <c r="G36" s="190">
        <f>I36*'Data Komponen'!$D$23</f>
        <v>0.0</v>
      </c>
      <c r="H36" s="189">
        <f>I36/I$37</f>
        <v>0.0</v>
      </c>
      <c r="I36" s="191">
        <f>0</f>
        <v>0.0</v>
      </c>
      <c r="J36" s="189">
        <f>K36/K$37</f>
        <v>0.01157609937337197</v>
      </c>
      <c r="K36" s="190">
        <f>M36*'Data Komponen'!$D$23</f>
        <v>393.10760637872266</v>
      </c>
      <c r="L36" s="189">
        <f>M36/M$37</f>
        <v>0.009012910755638958</v>
      </c>
      <c r="M36" s="191">
        <f>E36</f>
        <v>3.0950186703622276</v>
      </c>
    </row>
    <row r="37">
      <c r="A37" s="182" t="inlineStr">
        <is>
          <t>Sub Total</t>
        </is>
      </c>
      <c r="B37" s="189">
        <f>SUM(B16:B36)</f>
        <v>0.9999999999999998</v>
      </c>
      <c r="C37" s="190">
        <f>SUM(C16:C36)</f>
        <v>59211.08017673006</v>
      </c>
      <c r="D37" s="189">
        <f>SUM(D16:D36)</f>
        <v>1.0</v>
      </c>
      <c r="E37" s="191">
        <f>SUM(E16:E36)</f>
        <v>747.3339998521386</v>
      </c>
      <c r="F37" s="189">
        <f>SUM(F16:F36)</f>
        <v>1.0</v>
      </c>
      <c r="G37" s="190">
        <f>SUM(G16:G36)</f>
        <v>25252.525252524458</v>
      </c>
      <c r="H37" s="189">
        <f>SUM(H16:H36)</f>
        <v>0.9999999999999999</v>
      </c>
      <c r="I37" s="191">
        <f>SUM(I16:I36)</f>
        <v>403.9356511637508</v>
      </c>
      <c r="J37" s="189">
        <f>SUM(J16:J36)</f>
        <v>1.0</v>
      </c>
      <c r="K37" s="190">
        <f>SUM(K16:K36)</f>
        <v>33958.55492420634</v>
      </c>
      <c r="L37" s="189">
        <f>SUM(L16:L36)</f>
        <v>0.9999999999999999</v>
      </c>
      <c r="M37" s="191">
        <f>SUM(M16:M36)</f>
        <v>343.3983486883878</v>
      </c>
    </row>
    <row r="38">
      <c r="A38" s="182" t="inlineStr">
        <is>
          <t>TOTAL MASSA</t>
        </is>
      </c>
      <c r="B38" s="190">
        <f>C37</f>
        <v>59211.08017673006</v>
      </c>
      <c r="C38" s="183" t="n"/>
      <c r="D38" s="183" t="n"/>
      <c r="E38" s="184" t="n"/>
      <c r="F38" s="190">
        <f>G37+K37</f>
        <v>59211.0801767308</v>
      </c>
      <c r="G38" s="183" t="n"/>
      <c r="H38" s="183" t="n"/>
      <c r="I38" s="183" t="n"/>
      <c r="J38" s="183" t="n"/>
      <c r="K38" s="183" t="n"/>
      <c r="L38" s="183" t="n"/>
      <c r="M38" s="184" t="n"/>
    </row>
    <row r="39">
      <c r="A39" s="182" t="inlineStr">
        <is>
          <t>Selisih (Inlet − Outlet), kg/h</t>
        </is>
      </c>
      <c r="B39" s="190">
        <f>B38-F38</f>
        <v>-7.421476766467094e-10</v>
      </c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4" t="n"/>
    </row>
    <row r="42">
      <c r="A42" s="172" t="inlineStr">
        <is>
          <t>Neraca Energi V-105: Valve umpan kolom VCM</t>
        </is>
      </c>
    </row>
    <row r="43">
      <c r="A43" s="174" t="inlineStr">
        <is>
          <t>Reference state: unsur pada 25 °C dan 1 atm (metode panas pembentukan)</t>
        </is>
      </c>
    </row>
    <row r="44">
      <c r="A44" s="182" t="inlineStr">
        <is>
          <t>No. aliran PFD</t>
        </is>
      </c>
      <c r="B44" s="182" t="n">
        <v>45</v>
      </c>
      <c r="C44" s="184" t="n"/>
      <c r="D44" s="182" t="n">
        <v>46</v>
      </c>
      <c r="E44" s="184" t="n"/>
    </row>
    <row r="45">
      <c r="A45" s="182" t="inlineStr">
        <is>
          <t>Dari</t>
        </is>
      </c>
      <c r="B45" s="192" t="inlineStr">
        <is>
          <t>KD-103</t>
        </is>
      </c>
      <c r="C45" s="184" t="n"/>
      <c r="D45" s="192" t="inlineStr">
        <is>
          <t>V-105</t>
        </is>
      </c>
      <c r="E45" s="184" t="n"/>
    </row>
    <row r="46">
      <c r="A46" s="182" t="inlineStr">
        <is>
          <t>Ke</t>
        </is>
      </c>
      <c r="B46" s="192" t="inlineStr">
        <is>
          <t>V-105</t>
        </is>
      </c>
      <c r="C46" s="184" t="n"/>
      <c r="D46" s="192" t="inlineStr">
        <is>
          <t>KD-104</t>
        </is>
      </c>
      <c r="E46" s="184" t="n"/>
    </row>
    <row r="47">
      <c r="A47" s="182" t="inlineStr">
        <is>
          <t>T (K)</t>
        </is>
      </c>
      <c r="B47" s="193">
        <f>'NME-7 Kolom HCl'!$F$74</f>
        <v>354.15</v>
      </c>
      <c r="C47" s="184" t="n"/>
      <c r="D47" s="192" t="inlineStr">
        <is>
          <t>-</t>
        </is>
      </c>
      <c r="E47" s="184" t="n"/>
    </row>
    <row r="48">
      <c r="A48" s="182" t="inlineStr">
        <is>
          <t>T (°C)</t>
        </is>
      </c>
      <c r="B48" s="193">
        <f>'NME-7 Kolom HCl'!$F$75</f>
        <v>81.0</v>
      </c>
      <c r="C48" s="184" t="n"/>
      <c r="D48" s="192" t="inlineStr">
        <is>
          <t>-</t>
        </is>
      </c>
      <c r="E48" s="184" t="n"/>
    </row>
    <row r="49">
      <c r="A49" s="182" t="inlineStr">
        <is>
          <t>P (bar abs)</t>
        </is>
      </c>
      <c r="B49" s="194">
        <f>'NME-7 Kolom HCl'!$F$76</f>
        <v>9.8</v>
      </c>
      <c r="C49" s="184" t="n"/>
      <c r="D49" s="194" t="n">
        <v>6.5</v>
      </c>
      <c r="E49" s="184" t="n"/>
    </row>
    <row r="50">
      <c r="A50" s="182" t="inlineStr">
        <is>
          <t>Substance</t>
        </is>
      </c>
      <c r="B50" s="182" t="inlineStr">
        <is>
          <t>INLET</t>
        </is>
      </c>
      <c r="C50" s="184" t="n"/>
      <c r="D50" s="182" t="inlineStr">
        <is>
          <t>OUTLET</t>
        </is>
      </c>
      <c r="E50" s="184" t="n"/>
    </row>
    <row r="51">
      <c r="A51" s="185" t="n"/>
      <c r="B51" s="182" t="inlineStr">
        <is>
          <t>Aliran 45</t>
        </is>
      </c>
      <c r="C51" s="184" t="n"/>
      <c r="D51" s="182" t="inlineStr">
        <is>
          <t>Aliran 46</t>
        </is>
      </c>
      <c r="E51" s="184" t="n"/>
    </row>
    <row r="52">
      <c r="A52" s="186" t="n"/>
      <c r="B52" s="182" t="inlineStr">
        <is>
          <t>ṅᵢ (kmol/h)</t>
        </is>
      </c>
      <c r="C52" s="182" t="inlineStr">
        <is>
          <t>Ĥᵢ (kJ/kmol)</t>
        </is>
      </c>
      <c r="D52" s="182" t="inlineStr">
        <is>
          <t>ṅᵢ (kmol/h)</t>
        </is>
      </c>
      <c r="E52" s="182" t="inlineStr">
        <is>
          <t>Ĥᵢ (kJ/kmol)</t>
        </is>
      </c>
    </row>
    <row r="53">
      <c r="A53" s="188" t="inlineStr">
        <is>
          <t>H₂O (l / l+g)</t>
        </is>
      </c>
      <c r="B53" s="191">
        <f>'NME-7 Kolom HCl'!M21</f>
        <v>0.14511609269780668</v>
      </c>
      <c r="C53" s="195">
        <f>'Data Termo'!$X$12+('Data Termo'!$J$12*($B$47-298.15)+'Data Termo'!$K$12/2*($B$47^2-298.15^2)+'Data Termo'!$L$12/3*($B$47^3-298.15^3)+'Data Termo'!$M$12/4*($B$47^4-298.15^4))</f>
        <v>-280281.4272487552</v>
      </c>
      <c r="D53" s="191">
        <f>E22</f>
        <v>0.14511609269780668</v>
      </c>
      <c r="E53" s="195">
        <f>C53</f>
        <v>-280281.4272487552</v>
      </c>
    </row>
    <row r="54">
      <c r="A54" s="188" t="inlineStr">
        <is>
          <t>EDC (l / l+g)</t>
        </is>
      </c>
      <c r="B54" s="191">
        <f>'NME-7 Kolom HCl'!M29</f>
        <v>337.63840040315176</v>
      </c>
      <c r="C54" s="195">
        <f>'Data Termo'!$X$20+('Data Termo'!$J$20*($B$47-298.15)+'Data Termo'!$K$20/2*($B$47^2-298.15^2)+'Data Termo'!$L$20/3*($B$47^3-298.15^3)+'Data Termo'!$M$20/4*($B$47^4-298.15^4))</f>
        <v>-157301.89385144098</v>
      </c>
      <c r="D54" s="191">
        <f>E30</f>
        <v>337.63840040315176</v>
      </c>
      <c r="E54" s="195">
        <f>C54</f>
        <v>-157301.89385144098</v>
      </c>
    </row>
    <row r="55">
      <c r="A55" s="188" t="inlineStr">
        <is>
          <t>TCE (l / l+g)</t>
        </is>
      </c>
      <c r="B55" s="191">
        <f>'NME-7 Kolom HCl'!M30</f>
        <v>0.005009843991228917</v>
      </c>
      <c r="C55" s="195">
        <f>'Data Termo'!$X$21+('Data Termo'!$J$21*($B$47-298.15)+'Data Termo'!$K$21/2*($B$47^2-298.15^2)+'Data Termo'!$L$21/3*($B$47^3-298.15^3)+'Data Termo'!$M$21/4*($B$47^4-298.15^4))</f>
        <v>-168069.63394001866</v>
      </c>
      <c r="D55" s="191">
        <f>E31</f>
        <v>0.005009843991228917</v>
      </c>
      <c r="E55" s="195">
        <f>C55</f>
        <v>-168069.63394001866</v>
      </c>
    </row>
    <row r="56">
      <c r="A56" s="188" t="inlineStr">
        <is>
          <t>HCl (l / l+g)</t>
        </is>
      </c>
      <c r="B56" s="191">
        <f>'NME-7 Kolom HCl'!M31</f>
        <v>0.000346295017313362</v>
      </c>
      <c r="C56" s="195">
        <f>'Data Termo'!$X$22+('Data Termo'!$J$22*($B$47-298.15)+'Data Termo'!$K$22/2*($B$47^2-298.15^2)+'Data Termo'!$L$22/3*($B$47^3-298.15^3)+'Data Termo'!$M$22/4*($B$47^4-298.15^4))</f>
        <v>-91860.8668146845</v>
      </c>
      <c r="D56" s="191">
        <f>E32</f>
        <v>0.000346295017313362</v>
      </c>
      <c r="E56" s="195">
        <f>C56</f>
        <v>-91860.8668146845</v>
      </c>
    </row>
    <row r="57">
      <c r="A57" s="188" t="inlineStr">
        <is>
          <t>VCM (l / l+g)</t>
        </is>
      </c>
      <c r="B57" s="191">
        <f>'NME-7 Kolom HCl'!M34</f>
        <v>406.4501085469183</v>
      </c>
      <c r="C57" s="195">
        <f>'Data Termo'!$X$25+('Data Termo'!$J$25*($B$47-298.15)+'Data Termo'!$K$25/2*($B$47^2-298.15^2)+'Data Termo'!$L$25/3*($B$47^3-298.15^3)+'Data Termo'!$M$25/4*($B$47^4-298.15^4))</f>
        <v>13388.733700239374</v>
      </c>
      <c r="D57" s="191">
        <f>E35</f>
        <v>406.4501085469183</v>
      </c>
      <c r="E57" s="195">
        <f>C57</f>
        <v>13388.733700239374</v>
      </c>
    </row>
    <row r="58">
      <c r="A58" s="188" t="inlineStr">
        <is>
          <t>C₄H₈Cl₂ (berat) (l / l+g)</t>
        </is>
      </c>
      <c r="B58" s="191">
        <f>'NME-7 Kolom HCl'!M35</f>
        <v>3.0950186703622276</v>
      </c>
      <c r="C58" s="195">
        <f>'Data Termo'!$X$26+('Data Termo'!$J$26*($B$47-298.15)+'Data Termo'!$K$26/2*($B$47^2-298.15^2)+'Data Termo'!$L$26/3*($B$47^3-298.15^3)+'Data Termo'!$M$26/4*($B$47^4-298.15^4))</f>
        <v>-213729.18331098295</v>
      </c>
      <c r="D58" s="191">
        <f>E36</f>
        <v>3.0950186703622276</v>
      </c>
      <c r="E58" s="195">
        <f>C58</f>
        <v>-213729.18331098295</v>
      </c>
    </row>
    <row r="59">
      <c r="A59" s="196" t="inlineStr">
        <is>
          <t>Sub Total ṅᵢĤᵢ (kJ/h)</t>
        </is>
      </c>
      <c r="B59" s="197">
        <f>SUMPRODUCT(B53:B58,C53:C58)</f>
        <v>-48372350.526551865</v>
      </c>
      <c r="C59" s="184" t="n"/>
      <c r="D59" s="197">
        <f>SUMPRODUCT(D53:D58,E53:E58)</f>
        <v>-48372350.526551865</v>
      </c>
      <c r="E59" s="184" t="n"/>
    </row>
    <row r="60">
      <c r="A60" s="188" t="inlineStr">
        <is>
          <t>Heat of reaction / heat of mixing</t>
        </is>
      </c>
      <c r="B60" s="198" t="inlineStr">
        <is>
          <t>-</t>
        </is>
      </c>
      <c r="C60" s="183" t="n"/>
      <c r="D60" s="183" t="n"/>
      <c r="E60" s="184" t="n"/>
    </row>
    <row r="61">
      <c r="A61" s="196" t="inlineStr">
        <is>
          <t>Q (kJ/h)</t>
        </is>
      </c>
      <c r="B61" s="197" t="n">
        <v>0</v>
      </c>
      <c r="C61" s="183" t="n"/>
      <c r="D61" s="183" t="n"/>
      <c r="E61" s="184" t="n"/>
    </row>
    <row r="62">
      <c r="A62" s="196" t="inlineStr">
        <is>
          <t>W (kJ/h)</t>
        </is>
      </c>
      <c r="B62" s="197" t="n">
        <v>0</v>
      </c>
      <c r="C62" s="183" t="n"/>
      <c r="D62" s="183" t="n"/>
      <c r="E62" s="184" t="n"/>
    </row>
    <row r="63">
      <c r="A63" s="196" t="inlineStr">
        <is>
          <t>TOTAL (kJ/h)</t>
        </is>
      </c>
      <c r="B63" s="197">
        <f>B59+$B$61+$B$62</f>
        <v>-48372350.526551865</v>
      </c>
      <c r="C63" s="184" t="n"/>
      <c r="D63" s="197">
        <f>D59</f>
        <v>-48372350.526551865</v>
      </c>
      <c r="E63" s="184" t="n"/>
    </row>
    <row r="64">
      <c r="A64" s="188" t="inlineStr">
        <is>
          <t>Selisih masuk − keluar (kJ/h)</t>
        </is>
      </c>
      <c r="B64" s="195">
        <f>B63-D63</f>
        <v>0.0</v>
      </c>
      <c r="C64" s="183" t="n"/>
      <c r="D64" s="183" t="n"/>
      <c r="E64" s="184" t="n"/>
    </row>
    <row r="65">
      <c r="A65" s="188" t="inlineStr">
        <is>
          <t>Q (kW)</t>
        </is>
      </c>
      <c r="B65" s="195">
        <f>$B$61/3600</f>
        <v>0.0</v>
      </c>
      <c r="C65" s="183" t="n"/>
      <c r="D65" s="183" t="n"/>
      <c r="E65" s="184" t="n"/>
    </row>
    <row r="66">
      <c r="A66" s="188" t="inlineStr">
        <is>
          <t>W (kW)</t>
        </is>
      </c>
      <c r="B66" s="195">
        <f>$B$62/3600</f>
        <v>0.0</v>
      </c>
      <c r="C66" s="183" t="n"/>
      <c r="D66" s="183" t="n"/>
      <c r="E66" s="184" t="n"/>
    </row>
    <row r="69">
      <c r="A69" s="172" t="inlineStr">
        <is>
          <t>Neraca Energi KD-104: Kolom VCM (kondensor dan reboiler)</t>
        </is>
      </c>
    </row>
    <row r="70">
      <c r="A70" s="174" t="inlineStr">
        <is>
          <t>Reference state: unsur pada 25 °C dan 1 atm (metode panas pembentukan)</t>
        </is>
      </c>
    </row>
    <row r="71">
      <c r="A71" s="182" t="inlineStr">
        <is>
          <t>No. aliran PFD</t>
        </is>
      </c>
      <c r="B71" s="182" t="n">
        <v>46</v>
      </c>
      <c r="C71" s="184" t="n"/>
      <c r="D71" s="182" t="n">
        <v>47</v>
      </c>
      <c r="E71" s="184" t="n"/>
      <c r="F71" s="182" t="n">
        <v>49</v>
      </c>
      <c r="G71" s="184" t="n"/>
    </row>
    <row r="72">
      <c r="A72" s="182" t="inlineStr">
        <is>
          <t>Dari</t>
        </is>
      </c>
      <c r="B72" s="192" t="inlineStr">
        <is>
          <t>V-105</t>
        </is>
      </c>
      <c r="C72" s="184" t="n"/>
      <c r="D72" s="192" t="inlineStr">
        <is>
          <t>KD-104</t>
        </is>
      </c>
      <c r="E72" s="184" t="n"/>
      <c r="F72" s="192" t="inlineStr">
        <is>
          <t>KD-104</t>
        </is>
      </c>
      <c r="G72" s="184" t="n"/>
    </row>
    <row r="73">
      <c r="A73" s="182" t="inlineStr">
        <is>
          <t>Ke</t>
        </is>
      </c>
      <c r="B73" s="192" t="inlineStr">
        <is>
          <t>KD-104</t>
        </is>
      </c>
      <c r="C73" s="184" t="n"/>
      <c r="D73" s="192" t="inlineStr">
        <is>
          <t>E-110</t>
        </is>
      </c>
      <c r="E73" s="184" t="n"/>
      <c r="F73" s="192" t="inlineStr">
        <is>
          <t>E-111</t>
        </is>
      </c>
      <c r="G73" s="184" t="n"/>
    </row>
    <row r="74">
      <c r="A74" s="182" t="inlineStr">
        <is>
          <t>T (K)</t>
        </is>
      </c>
      <c r="B74" s="193" t="str">
        <f>$D$47</f>
        <v>-</v>
      </c>
      <c r="C74" s="184" t="n"/>
      <c r="D74" s="193">
        <f>D75+273.15</f>
        <v>310.15</v>
      </c>
      <c r="E74" s="184" t="n"/>
      <c r="F74" s="193">
        <f>F75+273.15</f>
        <v>425.15</v>
      </c>
      <c r="G74" s="184" t="n"/>
    </row>
    <row r="75">
      <c r="A75" s="182" t="inlineStr">
        <is>
          <t>T (°C)</t>
        </is>
      </c>
      <c r="B75" s="193" t="str">
        <f>$D$48</f>
        <v>-</v>
      </c>
      <c r="C75" s="184" t="n"/>
      <c r="D75" s="193" t="n">
        <v>37</v>
      </c>
      <c r="E75" s="184" t="n"/>
      <c r="F75" s="193" t="n">
        <v>152</v>
      </c>
      <c r="G75" s="184" t="n"/>
    </row>
    <row r="76">
      <c r="A76" s="182" t="inlineStr">
        <is>
          <t>P (bar abs)</t>
        </is>
      </c>
      <c r="B76" s="194">
        <f>$D$49</f>
        <v>6.5</v>
      </c>
      <c r="C76" s="184" t="n"/>
      <c r="D76" s="194" t="n">
        <v>6.5</v>
      </c>
      <c r="E76" s="184" t="n"/>
      <c r="F76" s="194" t="n">
        <v>6.5</v>
      </c>
      <c r="G76" s="184" t="n"/>
    </row>
    <row r="77">
      <c r="A77" s="182" t="inlineStr">
        <is>
          <t>Substance</t>
        </is>
      </c>
      <c r="B77" s="182" t="inlineStr">
        <is>
          <t>INLET</t>
        </is>
      </c>
      <c r="C77" s="184" t="n"/>
      <c r="D77" s="182" t="inlineStr">
        <is>
          <t>OUTLET</t>
        </is>
      </c>
      <c r="E77" s="183" t="n"/>
      <c r="F77" s="183" t="n"/>
      <c r="G77" s="184" t="n"/>
    </row>
    <row r="78">
      <c r="A78" s="185" t="n"/>
      <c r="B78" s="182" t="inlineStr">
        <is>
          <t>Aliran 46</t>
        </is>
      </c>
      <c r="C78" s="184" t="n"/>
      <c r="D78" s="182" t="inlineStr">
        <is>
          <t>Aliran 47</t>
        </is>
      </c>
      <c r="E78" s="184" t="n"/>
      <c r="F78" s="182" t="inlineStr">
        <is>
          <t>Aliran 49</t>
        </is>
      </c>
      <c r="G78" s="184" t="n"/>
    </row>
    <row r="79">
      <c r="A79" s="186" t="n"/>
      <c r="B79" s="182" t="inlineStr">
        <is>
          <t>ṅᵢ (kmol/h)</t>
        </is>
      </c>
      <c r="C79" s="182" t="inlineStr">
        <is>
          <t>Ĥᵢ (kJ/kmol)</t>
        </is>
      </c>
      <c r="D79" s="182" t="inlineStr">
        <is>
          <t>ṅᵢ (kmol/h)</t>
        </is>
      </c>
      <c r="E79" s="182" t="inlineStr">
        <is>
          <t>Ĥᵢ (kJ/kmol)</t>
        </is>
      </c>
      <c r="F79" s="182" t="inlineStr">
        <is>
          <t>ṅᵢ (kmol/h)</t>
        </is>
      </c>
      <c r="G79" s="182" t="inlineStr">
        <is>
          <t>Ĥᵢ (kJ/kmol)</t>
        </is>
      </c>
    </row>
    <row r="80">
      <c r="A80" s="188" t="inlineStr">
        <is>
          <t>H₂O (l+g / l / l)</t>
        </is>
      </c>
      <c r="B80" s="191">
        <f>E22</f>
        <v>0.14511609269780668</v>
      </c>
      <c r="C80" s="195">
        <f>'NME-7 Kolom HCl'!$G$81</f>
        <v>-280281.4272487552</v>
      </c>
      <c r="D80" s="191">
        <f>I22</f>
        <v>0.0</v>
      </c>
      <c r="E80" s="195">
        <f>'Data Termo'!$X$12+('Data Termo'!$J$12*($D$74-298.15)+'Data Termo'!$K$12/2*($D$74^2-298.15^2)+'Data Termo'!$L$12/3*($D$74^3-298.15^3)+'Data Termo'!$M$12/4*($D$74^4-298.15^4))</f>
        <v>-283587.85580572893</v>
      </c>
      <c r="F80" s="191">
        <f>M22</f>
        <v>0.14511609269780668</v>
      </c>
      <c r="G80" s="195">
        <f>'Data Termo'!$X$12+('Data Termo'!$J$12*($F$74-298.15)+'Data Termo'!$K$12/2*($F$74^2-298.15^2)+'Data Termo'!$L$12/3*($F$74^3-298.15^3)+'Data Termo'!$M$12/4*($F$74^4-298.15^4))</f>
        <v>-274867.59853025567</v>
      </c>
    </row>
    <row r="81">
      <c r="A81" s="188" t="inlineStr">
        <is>
          <t>EDC (l+g / l / l)</t>
        </is>
      </c>
      <c r="B81" s="191">
        <f>E30</f>
        <v>337.63840040315176</v>
      </c>
      <c r="C81" s="195">
        <f>'NME-7 Kolom HCl'!$G$82</f>
        <v>-157301.89385144098</v>
      </c>
      <c r="D81" s="191">
        <f>I30</f>
        <v>0.20196765243434703</v>
      </c>
      <c r="E81" s="195">
        <f>'Data Termo'!$X$20+('Data Termo'!$J$20*($D$74-298.15)+'Data Termo'!$K$20/2*($D$74^2-298.15^2)+'Data Termo'!$L$20/3*($D$74^3-298.15^3)+'Data Termo'!$M$20/4*($D$74^4-298.15^4))</f>
        <v>-163195.31606185844</v>
      </c>
      <c r="F81" s="191">
        <f>M30</f>
        <v>337.4364327507174</v>
      </c>
      <c r="G81" s="195">
        <f>'Data Termo'!$X$20+('Data Termo'!$J$20*($F$74-298.15)+'Data Termo'!$K$20/2*($F$74^2-298.15^2)+'Data Termo'!$L$20/3*($F$74^3-298.15^3)+'Data Termo'!$M$20/4*($F$74^4-298.15^4))</f>
        <v>-146994.48433037964</v>
      </c>
    </row>
    <row r="82">
      <c r="A82" s="188" t="inlineStr">
        <is>
          <t>TCE (l+g / l / l)</t>
        </is>
      </c>
      <c r="B82" s="191">
        <f>E31</f>
        <v>0.005009843991228917</v>
      </c>
      <c r="C82" s="195">
        <f>'NME-7 Kolom HCl'!$G$83</f>
        <v>-168069.63394001866</v>
      </c>
      <c r="D82" s="191">
        <f>I31</f>
        <v>0.0</v>
      </c>
      <c r="E82" s="195">
        <f>'Data Termo'!$X$21+('Data Termo'!$J$21*($D$74-298.15)+'Data Termo'!$K$21/2*($D$74^2-298.15^2)+'Data Termo'!$L$21/3*($D$74^3-298.15^3)+'Data Termo'!$M$21/4*($D$74^4-298.15^4))</f>
        <v>-174991.3440697318</v>
      </c>
      <c r="F82" s="191">
        <f>M31</f>
        <v>0.005009843991228917</v>
      </c>
      <c r="G82" s="195">
        <f>'Data Termo'!$X$21+('Data Termo'!$J$21*($F$74-298.15)+'Data Termo'!$K$21/2*($F$74^2-298.15^2)+'Data Termo'!$L$21/3*($F$74^3-298.15^3)+'Data Termo'!$M$21/4*($F$74^4-298.15^4))</f>
        <v>-156047.56200725673</v>
      </c>
    </row>
    <row r="83">
      <c r="A83" s="188" t="inlineStr">
        <is>
          <t>HCl (l+g / l / l)</t>
        </is>
      </c>
      <c r="B83" s="191">
        <f>E32</f>
        <v>0.000346295017313362</v>
      </c>
      <c r="C83" s="195">
        <f>'NME-7 Kolom HCl'!$G$84</f>
        <v>-91860.8668146845</v>
      </c>
      <c r="D83" s="191">
        <f>I32</f>
        <v>0.000346295017313362</v>
      </c>
      <c r="E83" s="195">
        <f>'Data Termo'!$X$22+('Data Termo'!$J$22*($D$74-298.15)+'Data Termo'!$K$22/2*($D$74^2-298.15^2)+'Data Termo'!$L$22/3*($D$74^3-298.15^3)+'Data Termo'!$M$22/4*($D$74^4-298.15^4))</f>
        <v>-97117.30165778242</v>
      </c>
      <c r="F83" s="191">
        <f>M32</f>
        <v>0.0</v>
      </c>
      <c r="G83" s="195">
        <f>'Data Termo'!$X$22+('Data Termo'!$J$22*($F$74-298.15)+'Data Termo'!$K$22/2*($F$74^2-298.15^2)+'Data Termo'!$L$22/3*($F$74^3-298.15^3)+'Data Termo'!$M$22/4*($F$74^4-298.15^4))</f>
        <v>-79857.9321279999</v>
      </c>
    </row>
    <row r="84">
      <c r="A84" s="188" t="inlineStr">
        <is>
          <t>VCM (l+g / l / l)</t>
        </is>
      </c>
      <c r="B84" s="191">
        <f>E35</f>
        <v>406.4501085469183</v>
      </c>
      <c r="C84" s="195">
        <f>'NME-7 Kolom HCl'!$G$85</f>
        <v>13388.733700239374</v>
      </c>
      <c r="D84" s="191">
        <f>I35</f>
        <v>403.7333372162991</v>
      </c>
      <c r="E84" s="195">
        <f>'Data Termo'!$X$25+('Data Termo'!$J$25*($D$74-298.15)+'Data Termo'!$K$25/2*($D$74^2-298.15^2)+'Data Termo'!$L$25/3*($D$74^3-298.15^3)+'Data Termo'!$M$25/4*($D$74^4-298.15^4))</f>
        <v>9288.594031573975</v>
      </c>
      <c r="F84" s="191">
        <f>M35</f>
        <v>2.716771330619088</v>
      </c>
      <c r="G84" s="195">
        <f>'Data Termo'!$X$25+('Data Termo'!$J$25*($F$74-298.15)+'Data Termo'!$K$25/2*($F$74^2-298.15^2)+'Data Termo'!$L$25/3*($F$74^3-298.15^3)+'Data Termo'!$M$25/4*($F$74^4-298.15^4))</f>
        <v>21269.49843410976</v>
      </c>
    </row>
    <row r="85">
      <c r="A85" s="188" t="inlineStr">
        <is>
          <t>C₄H₈Cl₂ (berat) (l+g / l / l)</t>
        </is>
      </c>
      <c r="B85" s="191">
        <f>E36</f>
        <v>3.0950186703622276</v>
      </c>
      <c r="C85" s="195">
        <f>'NME-7 Kolom HCl'!$G$86</f>
        <v>-213729.18331098295</v>
      </c>
      <c r="D85" s="191">
        <f>I36</f>
        <v>0.0</v>
      </c>
      <c r="E85" s="195">
        <f>'Data Termo'!$X$26+('Data Termo'!$J$26*($D$74-298.15)+'Data Termo'!$K$26/2*($D$74^2-298.15^2)+'Data Termo'!$L$26/3*($D$74^3-298.15^3)+'Data Termo'!$M$26/4*($D$74^4-298.15^4))</f>
        <v>-222105.37690820196</v>
      </c>
      <c r="F85" s="191">
        <f>M36</f>
        <v>3.0950186703622276</v>
      </c>
      <c r="G85" s="195">
        <f>'Data Termo'!$X$26+('Data Termo'!$J$26*($F$74-298.15)+'Data Termo'!$K$26/2*($F$74^2-298.15^2)+'Data Termo'!$L$26/3*($F$74^3-298.15^3)+'Data Termo'!$M$26/4*($F$74^4-298.15^4))</f>
        <v>-199364.12518830574</v>
      </c>
    </row>
    <row r="86">
      <c r="A86" s="196" t="inlineStr">
        <is>
          <t>Sub Total ṅᵢĤᵢ (kJ/h)</t>
        </is>
      </c>
      <c r="B86" s="197">
        <f>SUMPRODUCT(B80:B85,C80:C85)</f>
        <v>-48372350.526551865</v>
      </c>
      <c r="C86" s="184" t="n"/>
      <c r="D86" s="197">
        <f>SUMPRODUCT(D80:D85,E80:E85)</f>
        <v>3717121.260303805</v>
      </c>
      <c r="E86" s="184" t="n"/>
      <c r="F86" s="197">
        <f>SUMPRODUCT(F80:F85,G80:G85)</f>
        <v>-50201215.238419145</v>
      </c>
      <c r="G86" s="184" t="n"/>
    </row>
    <row r="87">
      <c r="A87" s="188" t="inlineStr">
        <is>
          <t>Heat of reaction / heat of mixing</t>
        </is>
      </c>
      <c r="B87" s="198" t="inlineStr">
        <is>
          <t>-</t>
        </is>
      </c>
      <c r="C87" s="183" t="n"/>
      <c r="D87" s="183" t="n"/>
      <c r="E87" s="183" t="n"/>
      <c r="F87" s="183" t="n"/>
      <c r="G87" s="184" t="n"/>
    </row>
    <row r="88">
      <c r="A88" s="196" t="inlineStr">
        <is>
          <t>Q kondensor (kJ/h)</t>
        </is>
      </c>
      <c r="B88" s="197">
        <f>-($B$8*3600000/(D84*('Data Termo'!$Q$25*1000*MAX(0,1-$B$9/'Data Termo'!$R$25)^'Data Termo'!$S$25)))*(D84*('Data Termo'!$Q$25*1000*MAX(0,1-$D$74/'Data Termo'!$R$25)^'Data Termo'!$S$25)+D81*('Data Termo'!$Q$20*1000*MAX(0,1-$D$74/'Data Termo'!$R$20)^'Data Termo'!$S$20)+D83*('Data Termo'!$Q$22*1000*MAX(0,1-$D$74/'Data Termo'!$R$22)^'Data Termo'!$S$22))</f>
        <v>-10041085.266337903</v>
      </c>
      <c r="C88" s="183" t="n"/>
      <c r="D88" s="183" t="n"/>
      <c r="E88" s="183" t="n"/>
      <c r="F88" s="183" t="n"/>
      <c r="G88" s="184" t="n"/>
    </row>
    <row r="89">
      <c r="A89" s="196" t="inlineStr">
        <is>
          <t>Q reboiler (kJ/h)</t>
        </is>
      </c>
      <c r="B89" s="197">
        <f>(D86+F86)-(B86)-$B$88</f>
        <v>11929341.814774426</v>
      </c>
      <c r="C89" s="183" t="n"/>
      <c r="D89" s="183" t="n"/>
      <c r="E89" s="183" t="n"/>
      <c r="F89" s="183" t="n"/>
      <c r="G89" s="184" t="n"/>
    </row>
    <row r="90">
      <c r="A90" s="196" t="inlineStr">
        <is>
          <t>W (kJ/h)</t>
        </is>
      </c>
      <c r="B90" s="197" t="n">
        <v>0</v>
      </c>
      <c r="C90" s="183" t="n"/>
      <c r="D90" s="183" t="n"/>
      <c r="E90" s="183" t="n"/>
      <c r="F90" s="183" t="n"/>
      <c r="G90" s="184" t="n"/>
    </row>
    <row r="91">
      <c r="A91" s="196" t="inlineStr">
        <is>
          <t>TOTAL (kJ/h)</t>
        </is>
      </c>
      <c r="B91" s="197">
        <f>B86+$B$88+$B$89+$B$90</f>
        <v>-46484093.97811534</v>
      </c>
      <c r="C91" s="184" t="n"/>
      <c r="D91" s="197">
        <f>D86+F86</f>
        <v>-46484093.97811534</v>
      </c>
      <c r="E91" s="183" t="n"/>
      <c r="F91" s="183" t="n"/>
      <c r="G91" s="184" t="n"/>
    </row>
    <row r="92">
      <c r="A92" s="188" t="inlineStr">
        <is>
          <t>Selisih masuk − keluar (kJ/h)</t>
        </is>
      </c>
      <c r="B92" s="195">
        <f>B91-D91</f>
        <v>0.0</v>
      </c>
      <c r="C92" s="183" t="n"/>
      <c r="D92" s="183" t="n"/>
      <c r="E92" s="183" t="n"/>
      <c r="F92" s="183" t="n"/>
      <c r="G92" s="184" t="n"/>
    </row>
    <row r="93">
      <c r="A93" s="188" t="inlineStr">
        <is>
          <t>Q kondensor (kW)</t>
        </is>
      </c>
      <c r="B93" s="195">
        <f>$B$88/3600</f>
        <v>-2789.1903517605288</v>
      </c>
      <c r="C93" s="183" t="n"/>
      <c r="D93" s="183" t="n"/>
      <c r="E93" s="183" t="n"/>
      <c r="F93" s="183" t="n"/>
      <c r="G93" s="184" t="n"/>
    </row>
    <row r="94">
      <c r="A94" s="188" t="inlineStr">
        <is>
          <t>Q reboiler (kW)</t>
        </is>
      </c>
      <c r="B94" s="195">
        <f>$B$89/3600</f>
        <v>3313.7060596595625</v>
      </c>
      <c r="C94" s="183" t="n"/>
      <c r="D94" s="183" t="n"/>
      <c r="E94" s="183" t="n"/>
      <c r="F94" s="183" t="n"/>
      <c r="G94" s="184" t="n"/>
    </row>
    <row r="95">
      <c r="A95" s="188" t="inlineStr">
        <is>
          <t>W (kW)</t>
        </is>
      </c>
      <c r="B95" s="195">
        <f>$B$90/3600</f>
        <v>0.0</v>
      </c>
      <c r="C95" s="183" t="n"/>
      <c r="D95" s="183" t="n"/>
      <c r="E95" s="183" t="n"/>
      <c r="F95" s="183" t="n"/>
      <c r="G95" s="184" t="n"/>
    </row>
    <row r="98">
      <c r="A98" s="172" t="inlineStr">
        <is>
          <t>Neraca Energi E-110: Pendingin VCM produk</t>
        </is>
      </c>
    </row>
    <row r="99">
      <c r="A99" s="174" t="inlineStr">
        <is>
          <t>Reference state: unsur pada 25 °C dan 1 atm (metode panas pembentukan)</t>
        </is>
      </c>
    </row>
    <row r="100">
      <c r="A100" s="182" t="inlineStr">
        <is>
          <t>No. aliran PFD</t>
        </is>
      </c>
      <c r="B100" s="182" t="n">
        <v>47</v>
      </c>
      <c r="C100" s="184" t="n"/>
      <c r="D100" s="182" t="n">
        <v>48</v>
      </c>
      <c r="E100" s="184" t="n"/>
    </row>
    <row r="101">
      <c r="A101" s="182" t="inlineStr">
        <is>
          <t>Dari</t>
        </is>
      </c>
      <c r="B101" s="192" t="inlineStr">
        <is>
          <t>KD-104</t>
        </is>
      </c>
      <c r="C101" s="184" t="n"/>
      <c r="D101" s="192" t="inlineStr">
        <is>
          <t>E-110</t>
        </is>
      </c>
      <c r="E101" s="184" t="n"/>
    </row>
    <row r="102">
      <c r="A102" s="182" t="inlineStr">
        <is>
          <t>Ke</t>
        </is>
      </c>
      <c r="B102" s="192" t="inlineStr">
        <is>
          <t>E-110</t>
        </is>
      </c>
      <c r="C102" s="184" t="n"/>
      <c r="D102" s="192" t="inlineStr">
        <is>
          <t>T-103</t>
        </is>
      </c>
      <c r="E102" s="184" t="n"/>
    </row>
    <row r="103">
      <c r="A103" s="182" t="inlineStr">
        <is>
          <t>T (K)</t>
        </is>
      </c>
      <c r="B103" s="193">
        <f>$D$74</f>
        <v>310.15</v>
      </c>
      <c r="C103" s="184" t="n"/>
      <c r="D103" s="193">
        <f>D104+273.15</f>
        <v>303.15</v>
      </c>
      <c r="E103" s="184" t="n"/>
    </row>
    <row r="104">
      <c r="A104" s="182" t="inlineStr">
        <is>
          <t>T (°C)</t>
        </is>
      </c>
      <c r="B104" s="193">
        <f>$D$75</f>
        <v>37.0</v>
      </c>
      <c r="C104" s="184" t="n"/>
      <c r="D104" s="193" t="n">
        <v>30</v>
      </c>
      <c r="E104" s="184" t="n"/>
    </row>
    <row r="105">
      <c r="A105" s="182" t="inlineStr">
        <is>
          <t>P (bar abs)</t>
        </is>
      </c>
      <c r="B105" s="194">
        <f>$D$76</f>
        <v>6.5</v>
      </c>
      <c r="C105" s="184" t="n"/>
      <c r="D105" s="194" t="n">
        <v>6.5</v>
      </c>
      <c r="E105" s="184" t="n"/>
    </row>
    <row r="106">
      <c r="A106" s="182" t="inlineStr">
        <is>
          <t>Substance</t>
        </is>
      </c>
      <c r="B106" s="182" t="inlineStr">
        <is>
          <t>INLET</t>
        </is>
      </c>
      <c r="C106" s="184" t="n"/>
      <c r="D106" s="182" t="inlineStr">
        <is>
          <t>OUTLET</t>
        </is>
      </c>
      <c r="E106" s="184" t="n"/>
    </row>
    <row r="107">
      <c r="A107" s="185" t="n"/>
      <c r="B107" s="182" t="inlineStr">
        <is>
          <t>Aliran 47</t>
        </is>
      </c>
      <c r="C107" s="184" t="n"/>
      <c r="D107" s="182" t="inlineStr">
        <is>
          <t>Aliran 48</t>
        </is>
      </c>
      <c r="E107" s="184" t="n"/>
    </row>
    <row r="108">
      <c r="A108" s="186" t="n"/>
      <c r="B108" s="182" t="inlineStr">
        <is>
          <t>ṅᵢ (kmol/h)</t>
        </is>
      </c>
      <c r="C108" s="182" t="inlineStr">
        <is>
          <t>Ĥᵢ (kJ/kmol)</t>
        </is>
      </c>
      <c r="D108" s="182" t="inlineStr">
        <is>
          <t>ṅᵢ (kmol/h)</t>
        </is>
      </c>
      <c r="E108" s="182" t="inlineStr">
        <is>
          <t>Ĥᵢ (kJ/kmol)</t>
        </is>
      </c>
    </row>
    <row r="109">
      <c r="A109" s="188" t="inlineStr">
        <is>
          <t>EDC (l)</t>
        </is>
      </c>
      <c r="B109" s="191">
        <f>I30</f>
        <v>0.20196765243434703</v>
      </c>
      <c r="C109" s="195">
        <f>'Data Termo'!$X$20+('Data Termo'!$J$20*($B$103-298.15)+'Data Termo'!$K$20/2*($B$103^2-298.15^2)+'Data Termo'!$L$20/3*($B$103^3-298.15^3)+'Data Termo'!$M$20/4*($B$103^4-298.15^4))</f>
        <v>-163195.31606185844</v>
      </c>
      <c r="D109" s="191">
        <f>I30</f>
        <v>0.20196765243434703</v>
      </c>
      <c r="E109" s="195">
        <f>'Data Termo'!$X$20+('Data Termo'!$J$20*($D$103-298.15)+'Data Termo'!$K$20/2*($D$103^2-298.15^2)+'Data Termo'!$L$20/3*($D$103^3-298.15^3)+'Data Termo'!$M$20/4*($D$103^4-298.15^4))</f>
        <v>-164105.29056479066</v>
      </c>
    </row>
    <row r="110">
      <c r="A110" s="188" t="inlineStr">
        <is>
          <t>HCl (l)</t>
        </is>
      </c>
      <c r="B110" s="191">
        <f>I32</f>
        <v>0.000346295017313362</v>
      </c>
      <c r="C110" s="195">
        <f>'Data Termo'!$X$22+('Data Termo'!$J$22*($B$103-298.15)+'Data Termo'!$K$22/2*($B$103^2-298.15^2)+'Data Termo'!$L$22/3*($B$103^3-298.15^3)+'Data Termo'!$M$22/4*($B$103^4-298.15^4))</f>
        <v>-97117.30165778242</v>
      </c>
      <c r="D110" s="191">
        <f>I32</f>
        <v>0.000346295017313362</v>
      </c>
      <c r="E110" s="195">
        <f>'Data Termo'!$X$22+('Data Termo'!$J$22*($D$103-298.15)+'Data Termo'!$K$22/2*($D$103^2-298.15^2)+'Data Termo'!$L$22/3*($D$103^3-298.15^3)+'Data Termo'!$M$22/4*($D$103^4-298.15^4))</f>
        <v>-97838.50316756786</v>
      </c>
    </row>
    <row r="111">
      <c r="A111" s="188" t="inlineStr">
        <is>
          <t>VCM (l)</t>
        </is>
      </c>
      <c r="B111" s="191">
        <f>I35</f>
        <v>403.7333372162991</v>
      </c>
      <c r="C111" s="195">
        <f>'Data Termo'!$X$25+('Data Termo'!$J$25*($B$103-298.15)+'Data Termo'!$K$25/2*($B$103^2-298.15^2)+'Data Termo'!$L$25/3*($B$103^3-298.15^3)+'Data Termo'!$M$25/4*($B$103^4-298.15^4))</f>
        <v>9288.594031573975</v>
      </c>
      <c r="D111" s="191">
        <f>I35</f>
        <v>403.7333372162991</v>
      </c>
      <c r="E111" s="195">
        <f>'Data Termo'!$X$25+('Data Termo'!$J$25*($D$103-298.15)+'Data Termo'!$K$25/2*($D$103^2-298.15^2)+'Data Termo'!$L$25/3*($D$103^3-298.15^3)+'Data Termo'!$M$25/4*($D$103^4-298.15^4))</f>
        <v>8675.531920408333</v>
      </c>
    </row>
    <row r="112">
      <c r="A112" s="196" t="inlineStr">
        <is>
          <t>Sub Total ṅᵢĤᵢ (kJ/h)</t>
        </is>
      </c>
      <c r="B112" s="197">
        <f>SUMPRODUCT(B109:B111,C109:C111)</f>
        <v>3717121.260303805</v>
      </c>
      <c r="C112" s="184" t="n"/>
      <c r="D112" s="197">
        <f>SUMPRODUCT(D109:D111,E109:E111)</f>
        <v>3469423.613079409</v>
      </c>
      <c r="E112" s="184" t="n"/>
    </row>
    <row r="113">
      <c r="A113" s="188" t="inlineStr">
        <is>
          <t>Heat of reaction / heat of mixing</t>
        </is>
      </c>
      <c r="B113" s="198" t="inlineStr">
        <is>
          <t>-</t>
        </is>
      </c>
      <c r="C113" s="183" t="n"/>
      <c r="D113" s="183" t="n"/>
      <c r="E113" s="184" t="n"/>
    </row>
    <row r="114">
      <c r="A114" s="196" t="inlineStr">
        <is>
          <t>Q (kJ/h)</t>
        </is>
      </c>
      <c r="B114" s="197">
        <f>(D112)-(B112)</f>
        <v>-247697.647224396</v>
      </c>
      <c r="C114" s="183" t="n"/>
      <c r="D114" s="183" t="n"/>
      <c r="E114" s="184" t="n"/>
    </row>
    <row r="115">
      <c r="A115" s="196" t="inlineStr">
        <is>
          <t>W (kJ/h)</t>
        </is>
      </c>
      <c r="B115" s="197" t="n">
        <v>0</v>
      </c>
      <c r="C115" s="183" t="n"/>
      <c r="D115" s="183" t="n"/>
      <c r="E115" s="184" t="n"/>
    </row>
    <row r="116">
      <c r="A116" s="196" t="inlineStr">
        <is>
          <t>TOTAL (kJ/h)</t>
        </is>
      </c>
      <c r="B116" s="197">
        <f>B112+$B$114+$B$115</f>
        <v>3469423.613079409</v>
      </c>
      <c r="C116" s="184" t="n"/>
      <c r="D116" s="197">
        <f>D112</f>
        <v>3469423.613079409</v>
      </c>
      <c r="E116" s="184" t="n"/>
    </row>
    <row r="117">
      <c r="A117" s="188" t="inlineStr">
        <is>
          <t>Selisih masuk − keluar (kJ/h)</t>
        </is>
      </c>
      <c r="B117" s="195">
        <f>B116-D116</f>
        <v>0.0</v>
      </c>
      <c r="C117" s="183" t="n"/>
      <c r="D117" s="183" t="n"/>
      <c r="E117" s="184" t="n"/>
    </row>
    <row r="118">
      <c r="A118" s="188" t="inlineStr">
        <is>
          <t>Q (kW)</t>
        </is>
      </c>
      <c r="B118" s="195">
        <f>$B$114/3600</f>
        <v>-68.80490200677667</v>
      </c>
      <c r="C118" s="183" t="n"/>
      <c r="D118" s="183" t="n"/>
      <c r="E118" s="184" t="n"/>
    </row>
    <row r="119">
      <c r="A119" s="188" t="inlineStr">
        <is>
          <t>W (kW)</t>
        </is>
      </c>
      <c r="B119" s="195">
        <f>$B$115/3600</f>
        <v>0.0</v>
      </c>
      <c r="C119" s="183" t="n"/>
      <c r="D119" s="183" t="n"/>
      <c r="E119" s="184" t="n"/>
    </row>
  </sheetData>
  <mergeCells count="106">
    <mergeCell ref="B91:C91"/>
    <mergeCell ref="B100:C100"/>
    <mergeCell ref="B65:E65"/>
    <mergeCell ref="D100:E100"/>
    <mergeCell ref="C7:L7"/>
    <mergeCell ref="B88:G88"/>
    <mergeCell ref="B102:C102"/>
    <mergeCell ref="D45:E45"/>
    <mergeCell ref="A13:A15"/>
    <mergeCell ref="B77:C77"/>
    <mergeCell ref="B86:C86"/>
    <mergeCell ref="D86:E86"/>
    <mergeCell ref="B113:E113"/>
    <mergeCell ref="F86:G86"/>
    <mergeCell ref="B101:C101"/>
    <mergeCell ref="D48:E48"/>
    <mergeCell ref="B115:E115"/>
    <mergeCell ref="B78:C78"/>
    <mergeCell ref="D72:E72"/>
    <mergeCell ref="D78:E78"/>
    <mergeCell ref="B112:C112"/>
    <mergeCell ref="F72:G72"/>
    <mergeCell ref="D112:E112"/>
    <mergeCell ref="D77:G77"/>
    <mergeCell ref="D71:E71"/>
    <mergeCell ref="A50:A52"/>
    <mergeCell ref="B49:C49"/>
    <mergeCell ref="F71:G71"/>
    <mergeCell ref="B14:E14"/>
    <mergeCell ref="B104:C104"/>
    <mergeCell ref="B13:E13"/>
    <mergeCell ref="B51:C51"/>
    <mergeCell ref="D73:E73"/>
    <mergeCell ref="B38:E38"/>
    <mergeCell ref="D51:E51"/>
    <mergeCell ref="B63:C63"/>
    <mergeCell ref="B106:C106"/>
    <mergeCell ref="B64:E64"/>
    <mergeCell ref="F74:G74"/>
    <mergeCell ref="B87:G87"/>
    <mergeCell ref="A106:A108"/>
    <mergeCell ref="B114:E114"/>
    <mergeCell ref="D101:E101"/>
    <mergeCell ref="D76:E76"/>
    <mergeCell ref="F76:G76"/>
    <mergeCell ref="D75:E75"/>
    <mergeCell ref="B66:E66"/>
    <mergeCell ref="F75:G75"/>
    <mergeCell ref="D47:E47"/>
    <mergeCell ref="B116:C116"/>
    <mergeCell ref="B103:C103"/>
    <mergeCell ref="D103:E103"/>
    <mergeCell ref="F38:M38"/>
    <mergeCell ref="B117:E117"/>
    <mergeCell ref="F13:M13"/>
    <mergeCell ref="B61:E61"/>
    <mergeCell ref="C9:L9"/>
    <mergeCell ref="B119:E119"/>
    <mergeCell ref="B93:G93"/>
    <mergeCell ref="C11:L11"/>
    <mergeCell ref="B39:M39"/>
    <mergeCell ref="F73:G73"/>
    <mergeCell ref="B118:E118"/>
    <mergeCell ref="B72:C72"/>
    <mergeCell ref="D63:E63"/>
    <mergeCell ref="B71:C71"/>
    <mergeCell ref="B105:C105"/>
    <mergeCell ref="D105:E105"/>
    <mergeCell ref="D49:E49"/>
    <mergeCell ref="B107:C107"/>
    <mergeCell ref="D107:E107"/>
    <mergeCell ref="D116:E116"/>
    <mergeCell ref="C6:L6"/>
    <mergeCell ref="B95:G95"/>
    <mergeCell ref="B44:C44"/>
    <mergeCell ref="B89:G89"/>
    <mergeCell ref="D106:E106"/>
    <mergeCell ref="D102:E102"/>
    <mergeCell ref="B60:E60"/>
    <mergeCell ref="B90:G90"/>
    <mergeCell ref="D91:G91"/>
    <mergeCell ref="B76:C76"/>
    <mergeCell ref="B45:C45"/>
    <mergeCell ref="B5:L5"/>
    <mergeCell ref="B75:C75"/>
    <mergeCell ref="B47:C47"/>
    <mergeCell ref="F78:G78"/>
    <mergeCell ref="C8:L8"/>
    <mergeCell ref="B59:C59"/>
    <mergeCell ref="B46:C46"/>
    <mergeCell ref="D46:E46"/>
    <mergeCell ref="F14:I14"/>
    <mergeCell ref="B48:C48"/>
    <mergeCell ref="D104:E104"/>
    <mergeCell ref="B62:E62"/>
    <mergeCell ref="A77:A79"/>
    <mergeCell ref="J14:M14"/>
    <mergeCell ref="B92:G92"/>
    <mergeCell ref="B73:C73"/>
    <mergeCell ref="B94:G94"/>
    <mergeCell ref="B74:C74"/>
    <mergeCell ref="D74:E74"/>
    <mergeCell ref="B50:C50"/>
    <mergeCell ref="D50:E50"/>
    <mergeCell ref="D44:E44"/>
    <mergeCell ref="D59:E5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72" t="inlineStr">
        <is>
          <t>Neraca Massa Overall Pabrik VCM (kg/h)</t>
        </is>
      </c>
    </row>
    <row r="2">
      <c r="A2" s="182" t="inlineStr">
        <is>
          <t>Komponen</t>
        </is>
      </c>
      <c r="B2" s="182" t="inlineStr">
        <is>
          <t>Masuk</t>
        </is>
      </c>
      <c r="C2" s="183" t="n"/>
      <c r="D2" s="183" t="n"/>
      <c r="E2" s="183" t="n"/>
      <c r="F2" s="184" t="n"/>
      <c r="G2" s="182" t="inlineStr">
        <is>
          <t>Keluar</t>
        </is>
      </c>
      <c r="H2" s="183" t="n"/>
      <c r="I2" s="183" t="n"/>
      <c r="J2" s="183" t="n"/>
      <c r="K2" s="183" t="n"/>
      <c r="L2" s="184" t="n"/>
    </row>
    <row r="3">
      <c r="B3" s="182" t="inlineStr">
        <is>
          <t>Klorin (aliran 3)</t>
        </is>
      </c>
      <c r="C3" s="182" t="inlineStr">
        <is>
          <t>Etilena ke R-01 (aliran 8)</t>
        </is>
      </c>
      <c r="D3" s="182" t="inlineStr">
        <is>
          <t>Make-up FeCl₃ (aliran 10)</t>
        </is>
      </c>
      <c r="E3" s="182" t="inlineStr">
        <is>
          <t>Etilena ke R-02 (aliran 9)</t>
        </is>
      </c>
      <c r="F3" s="182" t="inlineStr">
        <is>
          <t>Udara (aliran 17)</t>
        </is>
      </c>
      <c r="G3" s="182" t="inlineStr">
        <is>
          <t>VCM produk (aliran 47)</t>
        </is>
      </c>
      <c r="H3" s="182" t="inlineStr">
        <is>
          <t>Gas vent Blok 1 (aliran 13)</t>
        </is>
      </c>
      <c r="I3" s="182" t="inlineStr">
        <is>
          <t>Gas vent Blok 3 (aliran 25)</t>
        </is>
      </c>
      <c r="J3" s="182" t="inlineStr">
        <is>
          <t>Air asam Blok 3 (aliran 28)</t>
        </is>
      </c>
      <c r="K3" s="182" t="inlineStr">
        <is>
          <t>Fraksi ringan Blok 4 (aliran 32)</t>
        </is>
      </c>
      <c r="L3" s="182" t="inlineStr">
        <is>
          <t>Fraksi berat Blok 5 (aliran 35)</t>
        </is>
      </c>
    </row>
    <row r="4">
      <c r="A4" s="188" t="inlineStr">
        <is>
          <t>Ethylene Purity</t>
        </is>
      </c>
      <c r="B4" s="190">
        <f>'NME-1 Klorinasi Langsung'!C21</f>
        <v>0.0</v>
      </c>
      <c r="C4" s="190">
        <f>'NME-1 Klorinasi Langsung'!G21</f>
        <v>6099.053440133403</v>
      </c>
      <c r="D4" s="190">
        <f>'NME-1 Klorinasi Langsung'!K21</f>
        <v>0.0</v>
      </c>
      <c r="E4" s="190">
        <f>'NME-2 Oksiklorinasi'!C20</f>
        <v>5701.6777406310985</v>
      </c>
      <c r="F4" s="190">
        <f>'NME-2 Oksiklorinasi'!K20</f>
        <v>0.0</v>
      </c>
      <c r="G4" s="190">
        <f>'NME-8 Kolom VCM'!G16</f>
        <v>0.0</v>
      </c>
      <c r="H4" s="190">
        <f>'NME-1 Klorinasi Langsung'!S21</f>
        <v>26.25804664787654</v>
      </c>
      <c r="I4" s="190">
        <f>'NME-3 Kondensasi-Dekantasi'!K17</f>
        <v>28.508388703155518</v>
      </c>
      <c r="J4" s="190">
        <f>'NME-3 Kondensasi-Dekantasi'!O17</f>
        <v>0.0</v>
      </c>
      <c r="K4" s="190">
        <f>'NME-4 Kolom Ringan'!K17</f>
        <v>0.0</v>
      </c>
      <c r="L4" s="190">
        <f>'NME-5 Kolom Berat'!K17</f>
        <v>0.0</v>
      </c>
    </row>
    <row r="5">
      <c r="A5" s="188" t="inlineStr">
        <is>
          <t>Methane</t>
        </is>
      </c>
      <c r="B5" s="190">
        <f>'NME-1 Klorinasi Langsung'!C22</f>
        <v>0.0</v>
      </c>
      <c r="C5" s="190">
        <f>'NME-1 Klorinasi Langsung'!G22</f>
        <v>1.4121638835275212</v>
      </c>
      <c r="D5" s="190">
        <f>'NME-1 Klorinasi Langsung'!K22</f>
        <v>0.0</v>
      </c>
      <c r="E5" s="190">
        <f>'NME-2 Oksiklorinasi'!C21</f>
        <v>1.3201562274974794</v>
      </c>
      <c r="F5" s="190">
        <f>'NME-2 Oksiklorinasi'!K21</f>
        <v>0.0</v>
      </c>
      <c r="G5" s="190">
        <f>'NME-8 Kolom VCM'!G17</f>
        <v>0.0</v>
      </c>
      <c r="H5" s="190">
        <f>'NME-1 Klorinasi Langsung'!S22</f>
        <v>1.4121638835275212</v>
      </c>
      <c r="I5" s="190">
        <f>'NME-3 Kondensasi-Dekantasi'!K18</f>
        <v>1.3201562274974794</v>
      </c>
      <c r="J5" s="190">
        <f>'NME-3 Kondensasi-Dekantasi'!O18</f>
        <v>0.0</v>
      </c>
      <c r="K5" s="190">
        <f>'NME-4 Kolom Ringan'!K18</f>
        <v>0.0</v>
      </c>
      <c r="L5" s="190">
        <f>'NME-5 Kolom Berat'!K18</f>
        <v>0.0</v>
      </c>
    </row>
    <row r="6">
      <c r="A6" s="188" t="inlineStr">
        <is>
          <t>Ethane</t>
        </is>
      </c>
      <c r="B6" s="190">
        <f>'NME-1 Klorinasi Langsung'!C23</f>
        <v>0.0</v>
      </c>
      <c r="C6" s="190">
        <f>'NME-1 Klorinasi Langsung'!G23</f>
        <v>0.07706331679247136</v>
      </c>
      <c r="D6" s="190">
        <f>'NME-1 Klorinasi Langsung'!K23</f>
        <v>0.0</v>
      </c>
      <c r="E6" s="190">
        <f>'NME-2 Oksiklorinasi'!C22</f>
        <v>0.07204235907879274</v>
      </c>
      <c r="F6" s="190">
        <f>'NME-2 Oksiklorinasi'!K22</f>
        <v>0.0</v>
      </c>
      <c r="G6" s="190">
        <f>'NME-8 Kolom VCM'!G18</f>
        <v>0.0</v>
      </c>
      <c r="H6" s="190">
        <f>'NME-1 Klorinasi Langsung'!S23</f>
        <v>0.07706331679247136</v>
      </c>
      <c r="I6" s="190">
        <f>'NME-3 Kondensasi-Dekantasi'!K19</f>
        <v>0.07204235907879274</v>
      </c>
      <c r="J6" s="190">
        <f>'NME-3 Kondensasi-Dekantasi'!O19</f>
        <v>0.0</v>
      </c>
      <c r="K6" s="190">
        <f>'NME-4 Kolom Ringan'!K19</f>
        <v>0.0</v>
      </c>
      <c r="L6" s="190">
        <f>'NME-5 Kolom Berat'!K19</f>
        <v>0.0</v>
      </c>
    </row>
    <row r="7">
      <c r="A7" s="188" t="inlineStr">
        <is>
          <t>Acetylene</t>
        </is>
      </c>
      <c r="B7" s="190">
        <f>'NME-1 Klorinasi Langsung'!C24</f>
        <v>0.0</v>
      </c>
      <c r="C7" s="190">
        <f>'NME-1 Klorinasi Langsung'!G24</f>
        <v>0.02951572788137131</v>
      </c>
      <c r="D7" s="190">
        <f>'NME-1 Klorinasi Langsung'!K24</f>
        <v>0.0</v>
      </c>
      <c r="E7" s="190">
        <f>'NME-2 Oksiklorinasi'!C23</f>
        <v>0.027592669962907983</v>
      </c>
      <c r="F7" s="190">
        <f>'NME-2 Oksiklorinasi'!K23</f>
        <v>0.0</v>
      </c>
      <c r="G7" s="190">
        <f>'NME-8 Kolom VCM'!G19</f>
        <v>0.0</v>
      </c>
      <c r="H7" s="190">
        <f>'NME-1 Klorinasi Langsung'!S24</f>
        <v>0.02951572788137131</v>
      </c>
      <c r="I7" s="190">
        <f>'NME-3 Kondensasi-Dekantasi'!K20</f>
        <v>0.027592669962907983</v>
      </c>
      <c r="J7" s="190">
        <f>'NME-3 Kondensasi-Dekantasi'!O20</f>
        <v>0.0</v>
      </c>
      <c r="K7" s="190">
        <f>'NME-4 Kolom Ringan'!K20</f>
        <v>0.0</v>
      </c>
      <c r="L7" s="190">
        <f>'NME-5 Kolom Berat'!K20</f>
        <v>0.0</v>
      </c>
    </row>
    <row r="8">
      <c r="A8" s="188" t="inlineStr">
        <is>
          <t>Chlorine</t>
        </is>
      </c>
      <c r="B8" s="190">
        <f>'NME-1 Klorinasi Langsung'!C25</f>
        <v>15353.620243935302</v>
      </c>
      <c r="C8" s="190">
        <f>'NME-1 Klorinasi Langsung'!G25</f>
        <v>0.0</v>
      </c>
      <c r="D8" s="190">
        <f>'NME-1 Klorinasi Langsung'!K25</f>
        <v>0.0</v>
      </c>
      <c r="E8" s="190">
        <f>'NME-2 Oksiklorinasi'!C24</f>
        <v>0.0</v>
      </c>
      <c r="F8" s="190">
        <f>'NME-2 Oksiklorinasi'!K24</f>
        <v>0.0</v>
      </c>
      <c r="G8" s="190">
        <f>'NME-8 Kolom VCM'!G20</f>
        <v>0.0</v>
      </c>
      <c r="H8" s="190">
        <f>'NME-1 Klorinasi Langsung'!S25</f>
        <v>1.535362024393377</v>
      </c>
      <c r="I8" s="190">
        <f>'NME-3 Kondensasi-Dekantasi'!K21</f>
        <v>219.45229882203654</v>
      </c>
      <c r="J8" s="190">
        <f>'NME-3 Kondensasi-Dekantasi'!O21</f>
        <v>0.0</v>
      </c>
      <c r="K8" s="190">
        <f>'NME-4 Kolom Ringan'!K21</f>
        <v>0.0</v>
      </c>
      <c r="L8" s="190">
        <f>'NME-5 Kolom Berat'!K21</f>
        <v>0.0</v>
      </c>
    </row>
    <row r="9">
      <c r="A9" s="188" t="inlineStr">
        <is>
          <t>CₙHₘ</t>
        </is>
      </c>
      <c r="B9" s="190">
        <f>'NME-1 Klorinasi Langsung'!C26</f>
        <v>0.06150852751431059</v>
      </c>
      <c r="C9" s="190">
        <f>'NME-1 Klorinasi Langsung'!G26</f>
        <v>0.0</v>
      </c>
      <c r="D9" s="190">
        <f>'NME-1 Klorinasi Langsung'!K26</f>
        <v>0.0</v>
      </c>
      <c r="E9" s="190">
        <f>'NME-2 Oksiklorinasi'!C25</f>
        <v>0.0</v>
      </c>
      <c r="F9" s="190">
        <f>'NME-2 Oksiklorinasi'!K25</f>
        <v>0.0</v>
      </c>
      <c r="G9" s="190">
        <f>'NME-8 Kolom VCM'!G21</f>
        <v>0.0</v>
      </c>
      <c r="H9" s="190">
        <f>'NME-1 Klorinasi Langsung'!S26</f>
        <v>0.06150852751431059</v>
      </c>
      <c r="I9" s="190">
        <f>'NME-3 Kondensasi-Dekantasi'!K22</f>
        <v>0.0</v>
      </c>
      <c r="J9" s="190">
        <f>'NME-3 Kondensasi-Dekantasi'!O22</f>
        <v>0.0</v>
      </c>
      <c r="K9" s="190">
        <f>'NME-4 Kolom Ringan'!K22</f>
        <v>0.0</v>
      </c>
      <c r="L9" s="190">
        <f>'NME-5 Kolom Berat'!K22</f>
        <v>0.0</v>
      </c>
    </row>
    <row r="10">
      <c r="A10" s="188" t="inlineStr">
        <is>
          <t>Water</t>
        </is>
      </c>
      <c r="B10" s="190">
        <f>'NME-1 Klorinasi Langsung'!C27</f>
        <v>0.18452558254293175</v>
      </c>
      <c r="C10" s="190">
        <f>'NME-1 Klorinasi Langsung'!G27</f>
        <v>0.0</v>
      </c>
      <c r="D10" s="190">
        <f>'NME-1 Klorinasi Langsung'!K27</f>
        <v>0.0</v>
      </c>
      <c r="E10" s="190">
        <f>'NME-2 Oksiklorinasi'!C26</f>
        <v>0.0</v>
      </c>
      <c r="F10" s="190">
        <f>'NME-2 Oksiklorinasi'!K26</f>
        <v>0.0</v>
      </c>
      <c r="G10" s="190">
        <f>'NME-8 Kolom VCM'!G22</f>
        <v>0.0</v>
      </c>
      <c r="H10" s="190">
        <f>'NME-1 Klorinasi Langsung'!S27</f>
        <v>0.0</v>
      </c>
      <c r="I10" s="190">
        <f>'NME-3 Kondensasi-Dekantasi'!K23</f>
        <v>0.0</v>
      </c>
      <c r="J10" s="190">
        <f>'NME-3 Kondensasi-Dekantasi'!O23</f>
        <v>3549.818993766917</v>
      </c>
      <c r="K10" s="190">
        <f>'NME-4 Kolom Ringan'!K23</f>
        <v>82.43221398205901</v>
      </c>
      <c r="L10" s="190">
        <f>'NME-5 Kolom Berat'!K23</f>
        <v>0.0</v>
      </c>
    </row>
    <row r="11">
      <c r="A11" s="188" t="inlineStr">
        <is>
          <t>CₓHᵧCl</t>
        </is>
      </c>
      <c r="B11" s="190">
        <f>'NME-1 Klorinasi Langsung'!C28</f>
        <v>0.12301705502862118</v>
      </c>
      <c r="C11" s="190">
        <f>'NME-1 Klorinasi Langsung'!G28</f>
        <v>0.0</v>
      </c>
      <c r="D11" s="190">
        <f>'NME-1 Klorinasi Langsung'!K28</f>
        <v>0.0</v>
      </c>
      <c r="E11" s="190">
        <f>'NME-2 Oksiklorinasi'!C27</f>
        <v>0.0</v>
      </c>
      <c r="F11" s="190">
        <f>'NME-2 Oksiklorinasi'!K27</f>
        <v>0.0</v>
      </c>
      <c r="G11" s="190">
        <f>'NME-8 Kolom VCM'!G23</f>
        <v>0.0</v>
      </c>
      <c r="H11" s="190">
        <f>'NME-1 Klorinasi Langsung'!S28</f>
        <v>0.12301705502862118</v>
      </c>
      <c r="I11" s="190">
        <f>'NME-3 Kondensasi-Dekantasi'!K24</f>
        <v>0.0</v>
      </c>
      <c r="J11" s="190">
        <f>'NME-3 Kondensasi-Dekantasi'!O24</f>
        <v>0.0</v>
      </c>
      <c r="K11" s="190">
        <f>'NME-4 Kolom Ringan'!K24</f>
        <v>0.0</v>
      </c>
      <c r="L11" s="190">
        <f>'NME-5 Kolom Berat'!K24</f>
        <v>0.0</v>
      </c>
    </row>
    <row r="12">
      <c r="A12" s="188" t="inlineStr">
        <is>
          <t>Bromine</t>
        </is>
      </c>
      <c r="B12" s="190">
        <f>'NME-1 Klorinasi Langsung'!C29</f>
        <v>1.3839418690719882</v>
      </c>
      <c r="C12" s="190">
        <f>'NME-1 Klorinasi Langsung'!G29</f>
        <v>0.0</v>
      </c>
      <c r="D12" s="190">
        <f>'NME-1 Klorinasi Langsung'!K29</f>
        <v>0.0</v>
      </c>
      <c r="E12" s="190">
        <f>'NME-2 Oksiklorinasi'!C28</f>
        <v>0.0</v>
      </c>
      <c r="F12" s="190">
        <f>'NME-2 Oksiklorinasi'!K28</f>
        <v>0.0</v>
      </c>
      <c r="G12" s="190">
        <f>'NME-8 Kolom VCM'!G24</f>
        <v>0.0</v>
      </c>
      <c r="H12" s="190">
        <f>'NME-1 Klorinasi Langsung'!S29</f>
        <v>0.0</v>
      </c>
      <c r="I12" s="190">
        <f>'NME-3 Kondensasi-Dekantasi'!K25</f>
        <v>0.0</v>
      </c>
      <c r="J12" s="190">
        <f>'NME-3 Kondensasi-Dekantasi'!O25</f>
        <v>0.0</v>
      </c>
      <c r="K12" s="190">
        <f>'NME-4 Kolom Ringan'!K25</f>
        <v>1.3839418690719882</v>
      </c>
      <c r="L12" s="190">
        <f>'NME-5 Kolom Berat'!K25</f>
        <v>0.0</v>
      </c>
    </row>
    <row r="13">
      <c r="A13" s="188" t="inlineStr">
        <is>
          <t>Nitrogen trichloride</t>
        </is>
      </c>
      <c r="B13" s="190">
        <f>'NME-1 Klorinasi Langsung'!C30</f>
        <v>0.07688565939288824</v>
      </c>
      <c r="C13" s="190">
        <f>'NME-1 Klorinasi Langsung'!G30</f>
        <v>0.0</v>
      </c>
      <c r="D13" s="190">
        <f>'NME-1 Klorinasi Langsung'!K30</f>
        <v>0.0</v>
      </c>
      <c r="E13" s="190">
        <f>'NME-2 Oksiklorinasi'!C29</f>
        <v>0.0</v>
      </c>
      <c r="F13" s="190">
        <f>'NME-2 Oksiklorinasi'!K29</f>
        <v>0.0</v>
      </c>
      <c r="G13" s="190">
        <f>'NME-8 Kolom VCM'!G25</f>
        <v>0.0</v>
      </c>
      <c r="H13" s="190">
        <f>'NME-1 Klorinasi Langsung'!S30</f>
        <v>0.0</v>
      </c>
      <c r="I13" s="190">
        <f>'NME-3 Kondensasi-Dekantasi'!K26</f>
        <v>0.0</v>
      </c>
      <c r="J13" s="190">
        <f>'NME-3 Kondensasi-Dekantasi'!O26</f>
        <v>0.0</v>
      </c>
      <c r="K13" s="190">
        <f>'NME-4 Kolom Ringan'!K26</f>
        <v>0.07688565939288824</v>
      </c>
      <c r="L13" s="190">
        <f>'NME-5 Kolom Berat'!K26</f>
        <v>0.0</v>
      </c>
    </row>
    <row r="14">
      <c r="A14" s="188" t="inlineStr">
        <is>
          <t>Hydrogen</t>
        </is>
      </c>
      <c r="B14" s="190">
        <f>'NME-1 Klorinasi Langsung'!C31</f>
        <v>0.4613139563573294</v>
      </c>
      <c r="C14" s="190">
        <f>'NME-1 Klorinasi Langsung'!G31</f>
        <v>0.0</v>
      </c>
      <c r="D14" s="190">
        <f>'NME-1 Klorinasi Langsung'!K31</f>
        <v>0.0</v>
      </c>
      <c r="E14" s="190">
        <f>'NME-2 Oksiklorinasi'!C30</f>
        <v>0.0</v>
      </c>
      <c r="F14" s="190">
        <f>'NME-2 Oksiklorinasi'!K30</f>
        <v>0.0</v>
      </c>
      <c r="G14" s="190">
        <f>'NME-8 Kolom VCM'!G26</f>
        <v>0.0</v>
      </c>
      <c r="H14" s="190">
        <f>'NME-1 Klorinasi Langsung'!S31</f>
        <v>0.4613139563573294</v>
      </c>
      <c r="I14" s="190">
        <f>'NME-3 Kondensasi-Dekantasi'!K27</f>
        <v>0.0</v>
      </c>
      <c r="J14" s="190">
        <f>'NME-3 Kondensasi-Dekantasi'!O27</f>
        <v>0.0</v>
      </c>
      <c r="K14" s="190">
        <f>'NME-4 Kolom Ringan'!K27</f>
        <v>0.0</v>
      </c>
      <c r="L14" s="190">
        <f>'NME-5 Kolom Berat'!K27</f>
        <v>0.0</v>
      </c>
    </row>
    <row r="15">
      <c r="A15" s="188" t="inlineStr">
        <is>
          <t>Oxygen</t>
        </is>
      </c>
      <c r="B15" s="190">
        <f>'NME-1 Klorinasi Langsung'!C32</f>
        <v>2.7678837381439765</v>
      </c>
      <c r="C15" s="190">
        <f>'NME-1 Klorinasi Langsung'!G32</f>
        <v>0.0</v>
      </c>
      <c r="D15" s="190">
        <f>'NME-1 Klorinasi Langsung'!K32</f>
        <v>0.0</v>
      </c>
      <c r="E15" s="190">
        <f>'NME-2 Oksiklorinasi'!C31</f>
        <v>0.0</v>
      </c>
      <c r="F15" s="190">
        <f>'NME-2 Oksiklorinasi'!K31</f>
        <v>5202.765695371912</v>
      </c>
      <c r="G15" s="190">
        <f>'NME-8 Kolom VCM'!G27</f>
        <v>0.0</v>
      </c>
      <c r="H15" s="190">
        <f>'NME-1 Klorinasi Langsung'!S32</f>
        <v>2.7678837381439765</v>
      </c>
      <c r="I15" s="190">
        <f>'NME-3 Kondensasi-Dekantasi'!K28</f>
        <v>1912.016393048713</v>
      </c>
      <c r="J15" s="190">
        <f>'NME-3 Kondensasi-Dekantasi'!O28</f>
        <v>0.0</v>
      </c>
      <c r="K15" s="190">
        <f>'NME-4 Kolom Ringan'!K28</f>
        <v>0.0</v>
      </c>
      <c r="L15" s="190">
        <f>'NME-5 Kolom Berat'!K28</f>
        <v>0.0</v>
      </c>
    </row>
    <row r="16">
      <c r="A16" s="188" t="inlineStr">
        <is>
          <t>Nitrogen</t>
        </is>
      </c>
      <c r="B16" s="190">
        <f>'NME-1 Klorinasi Langsung'!C33</f>
        <v>9.226279127146588</v>
      </c>
      <c r="C16" s="190">
        <f>'NME-1 Klorinasi Langsung'!G33</f>
        <v>0.0</v>
      </c>
      <c r="D16" s="190">
        <f>'NME-1 Klorinasi Langsung'!K33</f>
        <v>0.0</v>
      </c>
      <c r="E16" s="190">
        <f>'NME-2 Oksiklorinasi'!C32</f>
        <v>0.0</v>
      </c>
      <c r="F16" s="190">
        <f>'NME-2 Oksiklorinasi'!K32</f>
        <v>17134.868763788385</v>
      </c>
      <c r="G16" s="190">
        <f>'NME-8 Kolom VCM'!G28</f>
        <v>0.0</v>
      </c>
      <c r="H16" s="190">
        <f>'NME-1 Klorinasi Langsung'!S33</f>
        <v>9.226279127146588</v>
      </c>
      <c r="I16" s="190">
        <f>'NME-3 Kondensasi-Dekantasi'!K29</f>
        <v>17134.868763788385</v>
      </c>
      <c r="J16" s="190">
        <f>'NME-3 Kondensasi-Dekantasi'!O29</f>
        <v>0.0</v>
      </c>
      <c r="K16" s="190">
        <f>'NME-4 Kolom Ringan'!K29</f>
        <v>0.0</v>
      </c>
      <c r="L16" s="190">
        <f>'NME-5 Kolom Berat'!K29</f>
        <v>0.0</v>
      </c>
    </row>
    <row r="17">
      <c r="A17" s="188" t="inlineStr">
        <is>
          <t>Carbon dioxide</t>
        </is>
      </c>
      <c r="B17" s="190">
        <f>'NME-1 Klorinasi Langsung'!C34</f>
        <v>9.226279127146588</v>
      </c>
      <c r="C17" s="190">
        <f>'NME-1 Klorinasi Langsung'!G34</f>
        <v>0.0</v>
      </c>
      <c r="D17" s="190">
        <f>'NME-1 Klorinasi Langsung'!K34</f>
        <v>0.0</v>
      </c>
      <c r="E17" s="190">
        <f>'NME-2 Oksiklorinasi'!C33</f>
        <v>0.0</v>
      </c>
      <c r="F17" s="190">
        <f>'NME-2 Oksiklorinasi'!K33</f>
        <v>0.0</v>
      </c>
      <c r="G17" s="190">
        <f>'NME-8 Kolom VCM'!G29</f>
        <v>0.0</v>
      </c>
      <c r="H17" s="190">
        <f>'NME-1 Klorinasi Langsung'!S34</f>
        <v>9.226279127146588</v>
      </c>
      <c r="I17" s="190">
        <f>'NME-3 Kondensasi-Dekantasi'!K30</f>
        <v>89.44565386981179</v>
      </c>
      <c r="J17" s="190">
        <f>'NME-3 Kondensasi-Dekantasi'!O30</f>
        <v>0.0</v>
      </c>
      <c r="K17" s="190">
        <f>'NME-4 Kolom Ringan'!K30</f>
        <v>0.0</v>
      </c>
      <c r="L17" s="190">
        <f>'NME-5 Kolom Berat'!K30</f>
        <v>0.0</v>
      </c>
    </row>
    <row r="18">
      <c r="A18" s="188" t="inlineStr">
        <is>
          <t>EDC</t>
        </is>
      </c>
      <c r="B18" s="190">
        <f>'NME-1 Klorinasi Langsung'!C35</f>
        <v>0.0</v>
      </c>
      <c r="C18" s="190">
        <f>'NME-1 Klorinasi Langsung'!G35</f>
        <v>0.0</v>
      </c>
      <c r="D18" s="190">
        <f>'NME-1 Klorinasi Langsung'!K35</f>
        <v>0.0</v>
      </c>
      <c r="E18" s="190">
        <f>'NME-2 Oksiklorinasi'!C34</f>
        <v>0.0</v>
      </c>
      <c r="F18" s="190">
        <f>'NME-2 Oksiklorinasi'!K34</f>
        <v>0.0</v>
      </c>
      <c r="G18" s="190">
        <f>'NME-8 Kolom VCM'!G30</f>
        <v>19.986516917250967</v>
      </c>
      <c r="H18" s="190">
        <f>'NME-1 Klorinasi Langsung'!S35</f>
        <v>44.46040383285724</v>
      </c>
      <c r="I18" s="190">
        <f>'NME-3 Kondensasi-Dekantasi'!K31</f>
        <v>98.80089740634826</v>
      </c>
      <c r="J18" s="190">
        <f>'NME-3 Kondensasi-Dekantasi'!O31</f>
        <v>3.011585363497441</v>
      </c>
      <c r="K18" s="190">
        <f>'NME-4 Kolom Ringan'!K31</f>
        <v>123.50112175793534</v>
      </c>
      <c r="L18" s="190">
        <f>'NME-5 Kolom Berat'!K31</f>
        <v>39.95304731758825</v>
      </c>
    </row>
    <row r="19">
      <c r="A19" s="188" t="inlineStr">
        <is>
          <t>TCE</t>
        </is>
      </c>
      <c r="B19" s="190">
        <f>'NME-1 Klorinasi Langsung'!C36</f>
        <v>0.0</v>
      </c>
      <c r="C19" s="190">
        <f>'NME-1 Klorinasi Langsung'!G36</f>
        <v>0.0</v>
      </c>
      <c r="D19" s="190">
        <f>'NME-1 Klorinasi Langsung'!K36</f>
        <v>0.0</v>
      </c>
      <c r="E19" s="190">
        <f>'NME-2 Oksiklorinasi'!C35</f>
        <v>0.0</v>
      </c>
      <c r="F19" s="190">
        <f>'NME-2 Oksiklorinasi'!K35</f>
        <v>0.0</v>
      </c>
      <c r="G19" s="190">
        <f>'NME-8 Kolom VCM'!G31</f>
        <v>0.0</v>
      </c>
      <c r="H19" s="190">
        <f>'NME-1 Klorinasi Langsung'!S36</f>
        <v>0.0</v>
      </c>
      <c r="I19" s="190">
        <f>'NME-3 Kondensasi-Dekantasi'!K32</f>
        <v>0.0</v>
      </c>
      <c r="J19" s="190">
        <f>'NME-3 Kondensasi-Dekantasi'!O32</f>
        <v>0.0</v>
      </c>
      <c r="K19" s="190">
        <f>'NME-4 Kolom Ringan'!K32</f>
        <v>0.0</v>
      </c>
      <c r="L19" s="190">
        <f>'NME-5 Kolom Berat'!K32</f>
        <v>6.426937109715912</v>
      </c>
    </row>
    <row r="20">
      <c r="A20" s="188" t="inlineStr">
        <is>
          <t>HCl</t>
        </is>
      </c>
      <c r="B20" s="190">
        <f>'NME-1 Klorinasi Langsung'!C37</f>
        <v>0.0</v>
      </c>
      <c r="C20" s="190">
        <f>'NME-1 Klorinasi Langsung'!G37</f>
        <v>0.0</v>
      </c>
      <c r="D20" s="190">
        <f>'NME-1 Klorinasi Langsung'!K37</f>
        <v>0.0</v>
      </c>
      <c r="E20" s="190">
        <f>'NME-2 Oksiklorinasi'!C36</f>
        <v>0.0</v>
      </c>
      <c r="F20" s="190">
        <f>'NME-2 Oksiklorinasi'!K36</f>
        <v>0.0</v>
      </c>
      <c r="G20" s="190">
        <f>'NME-8 Kolom VCM'!G32</f>
        <v>0.012626262626262798</v>
      </c>
      <c r="H20" s="190">
        <f>'NME-1 Klorinasi Langsung'!S37</f>
        <v>1.7565763435406405</v>
      </c>
      <c r="I20" s="190">
        <f>'NME-3 Kondensasi-Dekantasi'!K33</f>
        <v>0.0</v>
      </c>
      <c r="J20" s="190">
        <f>'NME-3 Kondensasi-Dekantasi'!O33</f>
        <v>207.48871529308545</v>
      </c>
      <c r="K20" s="190">
        <f>'NME-4 Kolom Ringan'!K33</f>
        <v>0.0</v>
      </c>
      <c r="L20" s="190">
        <f>'NME-5 Kolom Berat'!K33</f>
        <v>0.0</v>
      </c>
    </row>
    <row r="21">
      <c r="A21" s="188" t="inlineStr">
        <is>
          <t>FeCl₃</t>
        </is>
      </c>
      <c r="B21" s="190">
        <f>'NME-1 Klorinasi Langsung'!C38</f>
        <v>0.0</v>
      </c>
      <c r="C21" s="190">
        <f>'NME-1 Klorinasi Langsung'!G38</f>
        <v>0.0</v>
      </c>
      <c r="D21" s="190">
        <f>'NME-1 Klorinasi Langsung'!K38</f>
        <v>4.2858109726273375</v>
      </c>
      <c r="E21" s="190">
        <f>'NME-2 Oksiklorinasi'!C37</f>
        <v>0.0</v>
      </c>
      <c r="F21" s="190">
        <f>'NME-2 Oksiklorinasi'!K37</f>
        <v>0.0</v>
      </c>
      <c r="G21" s="190">
        <f>'NME-8 Kolom VCM'!G33</f>
        <v>0.0</v>
      </c>
      <c r="H21" s="190">
        <f>'NME-1 Klorinasi Langsung'!S38</f>
        <v>0.0</v>
      </c>
      <c r="I21" s="190">
        <f>'NME-3 Kondensasi-Dekantasi'!K34</f>
        <v>0.0</v>
      </c>
      <c r="J21" s="190">
        <f>'NME-3 Kondensasi-Dekantasi'!O34</f>
        <v>4.162409948296146</v>
      </c>
      <c r="K21" s="190">
        <f>'NME-4 Kolom Ringan'!K34</f>
        <v>0.0</v>
      </c>
      <c r="L21" s="190">
        <f>'NME-5 Kolom Berat'!K34</f>
        <v>0.12340102433114014</v>
      </c>
    </row>
    <row r="22">
      <c r="A22" s="188" t="inlineStr">
        <is>
          <t>Ethyl chloride</t>
        </is>
      </c>
      <c r="B22" s="190">
        <f>'NME-1 Klorinasi Langsung'!C39</f>
        <v>0.0</v>
      </c>
      <c r="C22" s="190">
        <f>'NME-1 Klorinasi Langsung'!G39</f>
        <v>0.0</v>
      </c>
      <c r="D22" s="190">
        <f>'NME-1 Klorinasi Langsung'!K39</f>
        <v>0.0</v>
      </c>
      <c r="E22" s="190">
        <f>'NME-2 Oksiklorinasi'!C38</f>
        <v>0.0</v>
      </c>
      <c r="F22" s="190">
        <f>'NME-2 Oksiklorinasi'!K38</f>
        <v>0.0</v>
      </c>
      <c r="G22" s="190">
        <f>'NME-8 Kolom VCM'!G34</f>
        <v>0.0</v>
      </c>
      <c r="H22" s="190">
        <f>'NME-1 Klorinasi Langsung'!S39</f>
        <v>0.0</v>
      </c>
      <c r="I22" s="190">
        <f>'NME-3 Kondensasi-Dekantasi'!K35</f>
        <v>0.0</v>
      </c>
      <c r="J22" s="190">
        <f>'NME-3 Kondensasi-Dekantasi'!O35</f>
        <v>0.0</v>
      </c>
      <c r="K22" s="190">
        <f>'NME-4 Kolom Ringan'!K35</f>
        <v>104.89591200824856</v>
      </c>
      <c r="L22" s="190">
        <f>'NME-5 Kolom Berat'!K35</f>
        <v>0.0</v>
      </c>
    </row>
    <row r="23">
      <c r="A23" s="188" t="inlineStr">
        <is>
          <t>VCM</t>
        </is>
      </c>
      <c r="B23" s="190">
        <f>'NME-1 Klorinasi Langsung'!C40</f>
        <v>0.0</v>
      </c>
      <c r="C23" s="190">
        <f>'NME-1 Klorinasi Langsung'!G40</f>
        <v>0.0</v>
      </c>
      <c r="D23" s="190">
        <f>'NME-1 Klorinasi Langsung'!K40</f>
        <v>0.0</v>
      </c>
      <c r="E23" s="190">
        <f>'NME-2 Oksiklorinasi'!C39</f>
        <v>0.0</v>
      </c>
      <c r="F23" s="190">
        <f>'NME-2 Oksiklorinasi'!K39</f>
        <v>0.0</v>
      </c>
      <c r="G23" s="190">
        <f>'NME-8 Kolom VCM'!G35</f>
        <v>25232.52610934458</v>
      </c>
      <c r="H23" s="190">
        <f>'NME-1 Klorinasi Langsung'!S40</f>
        <v>0.0</v>
      </c>
      <c r="I23" s="190">
        <f>'NME-3 Kondensasi-Dekantasi'!K36</f>
        <v>2.56001028053807</v>
      </c>
      <c r="J23" s="190">
        <f>'NME-3 Kondensasi-Dekantasi'!O36</f>
        <v>0.0</v>
      </c>
      <c r="K23" s="190">
        <f>'NME-4 Kolom Ringan'!K36</f>
        <v>169.04584136104577</v>
      </c>
      <c r="L23" s="190">
        <f>'NME-5 Kolom Berat'!K36</f>
        <v>0.0</v>
      </c>
    </row>
    <row r="24">
      <c r="A24" s="188" t="inlineStr">
        <is>
          <t>Fraksi berat (C₄H₈Cl₂)</t>
        </is>
      </c>
      <c r="B24" s="190">
        <f>'NME-1 Klorinasi Langsung'!C41</f>
        <v>0.0</v>
      </c>
      <c r="C24" s="190">
        <f>'NME-1 Klorinasi Langsung'!G41</f>
        <v>0.0</v>
      </c>
      <c r="D24" s="190">
        <f>'NME-1 Klorinasi Langsung'!K41</f>
        <v>0.0</v>
      </c>
      <c r="E24" s="190">
        <f>'NME-2 Oksiklorinasi'!C40</f>
        <v>0.0</v>
      </c>
      <c r="F24" s="190">
        <f>'NME-2 Oksiklorinasi'!K40</f>
        <v>0.0</v>
      </c>
      <c r="G24" s="190">
        <f>'NME-8 Kolom VCM'!G36</f>
        <v>0.0</v>
      </c>
      <c r="H24" s="190">
        <f>'NME-1 Klorinasi Langsung'!S41</f>
        <v>0.0</v>
      </c>
      <c r="I24" s="190">
        <f>'NME-3 Kondensasi-Dekantasi'!K37</f>
        <v>0.0</v>
      </c>
      <c r="J24" s="190">
        <f>'NME-3 Kondensasi-Dekantasi'!O37</f>
        <v>0.0</v>
      </c>
      <c r="K24" s="190">
        <f>'NME-4 Kolom Ringan'!K37</f>
        <v>0.0</v>
      </c>
      <c r="L24" s="190">
        <f>'NME-5 Kolom Berat'!K37</f>
        <v>393.10760637872266</v>
      </c>
    </row>
    <row r="25">
      <c r="A25" s="182" t="inlineStr">
        <is>
          <t>Sub Total</t>
        </is>
      </c>
      <c r="B25" s="205">
        <f>SUM(B4:B24)</f>
        <v>15377.131878577646</v>
      </c>
      <c r="C25" s="205">
        <f>SUM(C4:C24)</f>
        <v>6100.572183061604</v>
      </c>
      <c r="D25" s="205">
        <f>SUM(D4:D24)</f>
        <v>4.2858109726273375</v>
      </c>
      <c r="E25" s="205">
        <f>SUM(E4:E24)</f>
        <v>5703.097531887638</v>
      </c>
      <c r="F25" s="205">
        <f>SUM(F4:F24)</f>
        <v>22337.634459160297</v>
      </c>
      <c r="G25" s="205">
        <f>SUM(G4:G24)</f>
        <v>25252.525252524458</v>
      </c>
      <c r="H25" s="205">
        <f>SUM(H4:H24)</f>
        <v>97.39541330820659</v>
      </c>
      <c r="I25" s="205">
        <f>SUM(I4:I24)</f>
        <v>19487.072197175527</v>
      </c>
      <c r="J25" s="205">
        <f>SUM(J4:J24)</f>
        <v>3764.4817043717962</v>
      </c>
      <c r="K25" s="205">
        <f>SUM(K4:K24)</f>
        <v>481.3359166377536</v>
      </c>
      <c r="L25" s="205">
        <f>SUM(L4:L24)</f>
        <v>439.610991830358</v>
      </c>
    </row>
    <row r="26">
      <c r="A26" s="182" t="inlineStr">
        <is>
          <t>TOTAL MASSA</t>
        </is>
      </c>
      <c r="B26" s="205">
        <f>SUM(B25:F25)</f>
        <v>49522.72186365981</v>
      </c>
      <c r="C26" s="183" t="n"/>
      <c r="D26" s="183" t="n"/>
      <c r="E26" s="183" t="n"/>
      <c r="F26" s="184" t="n"/>
      <c r="G26" s="205">
        <f>SUM(G25:L25)</f>
        <v>49522.4214758481</v>
      </c>
      <c r="H26" s="183" t="n"/>
      <c r="I26" s="183" t="n"/>
      <c r="J26" s="183" t="n"/>
      <c r="K26" s="183" t="n"/>
      <c r="L26" s="184" t="n"/>
    </row>
    <row r="27">
      <c r="A27" s="182" t="inlineStr">
        <is>
          <t>Selisih (Masuk − Keluar), kg/h</t>
        </is>
      </c>
      <c r="B27" s="190">
        <f>B26-G26</f>
        <v>0.3003878117087879</v>
      </c>
      <c r="C27" s="183" t="n"/>
      <c r="D27" s="183" t="n"/>
      <c r="E27" s="183" t="n"/>
      <c r="F27" s="183" t="n"/>
      <c r="G27" s="183" t="n"/>
      <c r="H27" s="183" t="n"/>
      <c r="I27" s="183" t="n"/>
      <c r="J27" s="183" t="n"/>
      <c r="K27" s="183" t="n"/>
      <c r="L27" s="184" t="n"/>
    </row>
    <row r="29">
      <c r="A29" s="172" t="inlineStr">
        <is>
          <t>Konsumsi dan residu per ton VCM produk</t>
        </is>
      </c>
    </row>
    <row r="30">
      <c r="A30" s="182" t="inlineStr">
        <is>
          <t>Besaran</t>
        </is>
      </c>
      <c r="B30" s="182" t="inlineStr">
        <is>
          <t>kg/h</t>
        </is>
      </c>
      <c r="C30" s="182" t="inlineStr">
        <is>
          <t>t/t VCM</t>
        </is>
      </c>
      <c r="D30" s="182" t="inlineStr">
        <is>
          <t>Pembanding</t>
        </is>
      </c>
    </row>
    <row r="31">
      <c r="A31" s="188" t="inlineStr">
        <is>
          <t>Etilena total (R-01 + R-02)</t>
        </is>
      </c>
      <c r="B31" s="190">
        <f>C25+E25</f>
        <v>11803.669714949243</v>
      </c>
      <c r="C31" s="189">
        <f>B31/G25</f>
        <v>0.4674253207120047</v>
      </c>
      <c r="D31" s="188" t="inlineStr">
        <is>
          <t>Dimian Tabel 7.2: 0.462 t/t</t>
        </is>
      </c>
    </row>
    <row r="32">
      <c r="A32" s="188" t="inlineStr">
        <is>
          <t>Klorin</t>
        </is>
      </c>
      <c r="B32" s="190">
        <f>B25</f>
        <v>15377.131878577646</v>
      </c>
      <c r="C32" s="189">
        <f>B32/G25</f>
        <v>0.6089344223916939</v>
      </c>
      <c r="D32" s="188" t="inlineStr">
        <is>
          <t>Dimian Tabel 7.2: 0.578 sampai 0.585 t/t</t>
        </is>
      </c>
    </row>
    <row r="33">
      <c r="A33" s="188" t="inlineStr">
        <is>
          <t>Udara</t>
        </is>
      </c>
      <c r="B33" s="190">
        <f>F25</f>
        <v>22337.634459160297</v>
      </c>
      <c r="C33" s="189">
        <f>B33/G25</f>
        <v>0.8845703245827756</v>
      </c>
      <c r="D33" s="188" t="inlineStr"/>
    </row>
    <row r="34">
      <c r="A34" s="188" t="inlineStr">
        <is>
          <t>Make-up FeCl₃</t>
        </is>
      </c>
      <c r="B34" s="190">
        <f>D25</f>
        <v>4.2858109726273375</v>
      </c>
      <c r="C34" s="189">
        <f>B34/G25</f>
        <v>0.0001697181145160479</v>
      </c>
      <c r="D34" s="188" t="inlineStr"/>
    </row>
    <row r="35">
      <c r="A35" s="188" t="inlineStr">
        <is>
          <t>Fraksi ringan Blok 4</t>
        </is>
      </c>
      <c r="B35" s="190">
        <f>K25</f>
        <v>481.3359166377536</v>
      </c>
      <c r="C35" s="189">
        <f>B35/G25</f>
        <v>0.019060902298855643</v>
      </c>
      <c r="D35" s="188" t="inlineStr">
        <is>
          <t>BREF: contoh 6 kg/t</t>
        </is>
      </c>
    </row>
    <row r="36">
      <c r="A36" s="188" t="inlineStr">
        <is>
          <t>Fraksi berat Blok 5</t>
        </is>
      </c>
      <c r="B36" s="190">
        <f>L25</f>
        <v>439.610991830358</v>
      </c>
      <c r="C36" s="189">
        <f>B36/G25</f>
        <v>0.017408595276482725</v>
      </c>
      <c r="D36" s="188" t="inlineStr">
        <is>
          <t>BREF: contoh sekitar 18 kg/t</t>
        </is>
      </c>
    </row>
    <row r="38">
      <c r="A38" s="172" t="inlineStr">
        <is>
          <t>Cek neraca tiap blok (kg/h)</t>
        </is>
      </c>
    </row>
    <row r="39">
      <c r="A39" s="182" t="inlineStr">
        <is>
          <t>Blok</t>
        </is>
      </c>
      <c r="B39" s="182" t="inlineStr">
        <is>
          <t>Massa masuk</t>
        </is>
      </c>
      <c r="C39" s="182" t="inlineStr">
        <is>
          <t>Massa keluar</t>
        </is>
      </c>
      <c r="D39" s="182" t="inlineStr">
        <is>
          <t>Selisih relatif</t>
        </is>
      </c>
    </row>
    <row r="40">
      <c r="A40" s="188" t="inlineStr">
        <is>
          <t>NME-1 Klorinasi Langsung</t>
        </is>
      </c>
      <c r="B40" s="190">
        <f>'NME-1 Klorinasi Langsung'!$B$43</f>
        <v>21481.989872611874</v>
      </c>
      <c r="C40" s="190">
        <f>'NME-1 Klorinasi Langsung'!$N$43</f>
        <v>21481.98987261204</v>
      </c>
      <c r="D40" s="206">
        <f>(B40-C40)/B40</f>
        <v>-7.790108184511122e-15</v>
      </c>
    </row>
    <row r="41">
      <c r="A41" s="188" t="inlineStr">
        <is>
          <t>NME-2 Oksiklorinasi</t>
        </is>
      </c>
      <c r="B41" s="190">
        <f>'NME-2 Oksiklorinasi'!$B$42</f>
        <v>43083.36682108486</v>
      </c>
      <c r="C41" s="190">
        <f>'NME-2 Oksiklorinasi'!$N$42</f>
        <v>43083.06643327203</v>
      </c>
      <c r="D41" s="206">
        <f>(B41-C41)/B41</f>
        <v>6.9722455553839525e-06</v>
      </c>
    </row>
    <row r="42">
      <c r="A42" s="188" t="inlineStr">
        <is>
          <t>NME-3 Kondensasi-Dekantasi</t>
        </is>
      </c>
      <c r="B42" s="190">
        <f>'NME-3 Kondensasi-Dekantasi'!$B$39</f>
        <v>64467.66089257586</v>
      </c>
      <c r="C42" s="190">
        <f>'NME-3 Kondensasi-Dekantasi'!$J$39</f>
        <v>64467.66089257604</v>
      </c>
      <c r="D42" s="206">
        <f>(B42-C42)/B42</f>
        <v>-2.7086911534045115e-15</v>
      </c>
    </row>
    <row r="43">
      <c r="A43" s="188" t="inlineStr">
        <is>
          <t>NME-4 Kolom Ringan</t>
        </is>
      </c>
      <c r="B43" s="190">
        <f>'NME-4 Kolom Ringan'!$B$39</f>
        <v>75174.6619152349</v>
      </c>
      <c r="C43" s="190">
        <f>'NME-4 Kolom Ringan'!$J$39</f>
        <v>75174.66191523585</v>
      </c>
      <c r="D43" s="206">
        <f>(B43-C43)/B43</f>
        <v>-1.2582357748550837e-14</v>
      </c>
    </row>
    <row r="44">
      <c r="A44" s="188" t="inlineStr">
        <is>
          <t>NME-5 Kolom Berat</t>
        </is>
      </c>
      <c r="B44" s="190">
        <f>'NME-5 Kolom Berat'!$B$39</f>
        <v>74693.32599859714</v>
      </c>
      <c r="C44" s="190">
        <f>'NME-5 Kolom Berat'!$F$39</f>
        <v>74693.32599859714</v>
      </c>
      <c r="D44" s="206">
        <f>(B44-C44)/B44</f>
        <v>0.0</v>
      </c>
    </row>
    <row r="45">
      <c r="A45" s="188" t="inlineStr">
        <is>
          <t>NME-6 Pirolisis</t>
        </is>
      </c>
      <c r="B45" s="190">
        <f>'NME-6 Pirolisis'!$B$37</f>
        <v>74253.71500676678</v>
      </c>
      <c r="C45" s="190">
        <f>'NME-6 Pirolisis'!$F$37</f>
        <v>74253.71500676678</v>
      </c>
      <c r="D45" s="206">
        <f>(B45-C45)/B45</f>
        <v>0.0</v>
      </c>
    </row>
    <row r="46">
      <c r="A46" s="188" t="inlineStr">
        <is>
          <t>NME-7 Kolom HCl</t>
        </is>
      </c>
      <c r="B46" s="190">
        <f>'NME-7 Kolom HCl'!$B$37</f>
        <v>74253.71500676678</v>
      </c>
      <c r="C46" s="190">
        <f>'NME-7 Kolom HCl'!$F$37</f>
        <v>74253.7150067668</v>
      </c>
      <c r="D46" s="206">
        <f>(B46-C46)/B46</f>
        <v>-1.9597558488542598e-16</v>
      </c>
    </row>
    <row r="47">
      <c r="A47" s="188" t="inlineStr">
        <is>
          <t>NME-8 Kolom VCM</t>
        </is>
      </c>
      <c r="B47" s="190">
        <f>'NME-8 Kolom VCM'!$B$38</f>
        <v>59211.08017673006</v>
      </c>
      <c r="C47" s="190">
        <f>'NME-8 Kolom VCM'!$F$38</f>
        <v>59211.0801767308</v>
      </c>
      <c r="D47" s="206">
        <f>(B47-C47)/B47</f>
        <v>-1.2533932406427763e-14</v>
      </c>
    </row>
    <row r="49" ht="48" customHeight="1">
      <c r="A49" s="207" t="inlineStr">
        <is>
          <t>Aliran daur ulang ditaut langsung antar sheet NM (NME-5 ke NME-6, NME-7 ke NME-2, NME-8 ke NME-4) dan basis etilena dikoreksi sampai VCM produk = target, sehingga workbook memakai iterative calculation (File &gt; Options &gt; Formulas &gt; Enable iterative calculation).</t>
        </is>
      </c>
    </row>
    <row r="52">
      <c r="A52" s="172" t="inlineStr">
        <is>
          <t>Ringkasan Neraca Energi Pabrik (Q positif = panas masuk ke proses; W positif = kerja masuk)</t>
        </is>
      </c>
    </row>
    <row r="53">
      <c r="A53" s="182" t="inlineStr">
        <is>
          <t>Sheet</t>
        </is>
      </c>
      <c r="B53" s="182" t="inlineStr">
        <is>
          <t>Alat</t>
        </is>
      </c>
      <c r="C53" s="182" t="inlineStr">
        <is>
          <t>Fungsi</t>
        </is>
      </c>
      <c r="D53" s="182" t="inlineStr">
        <is>
          <t>Besaran</t>
        </is>
      </c>
      <c r="E53" s="182" t="inlineStr">
        <is>
          <t>kJ/h</t>
        </is>
      </c>
      <c r="F53" s="182" t="inlineStr">
        <is>
          <t>kW</t>
        </is>
      </c>
    </row>
    <row r="54">
      <c r="A54" s="188" t="inlineStr">
        <is>
          <t>NME-1 Klorinasi Langsung</t>
        </is>
      </c>
      <c r="B54" s="192" t="inlineStr">
        <is>
          <t>E-101</t>
        </is>
      </c>
      <c r="C54" s="208" t="inlineStr">
        <is>
          <t>Vaporizer Cl₂</t>
        </is>
      </c>
      <c r="D54" s="192" t="inlineStr">
        <is>
          <t>Q</t>
        </is>
      </c>
      <c r="E54" s="195">
        <f>'NME-1 Klorinasi Langsung'!$B$101</f>
        <v>3311238.708693719</v>
      </c>
      <c r="F54" s="195">
        <f>E54/3600</f>
        <v>919.7885301926997</v>
      </c>
    </row>
    <row r="55">
      <c r="A55" s="188" t="inlineStr">
        <is>
          <t>NME-1 Klorinasi Langsung</t>
        </is>
      </c>
      <c r="B55" s="192" t="inlineStr">
        <is>
          <t>E-102</t>
        </is>
      </c>
      <c r="C55" s="208" t="inlineStr">
        <is>
          <t>Pemanas etilena setelah ekspansi</t>
        </is>
      </c>
      <c r="D55" s="192" t="inlineStr">
        <is>
          <t>Q</t>
        </is>
      </c>
      <c r="E55" s="195">
        <f>'NME-1 Klorinasi Langsung'!$B$179</f>
        <v>571211.8884337842</v>
      </c>
      <c r="F55" s="195">
        <f>E55/3600</f>
        <v>158.66996900938452</v>
      </c>
    </row>
    <row r="56">
      <c r="A56" s="188" t="inlineStr">
        <is>
          <t>NME-1 Klorinasi Langsung</t>
        </is>
      </c>
      <c r="B56" s="192" t="inlineStr">
        <is>
          <t>R-01 + E-103</t>
        </is>
      </c>
      <c r="C56" s="208" t="inlineStr">
        <is>
          <t>Reaktor klorinasi langsung dan kondensor vent</t>
        </is>
      </c>
      <c r="D56" s="192" t="inlineStr">
        <is>
          <t>Q</t>
        </is>
      </c>
      <c r="E56" s="195">
        <f>'NME-1 Klorinasi Langsung'!$B$245</f>
        <v>-45486707.75193848</v>
      </c>
      <c r="F56" s="195">
        <f>E56/3600</f>
        <v>-12635.196597760689</v>
      </c>
    </row>
    <row r="57">
      <c r="A57" s="188" t="inlineStr">
        <is>
          <t>NME-2 Oksiklorinasi</t>
        </is>
      </c>
      <c r="B57" s="192" t="inlineStr">
        <is>
          <t>K-101</t>
        </is>
      </c>
      <c r="C57" s="208" t="inlineStr">
        <is>
          <t>Kompresor udara</t>
        </is>
      </c>
      <c r="D57" s="192" t="inlineStr">
        <is>
          <t>W</t>
        </is>
      </c>
      <c r="E57" s="195">
        <f>'NME-2 Oksiklorinasi'!$B$63</f>
        <v>5542024.277685499</v>
      </c>
      <c r="F57" s="195">
        <f>E57/3600</f>
        <v>1539.451188245972</v>
      </c>
    </row>
    <row r="58">
      <c r="A58" s="188" t="inlineStr">
        <is>
          <t>NME-2 Oksiklorinasi</t>
        </is>
      </c>
      <c r="B58" s="192" t="inlineStr">
        <is>
          <t>E-109</t>
        </is>
      </c>
      <c r="C58" s="208" t="inlineStr">
        <is>
          <t>Vaporizer HCl</t>
        </is>
      </c>
      <c r="D58" s="192" t="inlineStr">
        <is>
          <t>Q</t>
        </is>
      </c>
      <c r="E58" s="195">
        <f>'NME-2 Oksiklorinasi'!$B$110</f>
        <v>3624262.238892257</v>
      </c>
      <c r="F58" s="195">
        <f>E58/3600</f>
        <v>1006.7395108034048</v>
      </c>
    </row>
    <row r="59">
      <c r="A59" s="188" t="inlineStr">
        <is>
          <t>NME-2 Oksiklorinasi</t>
        </is>
      </c>
      <c r="B59" s="192" t="inlineStr">
        <is>
          <t>R-02</t>
        </is>
      </c>
      <c r="C59" s="208" t="inlineStr">
        <is>
          <t>Reaktor oksiklorinasi</t>
        </is>
      </c>
      <c r="D59" s="192" t="inlineStr">
        <is>
          <t>Q</t>
        </is>
      </c>
      <c r="E59" s="195">
        <f>'NME-2 Oksiklorinasi'!$B$145</f>
        <v>-44970998.216253355</v>
      </c>
      <c r="F59" s="195">
        <f>E59/3600</f>
        <v>-12491.943948959266</v>
      </c>
    </row>
    <row r="60">
      <c r="A60" s="188" t="inlineStr">
        <is>
          <t>NME-3 Kondensasi-Dekantasi</t>
        </is>
      </c>
      <c r="B60" s="192" t="inlineStr">
        <is>
          <t>P-101</t>
        </is>
      </c>
      <c r="C60" s="208" t="inlineStr">
        <is>
          <t>Pompa EDC dari R-01</t>
        </is>
      </c>
      <c r="D60" s="192" t="inlineStr">
        <is>
          <t>W</t>
        </is>
      </c>
      <c r="E60" s="195">
        <f>'NME-3 Kondensasi-Dekantasi'!$B$63</f>
        <v>10476.142023607968</v>
      </c>
      <c r="F60" s="195">
        <f>E60/3600</f>
        <v>2.9100394510022136</v>
      </c>
    </row>
    <row r="61">
      <c r="A61" s="188" t="inlineStr">
        <is>
          <t>NME-3 Kondensasi-Dekantasi</t>
        </is>
      </c>
      <c r="B61" s="192" t="inlineStr">
        <is>
          <t>Blok 3</t>
        </is>
      </c>
      <c r="C61" s="208" t="inlineStr">
        <is>
          <t>Q-201, E-104, M-101, D-101, E-105, P-105 (satu volume kontrol)</t>
        </is>
      </c>
      <c r="D61" s="192" t="inlineStr">
        <is>
          <t>Q</t>
        </is>
      </c>
      <c r="E61" s="195">
        <f>'NME-3 Kondensasi-Dekantasi'!$B$100</f>
        <v>-26576260.137856558</v>
      </c>
      <c r="F61" s="195">
        <f>E61/3600</f>
        <v>-7382.294482737932</v>
      </c>
    </row>
    <row r="62">
      <c r="A62" s="188" t="inlineStr">
        <is>
          <t>NME-4 Kolom Ringan</t>
        </is>
      </c>
      <c r="B62" s="192" t="inlineStr">
        <is>
          <t>E-106</t>
        </is>
      </c>
      <c r="C62" s="208" t="inlineStr">
        <is>
          <t>Pemanas umpan kolom ringan</t>
        </is>
      </c>
      <c r="D62" s="192" t="inlineStr">
        <is>
          <t>Q</t>
        </is>
      </c>
      <c r="E62" s="195">
        <f>'NME-4 Kolom Ringan'!$B$91</f>
        <v>2716366.201909326</v>
      </c>
      <c r="F62" s="195">
        <f>E62/3600</f>
        <v>754.5461671970351</v>
      </c>
    </row>
    <row r="63">
      <c r="A63" s="188" t="inlineStr">
        <is>
          <t>NME-4 Kolom Ringan</t>
        </is>
      </c>
      <c r="B63" s="192" t="inlineStr">
        <is>
          <t>E-111</t>
        </is>
      </c>
      <c r="C63" s="208" t="inlineStr">
        <is>
          <t>Pendingin EDC daur ulang</t>
        </is>
      </c>
      <c r="D63" s="192" t="inlineStr">
        <is>
          <t>Q</t>
        </is>
      </c>
      <c r="E63" s="195">
        <f>'NME-4 Kolom Ringan'!$B$117</f>
        <v>-3429168.7224488333</v>
      </c>
      <c r="F63" s="195">
        <f>E63/3600</f>
        <v>-952.5468673468981</v>
      </c>
    </row>
    <row r="64">
      <c r="A64" s="188" t="inlineStr">
        <is>
          <t>NME-4 Kolom Ringan</t>
        </is>
      </c>
      <c r="B64" s="192" t="inlineStr">
        <is>
          <t>KD-101</t>
        </is>
      </c>
      <c r="C64" s="208" t="inlineStr">
        <is>
          <t>Kolom ringan (kondensor dan reboiler)</t>
        </is>
      </c>
      <c r="D64" s="192" t="inlineStr">
        <is>
          <t>Q kondensor</t>
        </is>
      </c>
      <c r="E64" s="195">
        <f>'NME-4 Kolom Ringan'!$B$173</f>
        <v>-14473169.752409482</v>
      </c>
      <c r="F64" s="195">
        <f>E64/3600</f>
        <v>-4020.3249312248563</v>
      </c>
    </row>
    <row r="65">
      <c r="A65" s="188" t="inlineStr">
        <is>
          <t>NME-4 Kolom Ringan</t>
        </is>
      </c>
      <c r="B65" s="192" t="inlineStr">
        <is>
          <t>KD-101</t>
        </is>
      </c>
      <c r="C65" s="208" t="inlineStr">
        <is>
          <t>Kolom ringan (kondensor dan reboiler)</t>
        </is>
      </c>
      <c r="D65" s="192" t="inlineStr">
        <is>
          <t>Q reboiler</t>
        </is>
      </c>
      <c r="E65" s="195">
        <f>'NME-4 Kolom Ringan'!$B$174</f>
        <v>14550687.15936246</v>
      </c>
      <c r="F65" s="195">
        <f>E65/3600</f>
        <v>4041.85754426735</v>
      </c>
    </row>
    <row r="66">
      <c r="A66" s="188" t="inlineStr">
        <is>
          <t>NME-5 Kolom Berat</t>
        </is>
      </c>
      <c r="B66" s="192" t="inlineStr">
        <is>
          <t>P-103</t>
        </is>
      </c>
      <c r="C66" s="208" t="inlineStr">
        <is>
          <t>Pompa umpan kolom berat</t>
        </is>
      </c>
      <c r="D66" s="192" t="inlineStr">
        <is>
          <t>W</t>
        </is>
      </c>
      <c r="E66" s="195">
        <f>'NME-5 Kolom Berat'!$B$63</f>
        <v>14951.668750638186</v>
      </c>
      <c r="F66" s="195">
        <f>E66/3600</f>
        <v>4.153241319621718</v>
      </c>
    </row>
    <row r="67">
      <c r="A67" s="188" t="inlineStr">
        <is>
          <t>NME-5 Kolom Berat</t>
        </is>
      </c>
      <c r="B67" s="192" t="inlineStr">
        <is>
          <t>KD-102</t>
        </is>
      </c>
      <c r="C67" s="208" t="inlineStr">
        <is>
          <t>Kolom berat (kondensor dan reboiler)</t>
        </is>
      </c>
      <c r="D67" s="192" t="inlineStr">
        <is>
          <t>Q kondensor</t>
        </is>
      </c>
      <c r="E67" s="195">
        <f>'NME-5 Kolom Berat'!$B$89</f>
        <v>-45313162.63915342</v>
      </c>
      <c r="F67" s="195">
        <f>E67/3600</f>
        <v>-12586.98962198706</v>
      </c>
    </row>
    <row r="68">
      <c r="A68" s="188" t="inlineStr">
        <is>
          <t>NME-5 Kolom Berat</t>
        </is>
      </c>
      <c r="B68" s="192" t="inlineStr">
        <is>
          <t>KD-102</t>
        </is>
      </c>
      <c r="C68" s="208" t="inlineStr">
        <is>
          <t>Kolom berat (kondensor dan reboiler)</t>
        </is>
      </c>
      <c r="D68" s="192" t="inlineStr">
        <is>
          <t>Q reboiler</t>
        </is>
      </c>
      <c r="E68" s="195">
        <f>'NME-5 Kolom Berat'!$B$90</f>
        <v>48997009.02965142</v>
      </c>
      <c r="F68" s="195">
        <f>E68/3600</f>
        <v>13610.280286014284</v>
      </c>
    </row>
    <row r="69">
      <c r="A69" s="188" t="inlineStr">
        <is>
          <t>NME-6 Pirolisis</t>
        </is>
      </c>
      <c r="B69" s="192" t="inlineStr">
        <is>
          <t>P-104</t>
        </is>
      </c>
      <c r="C69" s="208" t="inlineStr">
        <is>
          <t>Pompa umpan furnace</t>
        </is>
      </c>
      <c r="D69" s="192" t="inlineStr">
        <is>
          <t>W</t>
        </is>
      </c>
      <c r="E69" s="195">
        <f>'NME-6 Pirolisis'!$B$59</f>
        <v>130578.15462055644</v>
      </c>
      <c r="F69" s="195">
        <f>E69/3600</f>
        <v>36.271709616821234</v>
      </c>
    </row>
    <row r="70">
      <c r="A70" s="188" t="inlineStr">
        <is>
          <t>NME-6 Pirolisis</t>
        </is>
      </c>
      <c r="B70" s="192" t="inlineStr">
        <is>
          <t>E-107</t>
        </is>
      </c>
      <c r="C70" s="208" t="inlineStr">
        <is>
          <t>Economizer umpan furnace</t>
        </is>
      </c>
      <c r="D70" s="192" t="inlineStr">
        <is>
          <t>Q</t>
        </is>
      </c>
      <c r="E70" s="195">
        <f>'NME-6 Pirolisis'!$B$83</f>
        <v>8254853.679851994</v>
      </c>
      <c r="F70" s="195">
        <f>E70/3600</f>
        <v>2293.014911069998</v>
      </c>
    </row>
    <row r="71">
      <c r="A71" s="188" t="inlineStr">
        <is>
          <t>NME-6 Pirolisis</t>
        </is>
      </c>
      <c r="B71" s="192" t="inlineStr">
        <is>
          <t>F-101</t>
        </is>
      </c>
      <c r="C71" s="208" t="inlineStr">
        <is>
          <t>Furnace pirolisis (penguapan, pemanasan, reaksi)</t>
        </is>
      </c>
      <c r="D71" s="192" t="inlineStr">
        <is>
          <t>Q</t>
        </is>
      </c>
      <c r="E71" s="195">
        <f>'NME-6 Pirolisis'!$B$111</f>
        <v>74625457.30072062</v>
      </c>
      <c r="F71" s="195">
        <f>E71/3600</f>
        <v>20729.293694644617</v>
      </c>
    </row>
    <row r="72">
      <c r="A72" s="188" t="inlineStr">
        <is>
          <t>NME-6 Pirolisis</t>
        </is>
      </c>
      <c r="B72" s="192" t="inlineStr">
        <is>
          <t>Q-101</t>
        </is>
      </c>
      <c r="C72" s="208" t="inlineStr">
        <is>
          <t>Quench gas pirolisis</t>
        </is>
      </c>
      <c r="D72" s="192" t="inlineStr">
        <is>
          <t>Q</t>
        </is>
      </c>
      <c r="E72" s="195">
        <f>'NME-6 Pirolisis'!$B$139</f>
        <v>-46733237.77972059</v>
      </c>
      <c r="F72" s="195">
        <f>E72/3600</f>
        <v>-12981.454938811275</v>
      </c>
    </row>
    <row r="73">
      <c r="A73" s="188" t="inlineStr">
        <is>
          <t>NME-7 Kolom HCl</t>
        </is>
      </c>
      <c r="B73" s="192" t="inlineStr">
        <is>
          <t>E-108</t>
        </is>
      </c>
      <c r="C73" s="208" t="inlineStr">
        <is>
          <t>Pendingin umpan kolom HCl</t>
        </is>
      </c>
      <c r="D73" s="192" t="inlineStr">
        <is>
          <t>Q</t>
        </is>
      </c>
      <c r="E73" s="195">
        <f>'NME-7 Kolom HCl'!$B$61</f>
        <v>-12206575.466133803</v>
      </c>
      <c r="F73" s="195">
        <f>E73/3600</f>
        <v>-3390.71540725939</v>
      </c>
    </row>
    <row r="74">
      <c r="A74" s="188" t="inlineStr">
        <is>
          <t>NME-7 Kolom HCl</t>
        </is>
      </c>
      <c r="B74" s="192" t="inlineStr">
        <is>
          <t>KD-103</t>
        </is>
      </c>
      <c r="C74" s="208" t="inlineStr">
        <is>
          <t>Kolom HCl (kondensor dan reboiler)</t>
        </is>
      </c>
      <c r="D74" s="192" t="inlineStr">
        <is>
          <t>Q kondensor</t>
        </is>
      </c>
      <c r="E74" s="195">
        <f>'NME-7 Kolom HCl'!$B$89</f>
        <v>-5433543.00446155</v>
      </c>
      <c r="F74" s="195">
        <f>E74/3600</f>
        <v>-1509.3175012393194</v>
      </c>
    </row>
    <row r="75">
      <c r="A75" s="188" t="inlineStr">
        <is>
          <t>NME-7 Kolom HCl</t>
        </is>
      </c>
      <c r="B75" s="192" t="inlineStr">
        <is>
          <t>KD-103</t>
        </is>
      </c>
      <c r="C75" s="208" t="inlineStr">
        <is>
          <t>Kolom HCl (kondensor dan reboiler)</t>
        </is>
      </c>
      <c r="D75" s="192" t="inlineStr">
        <is>
          <t>Q reboiler</t>
        </is>
      </c>
      <c r="E75" s="195">
        <f>'NME-7 Kolom HCl'!$B$90</f>
        <v>5208249.397976332</v>
      </c>
      <c r="F75" s="195">
        <f>E75/3600</f>
        <v>1446.7359438823146</v>
      </c>
    </row>
    <row r="76">
      <c r="A76" s="188" t="inlineStr">
        <is>
          <t>NME-8 Kolom VCM</t>
        </is>
      </c>
      <c r="B76" s="192" t="inlineStr">
        <is>
          <t>KD-104</t>
        </is>
      </c>
      <c r="C76" s="208" t="inlineStr">
        <is>
          <t>Kolom VCM (kondensor dan reboiler)</t>
        </is>
      </c>
      <c r="D76" s="192" t="inlineStr">
        <is>
          <t>Q kondensor</t>
        </is>
      </c>
      <c r="E76" s="195">
        <f>'NME-8 Kolom VCM'!$B$88</f>
        <v>-10041085.266337903</v>
      </c>
      <c r="F76" s="195">
        <f>E76/3600</f>
        <v>-2789.1903517605288</v>
      </c>
    </row>
    <row r="77">
      <c r="A77" s="188" t="inlineStr">
        <is>
          <t>NME-8 Kolom VCM</t>
        </is>
      </c>
      <c r="B77" s="192" t="inlineStr">
        <is>
          <t>KD-104</t>
        </is>
      </c>
      <c r="C77" s="208" t="inlineStr">
        <is>
          <t>Kolom VCM (kondensor dan reboiler)</t>
        </is>
      </c>
      <c r="D77" s="192" t="inlineStr">
        <is>
          <t>Q reboiler</t>
        </is>
      </c>
      <c r="E77" s="195">
        <f>'NME-8 Kolom VCM'!$B$89</f>
        <v>11929341.814774426</v>
      </c>
      <c r="F77" s="195">
        <f>E77/3600</f>
        <v>3313.7060596595625</v>
      </c>
    </row>
    <row r="78">
      <c r="A78" s="188" t="inlineStr">
        <is>
          <t>NME-8 Kolom VCM</t>
        </is>
      </c>
      <c r="B78" s="192" t="inlineStr">
        <is>
          <t>E-110</t>
        </is>
      </c>
      <c r="C78" s="208" t="inlineStr">
        <is>
          <t>Pendingin VCM produk</t>
        </is>
      </c>
      <c r="D78" s="192" t="inlineStr">
        <is>
          <t>Q</t>
        </is>
      </c>
      <c r="E78" s="195">
        <f>'NME-8 Kolom VCM'!$B$114</f>
        <v>-247697.647224396</v>
      </c>
      <c r="F78" s="195">
        <f>E78/3600</f>
        <v>-68.80490200677667</v>
      </c>
    </row>
    <row r="79">
      <c r="A79" s="196" t="inlineStr">
        <is>
          <t>Total panas ditambahkan (Q &gt; 0)</t>
        </is>
      </c>
      <c r="E79" s="197">
        <f>MAX(0,E54)+MAX(0,E55)+MAX(0,E56)+MAX(0,E58)+MAX(0,E59)+MAX(0,E61)+MAX(0,E62)+MAX(0,E63)+MAX(0,E64)+MAX(0,E65)+MAX(0,E67)+MAX(0,E68)+MAX(0,E70)+MAX(0,E71)+MAX(0,E72)+MAX(0,E73)+MAX(0,E74)+MAX(0,E75)+MAX(0,E76)+MAX(0,E77)+MAX(0,E78)</f>
        <v>173788677.42026633</v>
      </c>
      <c r="F79" s="197">
        <f>E79/3600</f>
        <v>48274.632616740644</v>
      </c>
    </row>
    <row r="80">
      <c r="A80" s="196" t="inlineStr">
        <is>
          <t>Total panas dibuang (Q &lt; 0)</t>
        </is>
      </c>
      <c r="E80" s="197">
        <f>MIN(0,E54)+MIN(0,E55)+MIN(0,E56)+MIN(0,E58)+MIN(0,E59)+MIN(0,E61)+MIN(0,E62)+MIN(0,E63)+MIN(0,E64)+MIN(0,E65)+MIN(0,E67)+MIN(0,E68)+MIN(0,E70)+MIN(0,E71)+MIN(0,E72)+MIN(0,E73)+MIN(0,E74)+MIN(0,E75)+MIN(0,E76)+MIN(0,E77)+MIN(0,E78)</f>
        <v>-254911606.38393837</v>
      </c>
      <c r="F80" s="197">
        <f>E80/3600</f>
        <v>-70808.77955109399</v>
      </c>
    </row>
    <row r="81">
      <c r="A81" s="196" t="inlineStr">
        <is>
          <t>Total kerja (W)</t>
        </is>
      </c>
      <c r="E81" s="197">
        <f>E57+E60+E66+E69</f>
        <v>5698030.243080301</v>
      </c>
      <c r="F81" s="197">
        <f>E81/3600</f>
        <v>1582.786178633417</v>
      </c>
    </row>
    <row r="83">
      <c r="A83" s="172" t="inlineStr">
        <is>
          <t>Cek neraca energi pabrik</t>
        </is>
      </c>
    </row>
    <row r="84">
      <c r="A84" s="188" t="inlineStr">
        <is>
          <t>Ḣ umpan: aliran 1, 4, 10, 16 (kJ/h)</t>
        </is>
      </c>
      <c r="E84" s="195">
        <f>'NME-1 Klorinasi Langsung'!$B$68+'NME-1 Klorinasi Langsung'!$B$125+'NME-1 Klorinasi Langsung'!$F$243+'NME-2 Oksiklorinasi'!$B$60</f>
        <v>17767237.481289096</v>
      </c>
    </row>
    <row r="85">
      <c r="A85" s="188" t="inlineStr">
        <is>
          <t>Ḣ keluar: aliran 13, 25, 28, 32, 35, 48 (kJ/h)</t>
        </is>
      </c>
      <c r="E85" s="195">
        <f>'NME-1 Klorinasi Langsung'!$H$243+'NME-3 Kondensasi-Dekantasi'!$F$98+'NME-3 Kondensasi-Dekantasi'!$H$98+'NME-4 Kolom Ringan'!$F$171+'NME-5 Kolom Berat'!$D$87+'NME-8 Kolom VCM'!$D$112</f>
        <v>-57657661.23930331</v>
      </c>
    </row>
    <row r="86">
      <c r="A86" s="188" t="inlineStr">
        <is>
          <t>ΣQ + ΣW (kJ/h)</t>
        </is>
      </c>
      <c r="E86" s="195">
        <f>E79+E80+E81</f>
        <v>-75424898.72059174</v>
      </c>
    </row>
    <row r="87">
      <c r="A87" s="196" t="inlineStr">
        <is>
          <t>Selisih: Ḣ umpan + ΣQ + ΣW − Ḣ keluar (kJ/h)</t>
        </is>
      </c>
      <c r="E87" s="197">
        <f>E84+E86-E85</f>
        <v>6.705522537231445e-07</v>
      </c>
    </row>
    <row r="88">
      <c r="A88" s="188" t="inlineStr">
        <is>
          <t>Selisih relatif terhadap Ḣ umpan + ΣQ&gt;0</t>
        </is>
      </c>
      <c r="E88" s="206">
        <f>E87/(ABS(E84)+E79)</f>
        <v>3.500556242639416e-15</v>
      </c>
    </row>
  </sheetData>
  <mergeCells count="6">
    <mergeCell ref="G2:L2"/>
    <mergeCell ref="B2:F2"/>
    <mergeCell ref="A49:H49"/>
    <mergeCell ref="G26:L26"/>
    <mergeCell ref="B26:F26"/>
    <mergeCell ref="B27:L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36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>
      <c r="A1" s="123" t="inlineStr">
        <is>
          <t>Tabel Aliran Massa (kg/h) sesuai Diagram Alir PFD-VCM-001</t>
        </is>
      </c>
      <c r="B1" s="162" t="n"/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  <c r="AA1" s="162" t="n"/>
      <c r="AB1" s="162" t="n"/>
      <c r="AC1" s="162" t="n"/>
      <c r="AD1" s="162" t="n"/>
      <c r="AE1" s="162" t="n"/>
      <c r="AF1" s="162" t="n"/>
      <c r="AG1" s="162" t="n"/>
      <c r="AH1" s="162" t="n"/>
      <c r="AI1" s="162" t="n"/>
      <c r="AJ1" s="162" t="n"/>
      <c r="AK1" s="162" t="n"/>
      <c r="AL1" s="162" t="n"/>
      <c r="AM1" s="162" t="n"/>
      <c r="AN1" s="162" t="n"/>
      <c r="AO1" s="162" t="n"/>
      <c r="AP1" s="162" t="n"/>
      <c r="AQ1" s="162" t="n"/>
      <c r="AR1" s="162" t="n"/>
      <c r="AS1" s="162" t="n"/>
      <c r="AT1" s="162" t="n"/>
      <c r="AU1" s="162" t="n"/>
      <c r="AV1" s="162" t="n"/>
      <c r="AW1" s="162" t="n"/>
      <c r="AX1" s="162" t="n"/>
      <c r="AY1" s="162" t="n"/>
      <c r="AZ1" s="163" t="n"/>
    </row>
    <row r="2">
      <c r="A2" s="123" t="inlineStr">
        <is>
          <t>No. aliran</t>
        </is>
      </c>
      <c r="B2" s="123" t="n">
        <v>1</v>
      </c>
      <c r="C2" s="123" t="n">
        <v>2</v>
      </c>
      <c r="D2" s="123" t="n">
        <v>3</v>
      </c>
      <c r="E2" s="123" t="n">
        <v>4</v>
      </c>
      <c r="F2" s="123" t="n">
        <v>5</v>
      </c>
      <c r="G2" s="123" t="n">
        <v>6</v>
      </c>
      <c r="H2" s="123" t="n">
        <v>7</v>
      </c>
      <c r="I2" s="123" t="n">
        <v>8</v>
      </c>
      <c r="J2" s="123" t="n">
        <v>9</v>
      </c>
      <c r="K2" s="123" t="n">
        <v>10</v>
      </c>
      <c r="L2" s="123" t="n">
        <v>11</v>
      </c>
      <c r="M2" s="123" t="n">
        <v>12</v>
      </c>
      <c r="N2" s="123" t="n">
        <v>13</v>
      </c>
      <c r="O2" s="123" t="n">
        <v>14</v>
      </c>
      <c r="P2" s="123" t="n">
        <v>15</v>
      </c>
      <c r="Q2" s="123" t="n">
        <v>16</v>
      </c>
      <c r="R2" s="123" t="n">
        <v>17</v>
      </c>
      <c r="S2" s="123" t="n">
        <v>18</v>
      </c>
      <c r="T2" s="123" t="n">
        <v>19</v>
      </c>
      <c r="U2" s="123" t="n">
        <v>20</v>
      </c>
      <c r="V2" s="123" t="n">
        <v>21</v>
      </c>
      <c r="W2" s="123" t="n">
        <v>22</v>
      </c>
      <c r="X2" s="123" t="n">
        <v>23</v>
      </c>
      <c r="Y2" s="123" t="n">
        <v>24</v>
      </c>
      <c r="Z2" s="123" t="n">
        <v>25</v>
      </c>
      <c r="AA2" s="123" t="n">
        <v>26</v>
      </c>
      <c r="AB2" s="123" t="n">
        <v>27</v>
      </c>
      <c r="AC2" s="123" t="n">
        <v>28</v>
      </c>
      <c r="AD2" s="123" t="n">
        <v>29</v>
      </c>
      <c r="AE2" s="123" t="n">
        <v>30</v>
      </c>
      <c r="AF2" s="123" t="n">
        <v>31</v>
      </c>
      <c r="AG2" s="123" t="n">
        <v>32</v>
      </c>
      <c r="AH2" s="123" t="n">
        <v>33</v>
      </c>
      <c r="AI2" s="123" t="n">
        <v>34</v>
      </c>
      <c r="AJ2" s="123" t="n">
        <v>35</v>
      </c>
      <c r="AK2" s="123" t="n">
        <v>36</v>
      </c>
      <c r="AL2" s="123" t="n">
        <v>37</v>
      </c>
      <c r="AM2" s="123" t="n">
        <v>38</v>
      </c>
      <c r="AN2" s="123" t="n">
        <v>39</v>
      </c>
      <c r="AO2" s="123" t="n">
        <v>40</v>
      </c>
      <c r="AP2" s="123" t="n">
        <v>41</v>
      </c>
      <c r="AQ2" s="123" t="n">
        <v>42</v>
      </c>
      <c r="AR2" s="123" t="n">
        <v>43</v>
      </c>
      <c r="AS2" s="123" t="n">
        <v>44</v>
      </c>
      <c r="AT2" s="123" t="n">
        <v>45</v>
      </c>
      <c r="AU2" s="123" t="n">
        <v>46</v>
      </c>
      <c r="AV2" s="123" t="n">
        <v>47</v>
      </c>
      <c r="AW2" s="123" t="n">
        <v>48</v>
      </c>
      <c r="AX2" s="123" t="n">
        <v>49</v>
      </c>
      <c r="AY2" s="123" t="n">
        <v>50</v>
      </c>
      <c r="AZ2" s="123" t="n">
        <v>51</v>
      </c>
    </row>
    <row r="3">
      <c r="A3" s="123" t="inlineStr">
        <is>
          <t>Dari</t>
        </is>
      </c>
      <c r="B3" s="1" t="inlineStr">
        <is>
          <t>T-101</t>
        </is>
      </c>
      <c r="C3" s="1" t="inlineStr">
        <is>
          <t>V-101</t>
        </is>
      </c>
      <c r="D3" s="1" t="inlineStr">
        <is>
          <t>E-101</t>
        </is>
      </c>
      <c r="E3" s="1" t="inlineStr">
        <is>
          <t>Pipa etilena</t>
        </is>
      </c>
      <c r="F3" s="1" t="inlineStr">
        <is>
          <t>T-102</t>
        </is>
      </c>
      <c r="G3" s="1" t="inlineStr">
        <is>
          <t>V-102</t>
        </is>
      </c>
      <c r="H3" s="1" t="inlineStr">
        <is>
          <t>E-102</t>
        </is>
      </c>
      <c r="I3" s="1" t="inlineStr">
        <is>
          <t>V-103</t>
        </is>
      </c>
      <c r="J3" s="1" t="inlineStr">
        <is>
          <t>E-102</t>
        </is>
      </c>
      <c r="K3" s="1" t="inlineStr">
        <is>
          <t>Make-up</t>
        </is>
      </c>
      <c r="L3" s="1" t="inlineStr">
        <is>
          <t>R-01</t>
        </is>
      </c>
      <c r="M3" s="1" t="inlineStr">
        <is>
          <t>E-103</t>
        </is>
      </c>
      <c r="N3" s="1" t="inlineStr">
        <is>
          <t>E-103</t>
        </is>
      </c>
      <c r="O3" s="1" t="inlineStr">
        <is>
          <t>R-01</t>
        </is>
      </c>
      <c r="P3" s="1" t="inlineStr">
        <is>
          <t>P-101</t>
        </is>
      </c>
      <c r="Q3" s="1" t="inlineStr">
        <is>
          <t>Udara</t>
        </is>
      </c>
      <c r="R3" s="1" t="inlineStr">
        <is>
          <t>K-101</t>
        </is>
      </c>
      <c r="S3" s="1" t="inlineStr">
        <is>
          <t>R-02</t>
        </is>
      </c>
      <c r="T3" s="1" t="inlineStr">
        <is>
          <t>Q-201</t>
        </is>
      </c>
      <c r="U3" s="1" t="inlineStr">
        <is>
          <t>E-104</t>
        </is>
      </c>
      <c r="V3" s="1" t="inlineStr">
        <is>
          <t>M-101</t>
        </is>
      </c>
      <c r="W3" s="1" t="inlineStr">
        <is>
          <t>Q-201</t>
        </is>
      </c>
      <c r="X3" s="1" t="inlineStr">
        <is>
          <t>D-101</t>
        </is>
      </c>
      <c r="Y3" s="1" t="inlineStr">
        <is>
          <t>E-105</t>
        </is>
      </c>
      <c r="Z3" s="1" t="inlineStr">
        <is>
          <t>E-105</t>
        </is>
      </c>
      <c r="AA3" s="1" t="inlineStr">
        <is>
          <t>D-101</t>
        </is>
      </c>
      <c r="AB3" s="1" t="inlineStr">
        <is>
          <t>P-105</t>
        </is>
      </c>
      <c r="AC3" s="1" t="inlineStr">
        <is>
          <t>P-105</t>
        </is>
      </c>
      <c r="AD3" s="1" t="inlineStr">
        <is>
          <t>D-101</t>
        </is>
      </c>
      <c r="AE3" s="1" t="inlineStr">
        <is>
          <t>P-102</t>
        </is>
      </c>
      <c r="AF3" s="1" t="inlineStr">
        <is>
          <t>E-106</t>
        </is>
      </c>
      <c r="AG3" s="1" t="inlineStr">
        <is>
          <t>KD-101</t>
        </is>
      </c>
      <c r="AH3" s="1" t="inlineStr">
        <is>
          <t>KD-101</t>
        </is>
      </c>
      <c r="AI3" s="1" t="inlineStr">
        <is>
          <t>P-103</t>
        </is>
      </c>
      <c r="AJ3" s="1" t="inlineStr">
        <is>
          <t>KD-102</t>
        </is>
      </c>
      <c r="AK3" s="1" t="inlineStr">
        <is>
          <t>KD-102</t>
        </is>
      </c>
      <c r="AL3" s="1" t="inlineStr">
        <is>
          <t>P-104</t>
        </is>
      </c>
      <c r="AM3" s="1" t="inlineStr">
        <is>
          <t>E-107</t>
        </is>
      </c>
      <c r="AN3" s="1" t="inlineStr">
        <is>
          <t>F-101</t>
        </is>
      </c>
      <c r="AO3" s="1" t="inlineStr">
        <is>
          <t>Q-101</t>
        </is>
      </c>
      <c r="AP3" s="1" t="inlineStr">
        <is>
          <t>E-108</t>
        </is>
      </c>
      <c r="AQ3" s="1" t="inlineStr">
        <is>
          <t>KD-103</t>
        </is>
      </c>
      <c r="AR3" s="1" t="inlineStr">
        <is>
          <t>V-104</t>
        </is>
      </c>
      <c r="AS3" s="1" t="inlineStr">
        <is>
          <t>E-109</t>
        </is>
      </c>
      <c r="AT3" s="1" t="inlineStr">
        <is>
          <t>KD-103</t>
        </is>
      </c>
      <c r="AU3" s="1" t="inlineStr">
        <is>
          <t>V-105</t>
        </is>
      </c>
      <c r="AV3" s="1" t="inlineStr">
        <is>
          <t>KD-104</t>
        </is>
      </c>
      <c r="AW3" s="1" t="inlineStr">
        <is>
          <t>E-110</t>
        </is>
      </c>
      <c r="AX3" s="1" t="inlineStr">
        <is>
          <t>KD-104</t>
        </is>
      </c>
      <c r="AY3" s="1" t="inlineStr">
        <is>
          <t>E-111</t>
        </is>
      </c>
      <c r="AZ3" s="1" t="inlineStr">
        <is>
          <t>V-106</t>
        </is>
      </c>
    </row>
    <row r="4">
      <c r="A4" s="123" t="inlineStr">
        <is>
          <t>Ke</t>
        </is>
      </c>
      <c r="B4" s="1" t="inlineStr">
        <is>
          <t>V-101</t>
        </is>
      </c>
      <c r="C4" s="1" t="inlineStr">
        <is>
          <t>E-101</t>
        </is>
      </c>
      <c r="D4" s="1" t="inlineStr">
        <is>
          <t>R-01</t>
        </is>
      </c>
      <c r="E4" s="1" t="inlineStr">
        <is>
          <t>T-102</t>
        </is>
      </c>
      <c r="F4" s="1" t="inlineStr">
        <is>
          <t>V-102</t>
        </is>
      </c>
      <c r="G4" s="1" t="inlineStr">
        <is>
          <t>E-102</t>
        </is>
      </c>
      <c r="H4" s="1" t="inlineStr">
        <is>
          <t>V-103</t>
        </is>
      </c>
      <c r="I4" s="1" t="inlineStr">
        <is>
          <t>R-01</t>
        </is>
      </c>
      <c r="J4" s="1" t="inlineStr">
        <is>
          <t>R-02</t>
        </is>
      </c>
      <c r="K4" s="1" t="inlineStr">
        <is>
          <t>R-01</t>
        </is>
      </c>
      <c r="L4" s="1" t="inlineStr">
        <is>
          <t>E-103</t>
        </is>
      </c>
      <c r="M4" s="1" t="inlineStr">
        <is>
          <t>R-01</t>
        </is>
      </c>
      <c r="N4" s="1" t="inlineStr">
        <is>
          <t>UPL</t>
        </is>
      </c>
      <c r="O4" s="1" t="inlineStr">
        <is>
          <t>P-101</t>
        </is>
      </c>
      <c r="P4" s="1" t="inlineStr">
        <is>
          <t>M-101</t>
        </is>
      </c>
      <c r="Q4" s="1" t="inlineStr">
        <is>
          <t>K-101</t>
        </is>
      </c>
      <c r="R4" s="1" t="inlineStr">
        <is>
          <t>R-02</t>
        </is>
      </c>
      <c r="S4" s="1" t="inlineStr">
        <is>
          <t>Q-201</t>
        </is>
      </c>
      <c r="T4" s="1" t="inlineStr">
        <is>
          <t>E-104</t>
        </is>
      </c>
      <c r="U4" s="1" t="inlineStr">
        <is>
          <t>M-101</t>
        </is>
      </c>
      <c r="V4" s="1" t="inlineStr">
        <is>
          <t>D-101</t>
        </is>
      </c>
      <c r="W4" s="1" t="inlineStr">
        <is>
          <t>D-101</t>
        </is>
      </c>
      <c r="X4" s="1" t="inlineStr">
        <is>
          <t>E-105</t>
        </is>
      </c>
      <c r="Y4" s="1" t="inlineStr">
        <is>
          <t>D-101</t>
        </is>
      </c>
      <c r="Z4" s="1" t="inlineStr">
        <is>
          <t>UPL</t>
        </is>
      </c>
      <c r="AA4" s="1" t="inlineStr">
        <is>
          <t>P-105</t>
        </is>
      </c>
      <c r="AB4" s="1" t="inlineStr">
        <is>
          <t>Q-201</t>
        </is>
      </c>
      <c r="AC4" s="1" t="inlineStr">
        <is>
          <t>UPL</t>
        </is>
      </c>
      <c r="AD4" s="1" t="inlineStr">
        <is>
          <t>P-102</t>
        </is>
      </c>
      <c r="AE4" s="1" t="inlineStr">
        <is>
          <t>E-106</t>
        </is>
      </c>
      <c r="AF4" s="1" t="inlineStr">
        <is>
          <t>KD-101</t>
        </is>
      </c>
      <c r="AG4" s="1" t="inlineStr">
        <is>
          <t>UPL</t>
        </is>
      </c>
      <c r="AH4" s="1" t="inlineStr">
        <is>
          <t>P-103</t>
        </is>
      </c>
      <c r="AI4" s="1" t="inlineStr">
        <is>
          <t>KD-102</t>
        </is>
      </c>
      <c r="AJ4" s="1" t="inlineStr">
        <is>
          <t>UPL</t>
        </is>
      </c>
      <c r="AK4" s="1" t="inlineStr">
        <is>
          <t>P-104</t>
        </is>
      </c>
      <c r="AL4" s="1" t="inlineStr">
        <is>
          <t>E-107</t>
        </is>
      </c>
      <c r="AM4" s="1" t="inlineStr">
        <is>
          <t>F-101</t>
        </is>
      </c>
      <c r="AN4" s="1" t="inlineStr">
        <is>
          <t>Q-101</t>
        </is>
      </c>
      <c r="AO4" s="1" t="inlineStr">
        <is>
          <t>E-108</t>
        </is>
      </c>
      <c r="AP4" s="1" t="inlineStr">
        <is>
          <t>KD-103</t>
        </is>
      </c>
      <c r="AQ4" s="1" t="inlineStr">
        <is>
          <t>V-104</t>
        </is>
      </c>
      <c r="AR4" s="1" t="inlineStr">
        <is>
          <t>E-109</t>
        </is>
      </c>
      <c r="AS4" s="1" t="inlineStr">
        <is>
          <t>R-02</t>
        </is>
      </c>
      <c r="AT4" s="1" t="inlineStr">
        <is>
          <t>V-105</t>
        </is>
      </c>
      <c r="AU4" s="1" t="inlineStr">
        <is>
          <t>KD-104</t>
        </is>
      </c>
      <c r="AV4" s="1" t="inlineStr">
        <is>
          <t>E-110</t>
        </is>
      </c>
      <c r="AW4" s="1" t="inlineStr">
        <is>
          <t>T-103</t>
        </is>
      </c>
      <c r="AX4" s="1" t="inlineStr">
        <is>
          <t>E-111</t>
        </is>
      </c>
      <c r="AY4" s="1" t="inlineStr">
        <is>
          <t>V-106</t>
        </is>
      </c>
      <c r="AZ4" s="1" t="inlineStr">
        <is>
          <t>KD-101</t>
        </is>
      </c>
    </row>
    <row r="5">
      <c r="A5" s="123" t="inlineStr">
        <is>
          <t>Fase</t>
        </is>
      </c>
      <c r="B5" s="1" t="inlineStr">
        <is>
          <t>Cair</t>
        </is>
      </c>
      <c r="C5" s="1" t="inlineStr">
        <is>
          <t>Cair + uap</t>
        </is>
      </c>
      <c r="D5" s="1" t="inlineStr">
        <is>
          <t>Gas</t>
        </is>
      </c>
      <c r="E5" s="1" t="inlineStr">
        <is>
          <t>Gas</t>
        </is>
      </c>
      <c r="F5" s="1" t="inlineStr">
        <is>
          <t>Gas</t>
        </is>
      </c>
      <c r="G5" s="1" t="inlineStr">
        <is>
          <t>Gas</t>
        </is>
      </c>
      <c r="H5" s="1" t="inlineStr">
        <is>
          <t>Gas</t>
        </is>
      </c>
      <c r="I5" s="1" t="inlineStr">
        <is>
          <t>Gas</t>
        </is>
      </c>
      <c r="J5" s="1" t="inlineStr">
        <is>
          <t>Gas</t>
        </is>
      </c>
      <c r="K5" s="1" t="inlineStr">
        <is>
          <t>Padat</t>
        </is>
      </c>
      <c r="L5" s="1" t="inlineStr">
        <is>
          <t>Gas</t>
        </is>
      </c>
      <c r="M5" s="1" t="inlineStr">
        <is>
          <t>Cair</t>
        </is>
      </c>
      <c r="N5" s="1" t="inlineStr">
        <is>
          <t>Gas</t>
        </is>
      </c>
      <c r="O5" s="1" t="inlineStr">
        <is>
          <t>Cair</t>
        </is>
      </c>
      <c r="P5" s="1" t="inlineStr">
        <is>
          <t>Cair</t>
        </is>
      </c>
      <c r="Q5" s="1" t="inlineStr">
        <is>
          <t>Gas</t>
        </is>
      </c>
      <c r="R5" s="1" t="inlineStr">
        <is>
          <t>Gas</t>
        </is>
      </c>
      <c r="S5" s="1" t="inlineStr">
        <is>
          <t>Gas</t>
        </is>
      </c>
      <c r="T5" s="1" t="inlineStr">
        <is>
          <t>Gas</t>
        </is>
      </c>
      <c r="U5" s="1" t="inlineStr">
        <is>
          <t>Gas + cair</t>
        </is>
      </c>
      <c r="V5" s="1" t="inlineStr">
        <is>
          <t>Gas + cair</t>
        </is>
      </c>
      <c r="W5" s="1" t="inlineStr">
        <is>
          <t>Cair</t>
        </is>
      </c>
      <c r="X5" s="1" t="inlineStr">
        <is>
          <t>Gas</t>
        </is>
      </c>
      <c r="Y5" s="1" t="inlineStr">
        <is>
          <t>Cair</t>
        </is>
      </c>
      <c r="Z5" s="1" t="inlineStr">
        <is>
          <t>Gas</t>
        </is>
      </c>
      <c r="AA5" s="1" t="inlineStr">
        <is>
          <t>Cair</t>
        </is>
      </c>
      <c r="AB5" s="1" t="inlineStr">
        <is>
          <t>Cair</t>
        </is>
      </c>
      <c r="AC5" s="1" t="inlineStr">
        <is>
          <t>Cair</t>
        </is>
      </c>
      <c r="AD5" s="1" t="inlineStr">
        <is>
          <t>Cair</t>
        </is>
      </c>
      <c r="AE5" s="1" t="inlineStr">
        <is>
          <t>Cair</t>
        </is>
      </c>
      <c r="AF5" s="1" t="inlineStr">
        <is>
          <t>Cair</t>
        </is>
      </c>
      <c r="AG5" s="1" t="inlineStr">
        <is>
          <t>Cair + gas</t>
        </is>
      </c>
      <c r="AH5" s="1" t="inlineStr">
        <is>
          <t>Cair</t>
        </is>
      </c>
      <c r="AI5" s="1" t="inlineStr">
        <is>
          <t>Cair</t>
        </is>
      </c>
      <c r="AJ5" s="1" t="inlineStr">
        <is>
          <t>Cair</t>
        </is>
      </c>
      <c r="AK5" s="1" t="inlineStr">
        <is>
          <t>Cair</t>
        </is>
      </c>
      <c r="AL5" s="1" t="inlineStr">
        <is>
          <t>Cair</t>
        </is>
      </c>
      <c r="AM5" s="1" t="inlineStr">
        <is>
          <t>Cair</t>
        </is>
      </c>
      <c r="AN5" s="1" t="inlineStr">
        <is>
          <t>Gas</t>
        </is>
      </c>
      <c r="AO5" s="1" t="inlineStr">
        <is>
          <t>Gas + cair</t>
        </is>
      </c>
      <c r="AP5" s="1" t="inlineStr">
        <is>
          <t>Gas + cair</t>
        </is>
      </c>
      <c r="AQ5" s="1" t="inlineStr">
        <is>
          <t>Cair</t>
        </is>
      </c>
      <c r="AR5" s="1" t="inlineStr">
        <is>
          <t>Cair + uap</t>
        </is>
      </c>
      <c r="AS5" s="1" t="inlineStr">
        <is>
          <t>Gas</t>
        </is>
      </c>
      <c r="AT5" s="1" t="inlineStr">
        <is>
          <t>Cair</t>
        </is>
      </c>
      <c r="AU5" s="1" t="inlineStr">
        <is>
          <t>Cair + uap</t>
        </is>
      </c>
      <c r="AV5" s="1" t="inlineStr">
        <is>
          <t>Cair</t>
        </is>
      </c>
      <c r="AW5" s="1" t="inlineStr">
        <is>
          <t>Cair</t>
        </is>
      </c>
      <c r="AX5" s="1" t="inlineStr">
        <is>
          <t>Cair</t>
        </is>
      </c>
      <c r="AY5" s="1" t="inlineStr">
        <is>
          <t>Cair</t>
        </is>
      </c>
      <c r="AZ5" s="1" t="inlineStr">
        <is>
          <t>Cair</t>
        </is>
      </c>
    </row>
    <row r="6">
      <c r="A6" s="123" t="inlineStr">
        <is>
          <t>T; P</t>
        </is>
      </c>
      <c r="B6" s="192" t="str">
        <f>IF(ISNUMBER('NME-1 Klorinasi Langsung'!$B$53),TEXT('NME-1 Klorinasi Langsung'!$B$53,"0.0")&amp;" °C; ","")&amp;TEXT('NME-1 Klorinasi Langsung'!$B$54,"0.00")&amp;" bar abs"</f>
        <v>30.0 °C; 8.90 bar abs</v>
      </c>
      <c r="C6" s="192" t="str">
        <f>IF(ISNUMBER('NME-1 Klorinasi Langsung'!$D$53),TEXT('NME-1 Klorinasi Langsung'!$D$53,"0.0")&amp;" °C; ","")&amp;TEXT('NME-1 Klorinasi Langsung'!$D$54,"0.00")&amp;" bar abs"</f>
        <v>-34.0 °C; 1.01 bar abs</v>
      </c>
      <c r="D6" s="192" t="str">
        <f>IF(ISNUMBER('NME-1 Klorinasi Langsung'!$D$84),TEXT('NME-1 Klorinasi Langsung'!$D$84,"0.0")&amp;" °C; ","")&amp;TEXT('NME-1 Klorinasi Langsung'!$D$85,"0.00")&amp;" bar abs"</f>
        <v>-23.0 °C; 1.01 bar abs</v>
      </c>
      <c r="E6" s="192" t="str">
        <f>IF(ISNUMBER('NME-1 Klorinasi Langsung'!$B$115),TEXT('NME-1 Klorinasi Langsung'!$B$115,"0.0")&amp;" °C; ","")&amp;TEXT('NME-1 Klorinasi Langsung'!$B$116,"0.00")&amp;" bar abs"</f>
        <v>30.0 °C; 36.30 bar abs</v>
      </c>
      <c r="F6" s="192" t="str">
        <f>IF(ISNUMBER('NME-1 Klorinasi Langsung'!$D$115),TEXT('NME-1 Klorinasi Langsung'!$D$115,"0.0")&amp;" °C; ","")&amp;TEXT('NME-1 Klorinasi Langsung'!$D$116,"0.00")&amp;" bar abs"</f>
        <v>30.0 °C; 36.30 bar abs</v>
      </c>
      <c r="G6" s="192" t="str">
        <f>IF(ISNUMBER('NME-1 Klorinasi Langsung'!$D$141),TEXT('NME-1 Klorinasi Langsung'!$D$141,"0.0")&amp;" °C; ","")&amp;TEXT('NME-1 Klorinasi Langsung'!$D$142,"0.00")&amp;" bar abs"</f>
        <v>-0.2 °C; 5.37 bar abs</v>
      </c>
      <c r="H6" s="192" t="str">
        <f>IF(ISNUMBER('NME-1 Klorinasi Langsung'!$D$167),TEXT('NME-1 Klorinasi Langsung'!$D$167,"0.0")&amp;" °C; ","")&amp;TEXT('NME-1 Klorinasi Langsung'!$D$168,"0.00")&amp;" bar abs"</f>
        <v>30.0 °C; 5.37 bar abs</v>
      </c>
      <c r="I6" s="192" t="str">
        <f>IF(ISNUMBER('NME-1 Klorinasi Langsung'!$D$193),TEXT('NME-1 Klorinasi Langsung'!$D$193,"0.0")&amp;" °C; ","")&amp;TEXT('NME-1 Klorinasi Langsung'!$D$194,"0.00")&amp;" bar abs"</f>
        <v>25.7 °C; 1.01 bar abs</v>
      </c>
      <c r="J6" s="192" t="str">
        <f>IF(ISNUMBER('NME-1 Klorinasi Langsung'!$F$167),TEXT('NME-1 Klorinasi Langsung'!$F$167,"0.0")&amp;" °C; ","")&amp;TEXT('NME-1 Klorinasi Langsung'!$F$168,"0.00")&amp;" bar abs"</f>
        <v>30.0 °C; 5.37 bar abs</v>
      </c>
      <c r="K6" s="192" t="str">
        <f>IF(ISNUMBER('NME-1 Klorinasi Langsung'!$F$219),TEXT('NME-1 Klorinasi Langsung'!$F$219,"0.0")&amp;" °C; ","")&amp;TEXT('NME-1 Klorinasi Langsung'!$F$220,"0.00")&amp;" bar abs"</f>
        <v>30.0 °C; 1.01 bar abs</v>
      </c>
      <c r="L6" s="192" t="inlineStr">
        <is>
          <t>-</t>
        </is>
      </c>
      <c r="M6" s="192" t="inlineStr">
        <is>
          <t>-</t>
        </is>
      </c>
      <c r="N6" s="192" t="str">
        <f>IF(ISNUMBER('NME-1 Klorinasi Langsung'!$H$219),TEXT('NME-1 Klorinasi Langsung'!$H$219,"0.0")&amp;" °C; ","")&amp;TEXT('NME-1 Klorinasi Langsung'!$H$220,"0.00")&amp;" bar abs"</f>
        <v>5.0 °C; 1.01 bar abs</v>
      </c>
      <c r="O6" s="192" t="str">
        <f>IF(ISNUMBER('NME-1 Klorinasi Langsung'!$J$219),TEXT('NME-1 Klorinasi Langsung'!$J$219,"0.0")&amp;" °C; ","")&amp;TEXT('NME-1 Klorinasi Langsung'!$J$220,"0.00")&amp;" bar abs"</f>
        <v>65.0 °C; 1.01 bar abs</v>
      </c>
      <c r="P6" s="192" t="str">
        <f>IF(ISNUMBER('NME-3 Kondensasi-Dekantasi'!$D$49),TEXT('NME-3 Kondensasi-Dekantasi'!$D$49,"0.0")&amp;" °C; ","")&amp;TEXT('NME-3 Kondensasi-Dekantasi'!$D$50,"0.00")&amp;" bar abs"</f>
        <v>65.4 °C; 5.37 bar abs</v>
      </c>
      <c r="Q6" s="192" t="str">
        <f>IF(ISNUMBER('NME-2 Oksiklorinasi'!$B$52),TEXT('NME-2 Oksiklorinasi'!$B$52,"0.0")&amp;" °C; ","")&amp;TEXT('NME-2 Oksiklorinasi'!$B$53,"0.00")&amp;" bar abs"</f>
        <v>30.0 °C; 1.01 bar abs</v>
      </c>
      <c r="R6" s="192" t="str">
        <f>IF(ISNUMBER('NME-2 Oksiklorinasi'!$D$52),TEXT('NME-2 Oksiklorinasi'!$D$52,"0.0")&amp;" °C; ","")&amp;TEXT('NME-2 Oksiklorinasi'!$D$53,"0.00")&amp;" bar abs"</f>
        <v>272.0 °C; 5.37 bar abs</v>
      </c>
      <c r="S6" s="192" t="str">
        <f>IF(ISNUMBER('NME-2 Oksiklorinasi'!$H$124),TEXT('NME-2 Oksiklorinasi'!$H$124,"0.0")&amp;" °C; ","")&amp;TEXT('NME-2 Oksiklorinasi'!$H$125,"0.00")&amp;" bar abs"</f>
        <v>225.0 °C; 5.37 bar abs</v>
      </c>
      <c r="T6" s="192" t="inlineStr">
        <is>
          <t>-</t>
        </is>
      </c>
      <c r="U6" s="192" t="inlineStr">
        <is>
          <t>-</t>
        </is>
      </c>
      <c r="V6" s="192" t="inlineStr">
        <is>
          <t>-</t>
        </is>
      </c>
      <c r="W6" s="192" t="inlineStr">
        <is>
          <t>-</t>
        </is>
      </c>
      <c r="X6" s="192" t="inlineStr">
        <is>
          <t>-</t>
        </is>
      </c>
      <c r="Y6" s="192" t="inlineStr">
        <is>
          <t>-</t>
        </is>
      </c>
      <c r="Z6" s="192" t="str">
        <f>IF(ISNUMBER('NME-3 Kondensasi-Dekantasi'!$F$76),TEXT('NME-3 Kondensasi-Dekantasi'!$F$76,"0.0")&amp;" °C; ","")&amp;TEXT('NME-3 Kondensasi-Dekantasi'!$F$77,"0.00")&amp;" bar abs"</f>
        <v>-25.0 °C; 5.37 bar abs</v>
      </c>
      <c r="AA6" s="192" t="inlineStr">
        <is>
          <t>-</t>
        </is>
      </c>
      <c r="AB6" s="192" t="inlineStr">
        <is>
          <t>-</t>
        </is>
      </c>
      <c r="AC6" s="192" t="str">
        <f>IF(ISNUMBER('NME-3 Kondensasi-Dekantasi'!$H$76),TEXT('NME-3 Kondensasi-Dekantasi'!$H$76,"0.0")&amp;" °C; ","")&amp;TEXT('NME-3 Kondensasi-Dekantasi'!$H$77,"0.00")&amp;" bar abs"</f>
        <v>35.0 °C; 5.37 bar abs</v>
      </c>
      <c r="AD6" s="192" t="str">
        <f>IF(ISNUMBER('NME-3 Kondensasi-Dekantasi'!$J$76),TEXT('NME-3 Kondensasi-Dekantasi'!$J$76,"0.0")&amp;" °C; ","")&amp;TEXT('NME-3 Kondensasi-Dekantasi'!$J$77,"0.00")&amp;" bar abs"</f>
        <v>35.0 °C; 5.37 bar abs</v>
      </c>
      <c r="AE6" s="192" t="str">
        <f>IF(ISNUMBER('NME-4 Kolom Ringan'!$D$49),TEXT('NME-4 Kolom Ringan'!$D$49,"0.0")&amp;" °C; ","")&amp;TEXT('NME-4 Kolom Ringan'!$D$50,"0.00")&amp;" bar abs"</f>
        <v>35.0 °C; 5.37 bar abs</v>
      </c>
      <c r="AF6" s="192" t="str">
        <f>IF(ISNUMBER('NME-4 Kolom Ringan'!$D$77),TEXT('NME-4 Kolom Ringan'!$D$77,"0.0")&amp;" °C; ","")&amp;TEXT('NME-4 Kolom Ringan'!$D$78,"0.00")&amp;" bar abs"</f>
        <v>83.4 °C; 1.01 bar abs</v>
      </c>
      <c r="AG6" s="192" t="str">
        <f>IF(ISNUMBER('NME-4 Kolom Ringan'!$F$157),TEXT('NME-4 Kolom Ringan'!$F$157,"0.0")&amp;" °C; ","")&amp;TEXT('NME-4 Kolom Ringan'!$F$158,"0.00")&amp;" bar abs"</f>
        <v>75.0 °C; 1.01 bar abs</v>
      </c>
      <c r="AH6" s="192" t="str">
        <f>IF(ISNUMBER('NME-4 Kolom Ringan'!$H$157),TEXT('NME-4 Kolom Ringan'!$H$157,"0.0")&amp;" °C; ","")&amp;TEXT('NME-4 Kolom Ringan'!$H$158,"0.00")&amp;" bar abs"</f>
        <v>83.4 °C; 1.01 bar abs</v>
      </c>
      <c r="AI6" s="192" t="str">
        <f>IF(ISNUMBER('NME-5 Kolom Berat'!$D$49),TEXT('NME-5 Kolom Berat'!$D$49,"0.0")&amp;" °C; ","")&amp;TEXT('NME-5 Kolom Berat'!$D$50,"0.00")&amp;" bar abs"</f>
        <v>83.6 °C; 2.75 bar abs</v>
      </c>
      <c r="AJ6" s="192" t="str">
        <f>IF(ISNUMBER('NME-5 Kolom Berat'!$D$76),TEXT('NME-5 Kolom Berat'!$D$76,"0.0")&amp;" °C; ","")&amp;TEXT('NME-5 Kolom Berat'!$D$77,"0.00")&amp;" bar abs"</f>
        <v>127.0 °C; 3.00 bar abs</v>
      </c>
      <c r="AK6" s="192" t="str">
        <f>IF(ISNUMBER('NME-5 Kolom Berat'!$F$76),TEXT('NME-5 Kolom Berat'!$F$76,"0.0")&amp;" °C; ","")&amp;TEXT('NME-5 Kolom Berat'!$F$77,"0.00")&amp;" bar abs"</f>
        <v>118.0 °C; 2.50 bar abs</v>
      </c>
      <c r="AL6" s="192" t="str">
        <f>IF(ISNUMBER('NME-6 Pirolisis'!$D$47),TEXT('NME-6 Pirolisis'!$D$47,"0.0")&amp;" °C; ","")&amp;TEXT('NME-6 Pirolisis'!$D$48,"0.00")&amp;" bar abs"</f>
        <v>119.2 °C; 17.00 bar abs</v>
      </c>
      <c r="AM6" s="192" t="str">
        <f>IF(ISNUMBER('NME-6 Pirolisis'!$D$72),TEXT('NME-6 Pirolisis'!$D$72,"0.0")&amp;" °C; ","")&amp;TEXT('NME-6 Pirolisis'!$D$73,"0.00")&amp;" bar abs"</f>
        <v>190.0 °C; 17.00 bar abs</v>
      </c>
      <c r="AN6" s="192" t="str">
        <f>IF(ISNUMBER('NME-6 Pirolisis'!$D$97),TEXT('NME-6 Pirolisis'!$D$97,"0.0")&amp;" °C; ","")&amp;TEXT('NME-6 Pirolisis'!$D$98,"0.00")&amp;" bar abs"</f>
        <v>516.0 °C; 13.00 bar abs</v>
      </c>
      <c r="AO6" s="192" t="str">
        <f>IF(ISNUMBER('NME-6 Pirolisis'!$D$125),TEXT('NME-6 Pirolisis'!$D$125,"0.0")&amp;" °C; ","")&amp;TEXT('NME-6 Pirolisis'!$D$126,"0.00")&amp;" bar abs"</f>
        <v>80.0 °C; 11.00 bar abs</v>
      </c>
      <c r="AP6" s="192" t="str">
        <f>IF(ISNUMBER('NME-7 Kolom HCl'!$D$47),TEXT('NME-7 Kolom HCl'!$D$47,"0.0")&amp;" °C; ","")&amp;TEXT('NME-7 Kolom HCl'!$D$48,"0.00")&amp;" bar abs"</f>
        <v>30.0 °C; 11.00 bar abs</v>
      </c>
      <c r="AQ6" s="192" t="str">
        <f>IF(ISNUMBER('NME-7 Kolom HCl'!$D$75),TEXT('NME-7 Kolom HCl'!$D$75,"0.0")&amp;" °C; ","")&amp;TEXT('NME-7 Kolom HCl'!$D$76,"0.00")&amp;" bar abs"</f>
        <v>-28.9 °C; 11.00 bar abs</v>
      </c>
      <c r="AR6" s="192" t="str">
        <f>IF(ISNUMBER('NME-2 Oksiklorinasi'!$D$76),TEXT('NME-2 Oksiklorinasi'!$D$76,"0.0")&amp;" °C; ","")&amp;TEXT('NME-2 Oksiklorinasi'!$D$77,"0.00")&amp;" bar abs"</f>
        <v>5.37 bar abs</v>
      </c>
      <c r="AS6" s="192" t="str">
        <f>IF(ISNUMBER('NME-2 Oksiklorinasi'!$D$100),TEXT('NME-2 Oksiklorinasi'!$D$100,"0.0")&amp;" °C; ","")&amp;TEXT('NME-2 Oksiklorinasi'!$D$101,"0.00")&amp;" bar abs"</f>
        <v>-40.9 °C; 5.37 bar abs</v>
      </c>
      <c r="AT6" s="192" t="str">
        <f>IF(ISNUMBER('NME-7 Kolom HCl'!$F$75),TEXT('NME-7 Kolom HCl'!$F$75,"0.0")&amp;" °C; ","")&amp;TEXT('NME-7 Kolom HCl'!$F$76,"0.00")&amp;" bar abs"</f>
        <v>81.0 °C; 9.80 bar abs</v>
      </c>
      <c r="AU6" s="192" t="str">
        <f>IF(ISNUMBER('NME-8 Kolom VCM'!$D$48),TEXT('NME-8 Kolom VCM'!$D$48,"0.0")&amp;" °C; ","")&amp;TEXT('NME-8 Kolom VCM'!$D$49,"0.00")&amp;" bar abs"</f>
        <v>6.50 bar abs</v>
      </c>
      <c r="AV6" s="192" t="str">
        <f>IF(ISNUMBER('NME-8 Kolom VCM'!$D$75),TEXT('NME-8 Kolom VCM'!$D$75,"0.0")&amp;" °C; ","")&amp;TEXT('NME-8 Kolom VCM'!$D$76,"0.00")&amp;" bar abs"</f>
        <v>37.0 °C; 6.50 bar abs</v>
      </c>
      <c r="AW6" s="192" t="str">
        <f>IF(ISNUMBER('NME-8 Kolom VCM'!$D$104),TEXT('NME-8 Kolom VCM'!$D$104,"0.0")&amp;" °C; ","")&amp;TEXT('NME-8 Kolom VCM'!$D$105,"0.00")&amp;" bar abs"</f>
        <v>30.0 °C; 6.50 bar abs</v>
      </c>
      <c r="AX6" s="192" t="str">
        <f>IF(ISNUMBER('NME-8 Kolom VCM'!$F$75),TEXT('NME-8 Kolom VCM'!$F$75,"0.0")&amp;" °C; ","")&amp;TEXT('NME-8 Kolom VCM'!$F$76,"0.00")&amp;" bar abs"</f>
        <v>152.0 °C; 6.50 bar abs</v>
      </c>
      <c r="AY6" s="192" t="str">
        <f>IF(ISNUMBER('NME-4 Kolom Ringan'!$D$105),TEXT('NME-4 Kolom Ringan'!$D$105,"0.0")&amp;" °C; ","")&amp;TEXT('NME-4 Kolom Ringan'!$D$106,"0.00")&amp;" bar abs"</f>
        <v>83.4 °C; 6.50 bar abs</v>
      </c>
      <c r="AZ6" s="192" t="str">
        <f>IF(ISNUMBER('NME-4 Kolom Ringan'!$D$131),TEXT('NME-4 Kolom Ringan'!$D$131,"0.0")&amp;" °C; ","")&amp;TEXT('NME-4 Kolom Ringan'!$D$132,"0.00")&amp;" bar abs"</f>
        <v>1.01 bar abs</v>
      </c>
    </row>
    <row r="7">
      <c r="A7" s="123" t="inlineStr">
        <is>
          <t>Rujukan NM</t>
        </is>
      </c>
      <c r="B7" s="192" t="inlineStr">
        <is>
          <t>NME-1</t>
        </is>
      </c>
      <c r="C7" s="192" t="inlineStr">
        <is>
          <t>NME-1</t>
        </is>
      </c>
      <c r="D7" s="192" t="inlineStr">
        <is>
          <t>NME-1</t>
        </is>
      </c>
      <c r="E7" s="192" t="inlineStr">
        <is>
          <t>NME-1 + NME-2</t>
        </is>
      </c>
      <c r="F7" s="192" t="inlineStr">
        <is>
          <t>NME-1 + NME-2</t>
        </is>
      </c>
      <c r="G7" s="192" t="inlineStr">
        <is>
          <t>NME-1 + NME-2</t>
        </is>
      </c>
      <c r="H7" s="192" t="inlineStr">
        <is>
          <t>NME-1</t>
        </is>
      </c>
      <c r="I7" s="192" t="inlineStr">
        <is>
          <t>NME-1</t>
        </is>
      </c>
      <c r="J7" s="192" t="inlineStr">
        <is>
          <t>NME-2</t>
        </is>
      </c>
      <c r="K7" s="192" t="inlineStr">
        <is>
          <t>NME-1</t>
        </is>
      </c>
      <c r="L7" s="192" t="inlineStr">
        <is>
          <t>Internal blok</t>
        </is>
      </c>
      <c r="M7" s="192" t="inlineStr">
        <is>
          <t>Internal blok</t>
        </is>
      </c>
      <c r="N7" s="192" t="inlineStr">
        <is>
          <t>NME-1</t>
        </is>
      </c>
      <c r="O7" s="192" t="inlineStr">
        <is>
          <t>NME-1</t>
        </is>
      </c>
      <c r="P7" s="192" t="inlineStr">
        <is>
          <t>NME-3</t>
        </is>
      </c>
      <c r="Q7" s="192" t="inlineStr">
        <is>
          <t>NME-2</t>
        </is>
      </c>
      <c r="R7" s="192" t="inlineStr">
        <is>
          <t>NME-2</t>
        </is>
      </c>
      <c r="S7" s="192" t="inlineStr">
        <is>
          <t>NME-2</t>
        </is>
      </c>
      <c r="T7" s="192" t="inlineStr">
        <is>
          <t>Internal blok</t>
        </is>
      </c>
      <c r="U7" s="192" t="inlineStr">
        <is>
          <t>Internal blok</t>
        </is>
      </c>
      <c r="V7" s="192" t="inlineStr">
        <is>
          <t>Internal blok</t>
        </is>
      </c>
      <c r="W7" s="192" t="inlineStr">
        <is>
          <t>Internal blok</t>
        </is>
      </c>
      <c r="X7" s="192" t="inlineStr">
        <is>
          <t>Internal blok</t>
        </is>
      </c>
      <c r="Y7" s="192" t="inlineStr">
        <is>
          <t>Internal blok</t>
        </is>
      </c>
      <c r="Z7" s="192" t="inlineStr">
        <is>
          <t>NME-3</t>
        </is>
      </c>
      <c r="AA7" s="192" t="inlineStr">
        <is>
          <t>Internal blok</t>
        </is>
      </c>
      <c r="AB7" s="192" t="inlineStr">
        <is>
          <t>Internal blok</t>
        </is>
      </c>
      <c r="AC7" s="192" t="inlineStr">
        <is>
          <t>NME-3</t>
        </is>
      </c>
      <c r="AD7" s="192" t="inlineStr">
        <is>
          <t>NME-3</t>
        </is>
      </c>
      <c r="AE7" s="192" t="inlineStr">
        <is>
          <t>NME-3</t>
        </is>
      </c>
      <c r="AF7" s="192" t="inlineStr">
        <is>
          <t>NME-4</t>
        </is>
      </c>
      <c r="AG7" s="192" t="inlineStr">
        <is>
          <t>NME-4</t>
        </is>
      </c>
      <c r="AH7" s="192" t="inlineStr">
        <is>
          <t>NME-4</t>
        </is>
      </c>
      <c r="AI7" s="192" t="inlineStr">
        <is>
          <t>NME-5</t>
        </is>
      </c>
      <c r="AJ7" s="192" t="inlineStr">
        <is>
          <t>NME-5</t>
        </is>
      </c>
      <c r="AK7" s="192" t="inlineStr">
        <is>
          <t>NME-5</t>
        </is>
      </c>
      <c r="AL7" s="192" t="inlineStr">
        <is>
          <t>NME-5</t>
        </is>
      </c>
      <c r="AM7" s="192" t="inlineStr">
        <is>
          <t>NME-6</t>
        </is>
      </c>
      <c r="AN7" s="192" t="inlineStr">
        <is>
          <t>NME-6</t>
        </is>
      </c>
      <c r="AO7" s="192" t="inlineStr">
        <is>
          <t>NME-7</t>
        </is>
      </c>
      <c r="AP7" s="192" t="inlineStr">
        <is>
          <t>NME-7</t>
        </is>
      </c>
      <c r="AQ7" s="192" t="inlineStr">
        <is>
          <t>NME-7</t>
        </is>
      </c>
      <c r="AR7" s="192" t="inlineStr">
        <is>
          <t>NME-7</t>
        </is>
      </c>
      <c r="AS7" s="192" t="inlineStr">
        <is>
          <t>NME-2</t>
        </is>
      </c>
      <c r="AT7" s="192" t="inlineStr">
        <is>
          <t>NME-7</t>
        </is>
      </c>
      <c r="AU7" s="192" t="inlineStr">
        <is>
          <t>NME-8</t>
        </is>
      </c>
      <c r="AV7" s="192" t="inlineStr">
        <is>
          <t>NME-8</t>
        </is>
      </c>
      <c r="AW7" s="192" t="inlineStr">
        <is>
          <t>NME-8</t>
        </is>
      </c>
      <c r="AX7" s="192" t="inlineStr">
        <is>
          <t>NME-8</t>
        </is>
      </c>
      <c r="AY7" s="192" t="inlineStr">
        <is>
          <t>NME-8</t>
        </is>
      </c>
      <c r="AZ7" s="192" t="inlineStr">
        <is>
          <t>NME-4</t>
        </is>
      </c>
    </row>
    <row r="8">
      <c r="A8" s="188" t="inlineStr">
        <is>
          <t>Ethylene Purity</t>
        </is>
      </c>
      <c r="B8" s="190">
        <f>'NME-1 Klorinasi Langsung'!C21</f>
        <v>0.0</v>
      </c>
      <c r="C8" s="190">
        <f>'NME-1 Klorinasi Langsung'!C21</f>
        <v>0.0</v>
      </c>
      <c r="D8" s="190">
        <f>'NME-1 Klorinasi Langsung'!C21</f>
        <v>0.0</v>
      </c>
      <c r="E8" s="190">
        <f>'NME-1 Klorinasi Langsung'!G21+'NME-2 Oksiklorinasi'!C20</f>
        <v>11800.731180764502</v>
      </c>
      <c r="F8" s="190">
        <f>'NME-1 Klorinasi Langsung'!G21+'NME-2 Oksiklorinasi'!C20</f>
        <v>11800.731180764502</v>
      </c>
      <c r="G8" s="190">
        <f>'NME-1 Klorinasi Langsung'!G21+'NME-2 Oksiklorinasi'!C20</f>
        <v>11800.731180764502</v>
      </c>
      <c r="H8" s="190">
        <f>'NME-1 Klorinasi Langsung'!G21</f>
        <v>6099.053440133403</v>
      </c>
      <c r="I8" s="190">
        <f>'NME-1 Klorinasi Langsung'!G21</f>
        <v>6099.053440133403</v>
      </c>
      <c r="J8" s="190">
        <f>'NME-2 Oksiklorinasi'!C20</f>
        <v>5701.6777406310985</v>
      </c>
      <c r="K8" s="190">
        <f>'NME-1 Klorinasi Langsung'!K21</f>
        <v>0.0</v>
      </c>
      <c r="L8" s="190" t="inlineStr">
        <is>
          <t>-</t>
        </is>
      </c>
      <c r="M8" s="190" t="inlineStr">
        <is>
          <t>-</t>
        </is>
      </c>
      <c r="N8" s="190">
        <f>'NME-1 Klorinasi Langsung'!S21</f>
        <v>26.25804664787654</v>
      </c>
      <c r="O8" s="190">
        <f>'NME-1 Klorinasi Langsung'!O21</f>
        <v>0.0</v>
      </c>
      <c r="P8" s="190">
        <f>'NME-3 Kondensasi-Dekantasi'!C17</f>
        <v>0.0</v>
      </c>
      <c r="Q8" s="190">
        <f>'NME-2 Oksiklorinasi'!K20</f>
        <v>0.0</v>
      </c>
      <c r="R8" s="190">
        <f>'NME-2 Oksiklorinasi'!K20</f>
        <v>0.0</v>
      </c>
      <c r="S8" s="190">
        <f>'NME-2 Oksiklorinasi'!O20</f>
        <v>28.508388703155518</v>
      </c>
      <c r="T8" s="190" t="inlineStr">
        <is>
          <t>-</t>
        </is>
      </c>
      <c r="U8" s="190" t="inlineStr">
        <is>
          <t>-</t>
        </is>
      </c>
      <c r="V8" s="190" t="inlineStr">
        <is>
          <t>-</t>
        </is>
      </c>
      <c r="W8" s="190" t="inlineStr">
        <is>
          <t>-</t>
        </is>
      </c>
      <c r="X8" s="190" t="inlineStr">
        <is>
          <t>-</t>
        </is>
      </c>
      <c r="Y8" s="190" t="inlineStr">
        <is>
          <t>-</t>
        </is>
      </c>
      <c r="Z8" s="190">
        <f>'NME-3 Kondensasi-Dekantasi'!K17</f>
        <v>28.508388703155518</v>
      </c>
      <c r="AA8" s="190" t="inlineStr">
        <is>
          <t>-</t>
        </is>
      </c>
      <c r="AB8" s="190" t="inlineStr">
        <is>
          <t>-</t>
        </is>
      </c>
      <c r="AC8" s="190">
        <f>'NME-3 Kondensasi-Dekantasi'!O17</f>
        <v>0.0</v>
      </c>
      <c r="AD8" s="190">
        <f>'NME-3 Kondensasi-Dekantasi'!S17</f>
        <v>0.0</v>
      </c>
      <c r="AE8" s="190">
        <f>'NME-3 Kondensasi-Dekantasi'!S17</f>
        <v>0.0</v>
      </c>
      <c r="AF8" s="190">
        <f>'NME-4 Kolom Ringan'!C17</f>
        <v>0.0</v>
      </c>
      <c r="AG8" s="190">
        <f>'NME-4 Kolom Ringan'!K17</f>
        <v>0.0</v>
      </c>
      <c r="AH8" s="190">
        <f>'NME-4 Kolom Ringan'!O17</f>
        <v>0.0</v>
      </c>
      <c r="AI8" s="190">
        <f>'NME-5 Kolom Berat'!C17</f>
        <v>0.0</v>
      </c>
      <c r="AJ8" s="190">
        <f>'NME-5 Kolom Berat'!K17</f>
        <v>0.0</v>
      </c>
      <c r="AK8" s="190">
        <f>'NME-5 Kolom Berat'!G17</f>
        <v>0.0</v>
      </c>
      <c r="AL8" s="190">
        <f>'NME-5 Kolom Berat'!G17</f>
        <v>0.0</v>
      </c>
      <c r="AM8" s="190">
        <f>'NME-6 Pirolisis'!C15</f>
        <v>0.0</v>
      </c>
      <c r="AN8" s="190">
        <f>'NME-6 Pirolisis'!G15</f>
        <v>0.0</v>
      </c>
      <c r="AO8" s="190">
        <f>'NME-7 Kolom HCl'!C15</f>
        <v>0.0</v>
      </c>
      <c r="AP8" s="190">
        <f>'NME-7 Kolom HCl'!C15</f>
        <v>0.0</v>
      </c>
      <c r="AQ8" s="190">
        <f>'NME-7 Kolom HCl'!G15</f>
        <v>0.0</v>
      </c>
      <c r="AR8" s="190">
        <f>'NME-7 Kolom HCl'!G15</f>
        <v>0.0</v>
      </c>
      <c r="AS8" s="190">
        <f>'NME-2 Oksiklorinasi'!G20</f>
        <v>0.0</v>
      </c>
      <c r="AT8" s="190">
        <f>'NME-7 Kolom HCl'!K15</f>
        <v>0.0</v>
      </c>
      <c r="AU8" s="190">
        <f>'NME-8 Kolom VCM'!C16</f>
        <v>0.0</v>
      </c>
      <c r="AV8" s="190">
        <f>'NME-8 Kolom VCM'!G16</f>
        <v>0.0</v>
      </c>
      <c r="AW8" s="190">
        <f>'NME-8 Kolom VCM'!G16</f>
        <v>0.0</v>
      </c>
      <c r="AX8" s="190">
        <f>'NME-8 Kolom VCM'!K16</f>
        <v>0.0</v>
      </c>
      <c r="AY8" s="190">
        <f>'NME-8 Kolom VCM'!K16</f>
        <v>0.0</v>
      </c>
      <c r="AZ8" s="190">
        <f>'NME-4 Kolom Ringan'!G17</f>
        <v>0.0</v>
      </c>
    </row>
    <row r="9">
      <c r="A9" s="188" t="inlineStr">
        <is>
          <t>Methane</t>
        </is>
      </c>
      <c r="B9" s="190">
        <f>'NME-1 Klorinasi Langsung'!C22</f>
        <v>0.0</v>
      </c>
      <c r="C9" s="190">
        <f>'NME-1 Klorinasi Langsung'!C22</f>
        <v>0.0</v>
      </c>
      <c r="D9" s="190">
        <f>'NME-1 Klorinasi Langsung'!C22</f>
        <v>0.0</v>
      </c>
      <c r="E9" s="190">
        <f>'NME-1 Klorinasi Langsung'!G22+'NME-2 Oksiklorinasi'!C21</f>
        <v>2.7323201110250004</v>
      </c>
      <c r="F9" s="190">
        <f>'NME-1 Klorinasi Langsung'!G22+'NME-2 Oksiklorinasi'!C21</f>
        <v>2.7323201110250004</v>
      </c>
      <c r="G9" s="190">
        <f>'NME-1 Klorinasi Langsung'!G22+'NME-2 Oksiklorinasi'!C21</f>
        <v>2.7323201110250004</v>
      </c>
      <c r="H9" s="190">
        <f>'NME-1 Klorinasi Langsung'!G22</f>
        <v>1.4121638835275212</v>
      </c>
      <c r="I9" s="190">
        <f>'NME-1 Klorinasi Langsung'!G22</f>
        <v>1.4121638835275212</v>
      </c>
      <c r="J9" s="190">
        <f>'NME-2 Oksiklorinasi'!C21</f>
        <v>1.3201562274974794</v>
      </c>
      <c r="K9" s="190">
        <f>'NME-1 Klorinasi Langsung'!K22</f>
        <v>0.0</v>
      </c>
      <c r="L9" s="190" t="inlineStr">
        <is>
          <t>-</t>
        </is>
      </c>
      <c r="M9" s="190" t="inlineStr">
        <is>
          <t>-</t>
        </is>
      </c>
      <c r="N9" s="190">
        <f>'NME-1 Klorinasi Langsung'!S22</f>
        <v>1.4121638835275212</v>
      </c>
      <c r="O9" s="190">
        <f>'NME-1 Klorinasi Langsung'!O22</f>
        <v>0.0</v>
      </c>
      <c r="P9" s="190">
        <f>'NME-3 Kondensasi-Dekantasi'!C18</f>
        <v>0.0</v>
      </c>
      <c r="Q9" s="190">
        <f>'NME-2 Oksiklorinasi'!K21</f>
        <v>0.0</v>
      </c>
      <c r="R9" s="190">
        <f>'NME-2 Oksiklorinasi'!K21</f>
        <v>0.0</v>
      </c>
      <c r="S9" s="190">
        <f>'NME-2 Oksiklorinasi'!O21</f>
        <v>1.3201562274974794</v>
      </c>
      <c r="T9" s="190" t="inlineStr">
        <is>
          <t>-</t>
        </is>
      </c>
      <c r="U9" s="190" t="inlineStr">
        <is>
          <t>-</t>
        </is>
      </c>
      <c r="V9" s="190" t="inlineStr">
        <is>
          <t>-</t>
        </is>
      </c>
      <c r="W9" s="190" t="inlineStr">
        <is>
          <t>-</t>
        </is>
      </c>
      <c r="X9" s="190" t="inlineStr">
        <is>
          <t>-</t>
        </is>
      </c>
      <c r="Y9" s="190" t="inlineStr">
        <is>
          <t>-</t>
        </is>
      </c>
      <c r="Z9" s="190">
        <f>'NME-3 Kondensasi-Dekantasi'!K18</f>
        <v>1.3201562274974794</v>
      </c>
      <c r="AA9" s="190" t="inlineStr">
        <is>
          <t>-</t>
        </is>
      </c>
      <c r="AB9" s="190" t="inlineStr">
        <is>
          <t>-</t>
        </is>
      </c>
      <c r="AC9" s="190">
        <f>'NME-3 Kondensasi-Dekantasi'!O18</f>
        <v>0.0</v>
      </c>
      <c r="AD9" s="190">
        <f>'NME-3 Kondensasi-Dekantasi'!S18</f>
        <v>0.0</v>
      </c>
      <c r="AE9" s="190">
        <f>'NME-3 Kondensasi-Dekantasi'!S18</f>
        <v>0.0</v>
      </c>
      <c r="AF9" s="190">
        <f>'NME-4 Kolom Ringan'!C18</f>
        <v>0.0</v>
      </c>
      <c r="AG9" s="190">
        <f>'NME-4 Kolom Ringan'!K18</f>
        <v>0.0</v>
      </c>
      <c r="AH9" s="190">
        <f>'NME-4 Kolom Ringan'!O18</f>
        <v>0.0</v>
      </c>
      <c r="AI9" s="190">
        <f>'NME-5 Kolom Berat'!C18</f>
        <v>0.0</v>
      </c>
      <c r="AJ9" s="190">
        <f>'NME-5 Kolom Berat'!K18</f>
        <v>0.0</v>
      </c>
      <c r="AK9" s="190">
        <f>'NME-5 Kolom Berat'!G18</f>
        <v>0.0</v>
      </c>
      <c r="AL9" s="190">
        <f>'NME-5 Kolom Berat'!G18</f>
        <v>0.0</v>
      </c>
      <c r="AM9" s="190">
        <f>'NME-6 Pirolisis'!C16</f>
        <v>0.0</v>
      </c>
      <c r="AN9" s="190">
        <f>'NME-6 Pirolisis'!G16</f>
        <v>0.0</v>
      </c>
      <c r="AO9" s="190">
        <f>'NME-7 Kolom HCl'!C16</f>
        <v>0.0</v>
      </c>
      <c r="AP9" s="190">
        <f>'NME-7 Kolom HCl'!C16</f>
        <v>0.0</v>
      </c>
      <c r="AQ9" s="190">
        <f>'NME-7 Kolom HCl'!G16</f>
        <v>0.0</v>
      </c>
      <c r="AR9" s="190">
        <f>'NME-7 Kolom HCl'!G16</f>
        <v>0.0</v>
      </c>
      <c r="AS9" s="190">
        <f>'NME-2 Oksiklorinasi'!G21</f>
        <v>0.0</v>
      </c>
      <c r="AT9" s="190">
        <f>'NME-7 Kolom HCl'!K16</f>
        <v>0.0</v>
      </c>
      <c r="AU9" s="190">
        <f>'NME-8 Kolom VCM'!C17</f>
        <v>0.0</v>
      </c>
      <c r="AV9" s="190">
        <f>'NME-8 Kolom VCM'!G17</f>
        <v>0.0</v>
      </c>
      <c r="AW9" s="190">
        <f>'NME-8 Kolom VCM'!G17</f>
        <v>0.0</v>
      </c>
      <c r="AX9" s="190">
        <f>'NME-8 Kolom VCM'!K17</f>
        <v>0.0</v>
      </c>
      <c r="AY9" s="190">
        <f>'NME-8 Kolom VCM'!K17</f>
        <v>0.0</v>
      </c>
      <c r="AZ9" s="190">
        <f>'NME-4 Kolom Ringan'!G18</f>
        <v>0.0</v>
      </c>
    </row>
    <row r="10">
      <c r="A10" s="188" t="inlineStr">
        <is>
          <t>Ethane</t>
        </is>
      </c>
      <c r="B10" s="190">
        <f>'NME-1 Klorinasi Langsung'!C23</f>
        <v>0.0</v>
      </c>
      <c r="C10" s="190">
        <f>'NME-1 Klorinasi Langsung'!C23</f>
        <v>0.0</v>
      </c>
      <c r="D10" s="190">
        <f>'NME-1 Klorinasi Langsung'!C23</f>
        <v>0.0</v>
      </c>
      <c r="E10" s="190">
        <f>'NME-1 Klorinasi Langsung'!G23+'NME-2 Oksiklorinasi'!C22</f>
        <v>0.1491056758712641</v>
      </c>
      <c r="F10" s="190">
        <f>'NME-1 Klorinasi Langsung'!G23+'NME-2 Oksiklorinasi'!C22</f>
        <v>0.1491056758712641</v>
      </c>
      <c r="G10" s="190">
        <f>'NME-1 Klorinasi Langsung'!G23+'NME-2 Oksiklorinasi'!C22</f>
        <v>0.1491056758712641</v>
      </c>
      <c r="H10" s="190">
        <f>'NME-1 Klorinasi Langsung'!G23</f>
        <v>0.07706331679247136</v>
      </c>
      <c r="I10" s="190">
        <f>'NME-1 Klorinasi Langsung'!G23</f>
        <v>0.07706331679247136</v>
      </c>
      <c r="J10" s="190">
        <f>'NME-2 Oksiklorinasi'!C22</f>
        <v>0.07204235907879274</v>
      </c>
      <c r="K10" s="190">
        <f>'NME-1 Klorinasi Langsung'!K23</f>
        <v>0.0</v>
      </c>
      <c r="L10" s="190" t="inlineStr">
        <is>
          <t>-</t>
        </is>
      </c>
      <c r="M10" s="190" t="inlineStr">
        <is>
          <t>-</t>
        </is>
      </c>
      <c r="N10" s="190">
        <f>'NME-1 Klorinasi Langsung'!S23</f>
        <v>0.07706331679247136</v>
      </c>
      <c r="O10" s="190">
        <f>'NME-1 Klorinasi Langsung'!O23</f>
        <v>0.0</v>
      </c>
      <c r="P10" s="190">
        <f>'NME-3 Kondensasi-Dekantasi'!C19</f>
        <v>0.0</v>
      </c>
      <c r="Q10" s="190">
        <f>'NME-2 Oksiklorinasi'!K22</f>
        <v>0.0</v>
      </c>
      <c r="R10" s="190">
        <f>'NME-2 Oksiklorinasi'!K22</f>
        <v>0.0</v>
      </c>
      <c r="S10" s="190">
        <f>'NME-2 Oksiklorinasi'!O22</f>
        <v>0.07204235907879274</v>
      </c>
      <c r="T10" s="190" t="inlineStr">
        <is>
          <t>-</t>
        </is>
      </c>
      <c r="U10" s="190" t="inlineStr">
        <is>
          <t>-</t>
        </is>
      </c>
      <c r="V10" s="190" t="inlineStr">
        <is>
          <t>-</t>
        </is>
      </c>
      <c r="W10" s="190" t="inlineStr">
        <is>
          <t>-</t>
        </is>
      </c>
      <c r="X10" s="190" t="inlineStr">
        <is>
          <t>-</t>
        </is>
      </c>
      <c r="Y10" s="190" t="inlineStr">
        <is>
          <t>-</t>
        </is>
      </c>
      <c r="Z10" s="190">
        <f>'NME-3 Kondensasi-Dekantasi'!K19</f>
        <v>0.07204235907879274</v>
      </c>
      <c r="AA10" s="190" t="inlineStr">
        <is>
          <t>-</t>
        </is>
      </c>
      <c r="AB10" s="190" t="inlineStr">
        <is>
          <t>-</t>
        </is>
      </c>
      <c r="AC10" s="190">
        <f>'NME-3 Kondensasi-Dekantasi'!O19</f>
        <v>0.0</v>
      </c>
      <c r="AD10" s="190">
        <f>'NME-3 Kondensasi-Dekantasi'!S19</f>
        <v>0.0</v>
      </c>
      <c r="AE10" s="190">
        <f>'NME-3 Kondensasi-Dekantasi'!S19</f>
        <v>0.0</v>
      </c>
      <c r="AF10" s="190">
        <f>'NME-4 Kolom Ringan'!C19</f>
        <v>0.0</v>
      </c>
      <c r="AG10" s="190">
        <f>'NME-4 Kolom Ringan'!K19</f>
        <v>0.0</v>
      </c>
      <c r="AH10" s="190">
        <f>'NME-4 Kolom Ringan'!O19</f>
        <v>0.0</v>
      </c>
      <c r="AI10" s="190">
        <f>'NME-5 Kolom Berat'!C19</f>
        <v>0.0</v>
      </c>
      <c r="AJ10" s="190">
        <f>'NME-5 Kolom Berat'!K19</f>
        <v>0.0</v>
      </c>
      <c r="AK10" s="190">
        <f>'NME-5 Kolom Berat'!G19</f>
        <v>0.0</v>
      </c>
      <c r="AL10" s="190">
        <f>'NME-5 Kolom Berat'!G19</f>
        <v>0.0</v>
      </c>
      <c r="AM10" s="190">
        <f>'NME-6 Pirolisis'!C17</f>
        <v>0.0</v>
      </c>
      <c r="AN10" s="190">
        <f>'NME-6 Pirolisis'!G17</f>
        <v>0.0</v>
      </c>
      <c r="AO10" s="190">
        <f>'NME-7 Kolom HCl'!C17</f>
        <v>0.0</v>
      </c>
      <c r="AP10" s="190">
        <f>'NME-7 Kolom HCl'!C17</f>
        <v>0.0</v>
      </c>
      <c r="AQ10" s="190">
        <f>'NME-7 Kolom HCl'!G17</f>
        <v>0.0</v>
      </c>
      <c r="AR10" s="190">
        <f>'NME-7 Kolom HCl'!G17</f>
        <v>0.0</v>
      </c>
      <c r="AS10" s="190">
        <f>'NME-2 Oksiklorinasi'!G22</f>
        <v>0.0</v>
      </c>
      <c r="AT10" s="190">
        <f>'NME-7 Kolom HCl'!K17</f>
        <v>0.0</v>
      </c>
      <c r="AU10" s="190">
        <f>'NME-8 Kolom VCM'!C18</f>
        <v>0.0</v>
      </c>
      <c r="AV10" s="190">
        <f>'NME-8 Kolom VCM'!G18</f>
        <v>0.0</v>
      </c>
      <c r="AW10" s="190">
        <f>'NME-8 Kolom VCM'!G18</f>
        <v>0.0</v>
      </c>
      <c r="AX10" s="190">
        <f>'NME-8 Kolom VCM'!K18</f>
        <v>0.0</v>
      </c>
      <c r="AY10" s="190">
        <f>'NME-8 Kolom VCM'!K18</f>
        <v>0.0</v>
      </c>
      <c r="AZ10" s="190">
        <f>'NME-4 Kolom Ringan'!G19</f>
        <v>0.0</v>
      </c>
    </row>
    <row r="11">
      <c r="A11" s="188" t="inlineStr">
        <is>
          <t>Acetylene</t>
        </is>
      </c>
      <c r="B11" s="190">
        <f>'NME-1 Klorinasi Langsung'!C24</f>
        <v>0.0</v>
      </c>
      <c r="C11" s="190">
        <f>'NME-1 Klorinasi Langsung'!C24</f>
        <v>0.0</v>
      </c>
      <c r="D11" s="190">
        <f>'NME-1 Klorinasi Langsung'!C24</f>
        <v>0.0</v>
      </c>
      <c r="E11" s="190">
        <f>'NME-1 Klorinasi Langsung'!G24+'NME-2 Oksiklorinasi'!C23</f>
        <v>0.05710839784427929</v>
      </c>
      <c r="F11" s="190">
        <f>'NME-1 Klorinasi Langsung'!G24+'NME-2 Oksiklorinasi'!C23</f>
        <v>0.05710839784427929</v>
      </c>
      <c r="G11" s="190">
        <f>'NME-1 Klorinasi Langsung'!G24+'NME-2 Oksiklorinasi'!C23</f>
        <v>0.05710839784427929</v>
      </c>
      <c r="H11" s="190">
        <f>'NME-1 Klorinasi Langsung'!G24</f>
        <v>0.02951572788137131</v>
      </c>
      <c r="I11" s="190">
        <f>'NME-1 Klorinasi Langsung'!G24</f>
        <v>0.02951572788137131</v>
      </c>
      <c r="J11" s="190">
        <f>'NME-2 Oksiklorinasi'!C23</f>
        <v>0.027592669962907983</v>
      </c>
      <c r="K11" s="190">
        <f>'NME-1 Klorinasi Langsung'!K24</f>
        <v>0.0</v>
      </c>
      <c r="L11" s="190" t="inlineStr">
        <is>
          <t>-</t>
        </is>
      </c>
      <c r="M11" s="190" t="inlineStr">
        <is>
          <t>-</t>
        </is>
      </c>
      <c r="N11" s="190">
        <f>'NME-1 Klorinasi Langsung'!S24</f>
        <v>0.02951572788137131</v>
      </c>
      <c r="O11" s="190">
        <f>'NME-1 Klorinasi Langsung'!O24</f>
        <v>0.0</v>
      </c>
      <c r="P11" s="190">
        <f>'NME-3 Kondensasi-Dekantasi'!C20</f>
        <v>0.0</v>
      </c>
      <c r="Q11" s="190">
        <f>'NME-2 Oksiklorinasi'!K23</f>
        <v>0.0</v>
      </c>
      <c r="R11" s="190">
        <f>'NME-2 Oksiklorinasi'!K23</f>
        <v>0.0</v>
      </c>
      <c r="S11" s="190">
        <f>'NME-2 Oksiklorinasi'!O23</f>
        <v>0.027592669962907983</v>
      </c>
      <c r="T11" s="190" t="inlineStr">
        <is>
          <t>-</t>
        </is>
      </c>
      <c r="U11" s="190" t="inlineStr">
        <is>
          <t>-</t>
        </is>
      </c>
      <c r="V11" s="190" t="inlineStr">
        <is>
          <t>-</t>
        </is>
      </c>
      <c r="W11" s="190" t="inlineStr">
        <is>
          <t>-</t>
        </is>
      </c>
      <c r="X11" s="190" t="inlineStr">
        <is>
          <t>-</t>
        </is>
      </c>
      <c r="Y11" s="190" t="inlineStr">
        <is>
          <t>-</t>
        </is>
      </c>
      <c r="Z11" s="190">
        <f>'NME-3 Kondensasi-Dekantasi'!K20</f>
        <v>0.027592669962907983</v>
      </c>
      <c r="AA11" s="190" t="inlineStr">
        <is>
          <t>-</t>
        </is>
      </c>
      <c r="AB11" s="190" t="inlineStr">
        <is>
          <t>-</t>
        </is>
      </c>
      <c r="AC11" s="190">
        <f>'NME-3 Kondensasi-Dekantasi'!O20</f>
        <v>0.0</v>
      </c>
      <c r="AD11" s="190">
        <f>'NME-3 Kondensasi-Dekantasi'!S20</f>
        <v>0.0</v>
      </c>
      <c r="AE11" s="190">
        <f>'NME-3 Kondensasi-Dekantasi'!S20</f>
        <v>0.0</v>
      </c>
      <c r="AF11" s="190">
        <f>'NME-4 Kolom Ringan'!C20</f>
        <v>0.0</v>
      </c>
      <c r="AG11" s="190">
        <f>'NME-4 Kolom Ringan'!K20</f>
        <v>0.0</v>
      </c>
      <c r="AH11" s="190">
        <f>'NME-4 Kolom Ringan'!O20</f>
        <v>0.0</v>
      </c>
      <c r="AI11" s="190">
        <f>'NME-5 Kolom Berat'!C20</f>
        <v>0.0</v>
      </c>
      <c r="AJ11" s="190">
        <f>'NME-5 Kolom Berat'!K20</f>
        <v>0.0</v>
      </c>
      <c r="AK11" s="190">
        <f>'NME-5 Kolom Berat'!G20</f>
        <v>0.0</v>
      </c>
      <c r="AL11" s="190">
        <f>'NME-5 Kolom Berat'!G20</f>
        <v>0.0</v>
      </c>
      <c r="AM11" s="190">
        <f>'NME-6 Pirolisis'!C18</f>
        <v>0.0</v>
      </c>
      <c r="AN11" s="190">
        <f>'NME-6 Pirolisis'!G18</f>
        <v>0.0</v>
      </c>
      <c r="AO11" s="190">
        <f>'NME-7 Kolom HCl'!C18</f>
        <v>0.0</v>
      </c>
      <c r="AP11" s="190">
        <f>'NME-7 Kolom HCl'!C18</f>
        <v>0.0</v>
      </c>
      <c r="AQ11" s="190">
        <f>'NME-7 Kolom HCl'!G18</f>
        <v>0.0</v>
      </c>
      <c r="AR11" s="190">
        <f>'NME-7 Kolom HCl'!G18</f>
        <v>0.0</v>
      </c>
      <c r="AS11" s="190">
        <f>'NME-2 Oksiklorinasi'!G23</f>
        <v>0.0</v>
      </c>
      <c r="AT11" s="190">
        <f>'NME-7 Kolom HCl'!K18</f>
        <v>0.0</v>
      </c>
      <c r="AU11" s="190">
        <f>'NME-8 Kolom VCM'!C19</f>
        <v>0.0</v>
      </c>
      <c r="AV11" s="190">
        <f>'NME-8 Kolom VCM'!G19</f>
        <v>0.0</v>
      </c>
      <c r="AW11" s="190">
        <f>'NME-8 Kolom VCM'!G19</f>
        <v>0.0</v>
      </c>
      <c r="AX11" s="190">
        <f>'NME-8 Kolom VCM'!K19</f>
        <v>0.0</v>
      </c>
      <c r="AY11" s="190">
        <f>'NME-8 Kolom VCM'!K19</f>
        <v>0.0</v>
      </c>
      <c r="AZ11" s="190">
        <f>'NME-4 Kolom Ringan'!G20</f>
        <v>0.0</v>
      </c>
    </row>
    <row r="12">
      <c r="A12" s="188" t="inlineStr">
        <is>
          <t>Chlorine</t>
        </is>
      </c>
      <c r="B12" s="190">
        <f>'NME-1 Klorinasi Langsung'!C25</f>
        <v>15353.620243935302</v>
      </c>
      <c r="C12" s="190">
        <f>'NME-1 Klorinasi Langsung'!C25</f>
        <v>15353.620243935302</v>
      </c>
      <c r="D12" s="190">
        <f>'NME-1 Klorinasi Langsung'!C25</f>
        <v>15353.620243935302</v>
      </c>
      <c r="E12" s="190">
        <f>'NME-1 Klorinasi Langsung'!G25+'NME-2 Oksiklorinasi'!C24</f>
        <v>0.0</v>
      </c>
      <c r="F12" s="190">
        <f>'NME-1 Klorinasi Langsung'!G25+'NME-2 Oksiklorinasi'!C24</f>
        <v>0.0</v>
      </c>
      <c r="G12" s="190">
        <f>'NME-1 Klorinasi Langsung'!G25+'NME-2 Oksiklorinasi'!C24</f>
        <v>0.0</v>
      </c>
      <c r="H12" s="190">
        <f>'NME-1 Klorinasi Langsung'!G25</f>
        <v>0.0</v>
      </c>
      <c r="I12" s="190">
        <f>'NME-1 Klorinasi Langsung'!G25</f>
        <v>0.0</v>
      </c>
      <c r="J12" s="190">
        <f>'NME-2 Oksiklorinasi'!C24</f>
        <v>0.0</v>
      </c>
      <c r="K12" s="190">
        <f>'NME-1 Klorinasi Langsung'!K25</f>
        <v>0.0</v>
      </c>
      <c r="L12" s="190" t="inlineStr">
        <is>
          <t>-</t>
        </is>
      </c>
      <c r="M12" s="190" t="inlineStr">
        <is>
          <t>-</t>
        </is>
      </c>
      <c r="N12" s="190">
        <f>'NME-1 Klorinasi Langsung'!S25</f>
        <v>1.535362024393377</v>
      </c>
      <c r="O12" s="190">
        <f>'NME-1 Klorinasi Langsung'!O25</f>
        <v>0.0</v>
      </c>
      <c r="P12" s="190">
        <f>'NME-3 Kondensasi-Dekantasi'!C21</f>
        <v>0.0</v>
      </c>
      <c r="Q12" s="190">
        <f>'NME-2 Oksiklorinasi'!K24</f>
        <v>0.0</v>
      </c>
      <c r="R12" s="190">
        <f>'NME-2 Oksiklorinasi'!K24</f>
        <v>0.0</v>
      </c>
      <c r="S12" s="190">
        <f>'NME-2 Oksiklorinasi'!O24</f>
        <v>219.45229882203654</v>
      </c>
      <c r="T12" s="190" t="inlineStr">
        <is>
          <t>-</t>
        </is>
      </c>
      <c r="U12" s="190" t="inlineStr">
        <is>
          <t>-</t>
        </is>
      </c>
      <c r="V12" s="190" t="inlineStr">
        <is>
          <t>-</t>
        </is>
      </c>
      <c r="W12" s="190" t="inlineStr">
        <is>
          <t>-</t>
        </is>
      </c>
      <c r="X12" s="190" t="inlineStr">
        <is>
          <t>-</t>
        </is>
      </c>
      <c r="Y12" s="190" t="inlineStr">
        <is>
          <t>-</t>
        </is>
      </c>
      <c r="Z12" s="190">
        <f>'NME-3 Kondensasi-Dekantasi'!K21</f>
        <v>219.45229882203654</v>
      </c>
      <c r="AA12" s="190" t="inlineStr">
        <is>
          <t>-</t>
        </is>
      </c>
      <c r="AB12" s="190" t="inlineStr">
        <is>
          <t>-</t>
        </is>
      </c>
      <c r="AC12" s="190">
        <f>'NME-3 Kondensasi-Dekantasi'!O21</f>
        <v>0.0</v>
      </c>
      <c r="AD12" s="190">
        <f>'NME-3 Kondensasi-Dekantasi'!S21</f>
        <v>0.0</v>
      </c>
      <c r="AE12" s="190">
        <f>'NME-3 Kondensasi-Dekantasi'!S21</f>
        <v>0.0</v>
      </c>
      <c r="AF12" s="190">
        <f>'NME-4 Kolom Ringan'!C21</f>
        <v>0.0</v>
      </c>
      <c r="AG12" s="190">
        <f>'NME-4 Kolom Ringan'!K21</f>
        <v>0.0</v>
      </c>
      <c r="AH12" s="190">
        <f>'NME-4 Kolom Ringan'!O21</f>
        <v>0.0</v>
      </c>
      <c r="AI12" s="190">
        <f>'NME-5 Kolom Berat'!C21</f>
        <v>0.0</v>
      </c>
      <c r="AJ12" s="190">
        <f>'NME-5 Kolom Berat'!K21</f>
        <v>0.0</v>
      </c>
      <c r="AK12" s="190">
        <f>'NME-5 Kolom Berat'!G21</f>
        <v>0.0</v>
      </c>
      <c r="AL12" s="190">
        <f>'NME-5 Kolom Berat'!G21</f>
        <v>0.0</v>
      </c>
      <c r="AM12" s="190">
        <f>'NME-6 Pirolisis'!C19</f>
        <v>0.0</v>
      </c>
      <c r="AN12" s="190">
        <f>'NME-6 Pirolisis'!G19</f>
        <v>219.45229882203654</v>
      </c>
      <c r="AO12" s="190">
        <f>'NME-7 Kolom HCl'!C19</f>
        <v>219.45229882203654</v>
      </c>
      <c r="AP12" s="190">
        <f>'NME-7 Kolom HCl'!C19</f>
        <v>219.45229882203654</v>
      </c>
      <c r="AQ12" s="190">
        <f>'NME-7 Kolom HCl'!G19</f>
        <v>219.45229882203654</v>
      </c>
      <c r="AR12" s="190">
        <f>'NME-7 Kolom HCl'!G19</f>
        <v>219.45229882203654</v>
      </c>
      <c r="AS12" s="190">
        <f>'NME-2 Oksiklorinasi'!G24</f>
        <v>219.45229882203654</v>
      </c>
      <c r="AT12" s="190">
        <f>'NME-7 Kolom HCl'!K19</f>
        <v>0.0</v>
      </c>
      <c r="AU12" s="190">
        <f>'NME-8 Kolom VCM'!C20</f>
        <v>0.0</v>
      </c>
      <c r="AV12" s="190">
        <f>'NME-8 Kolom VCM'!G20</f>
        <v>0.0</v>
      </c>
      <c r="AW12" s="190">
        <f>'NME-8 Kolom VCM'!G20</f>
        <v>0.0</v>
      </c>
      <c r="AX12" s="190">
        <f>'NME-8 Kolom VCM'!K20</f>
        <v>0.0</v>
      </c>
      <c r="AY12" s="190">
        <f>'NME-8 Kolom VCM'!K20</f>
        <v>0.0</v>
      </c>
      <c r="AZ12" s="190">
        <f>'NME-4 Kolom Ringan'!G21</f>
        <v>0.0</v>
      </c>
    </row>
    <row r="13">
      <c r="A13" s="188" t="inlineStr">
        <is>
          <t>CₙHₘ</t>
        </is>
      </c>
      <c r="B13" s="190">
        <f>'NME-1 Klorinasi Langsung'!C26</f>
        <v>0.06150852751431059</v>
      </c>
      <c r="C13" s="190">
        <f>'NME-1 Klorinasi Langsung'!C26</f>
        <v>0.06150852751431059</v>
      </c>
      <c r="D13" s="190">
        <f>'NME-1 Klorinasi Langsung'!C26</f>
        <v>0.06150852751431059</v>
      </c>
      <c r="E13" s="190">
        <f>'NME-1 Klorinasi Langsung'!G26+'NME-2 Oksiklorinasi'!C25</f>
        <v>0.0</v>
      </c>
      <c r="F13" s="190">
        <f>'NME-1 Klorinasi Langsung'!G26+'NME-2 Oksiklorinasi'!C25</f>
        <v>0.0</v>
      </c>
      <c r="G13" s="190">
        <f>'NME-1 Klorinasi Langsung'!G26+'NME-2 Oksiklorinasi'!C25</f>
        <v>0.0</v>
      </c>
      <c r="H13" s="190">
        <f>'NME-1 Klorinasi Langsung'!G26</f>
        <v>0.0</v>
      </c>
      <c r="I13" s="190">
        <f>'NME-1 Klorinasi Langsung'!G26</f>
        <v>0.0</v>
      </c>
      <c r="J13" s="190">
        <f>'NME-2 Oksiklorinasi'!C25</f>
        <v>0.0</v>
      </c>
      <c r="K13" s="190">
        <f>'NME-1 Klorinasi Langsung'!K26</f>
        <v>0.0</v>
      </c>
      <c r="L13" s="190" t="inlineStr">
        <is>
          <t>-</t>
        </is>
      </c>
      <c r="M13" s="190" t="inlineStr">
        <is>
          <t>-</t>
        </is>
      </c>
      <c r="N13" s="190">
        <f>'NME-1 Klorinasi Langsung'!S26</f>
        <v>0.06150852751431059</v>
      </c>
      <c r="O13" s="190">
        <f>'NME-1 Klorinasi Langsung'!O26</f>
        <v>0.0</v>
      </c>
      <c r="P13" s="190">
        <f>'NME-3 Kondensasi-Dekantasi'!C22</f>
        <v>0.0</v>
      </c>
      <c r="Q13" s="190">
        <f>'NME-2 Oksiklorinasi'!K25</f>
        <v>0.0</v>
      </c>
      <c r="R13" s="190">
        <f>'NME-2 Oksiklorinasi'!K25</f>
        <v>0.0</v>
      </c>
      <c r="S13" s="190">
        <f>'NME-2 Oksiklorinasi'!O25</f>
        <v>0.0</v>
      </c>
      <c r="T13" s="190" t="inlineStr">
        <is>
          <t>-</t>
        </is>
      </c>
      <c r="U13" s="190" t="inlineStr">
        <is>
          <t>-</t>
        </is>
      </c>
      <c r="V13" s="190" t="inlineStr">
        <is>
          <t>-</t>
        </is>
      </c>
      <c r="W13" s="190" t="inlineStr">
        <is>
          <t>-</t>
        </is>
      </c>
      <c r="X13" s="190" t="inlineStr">
        <is>
          <t>-</t>
        </is>
      </c>
      <c r="Y13" s="190" t="inlineStr">
        <is>
          <t>-</t>
        </is>
      </c>
      <c r="Z13" s="190">
        <f>'NME-3 Kondensasi-Dekantasi'!K22</f>
        <v>0.0</v>
      </c>
      <c r="AA13" s="190" t="inlineStr">
        <is>
          <t>-</t>
        </is>
      </c>
      <c r="AB13" s="190" t="inlineStr">
        <is>
          <t>-</t>
        </is>
      </c>
      <c r="AC13" s="190">
        <f>'NME-3 Kondensasi-Dekantasi'!O22</f>
        <v>0.0</v>
      </c>
      <c r="AD13" s="190">
        <f>'NME-3 Kondensasi-Dekantasi'!S22</f>
        <v>0.0</v>
      </c>
      <c r="AE13" s="190">
        <f>'NME-3 Kondensasi-Dekantasi'!S22</f>
        <v>0.0</v>
      </c>
      <c r="AF13" s="190">
        <f>'NME-4 Kolom Ringan'!C22</f>
        <v>0.0</v>
      </c>
      <c r="AG13" s="190">
        <f>'NME-4 Kolom Ringan'!K22</f>
        <v>0.0</v>
      </c>
      <c r="AH13" s="190">
        <f>'NME-4 Kolom Ringan'!O22</f>
        <v>0.0</v>
      </c>
      <c r="AI13" s="190">
        <f>'NME-5 Kolom Berat'!C22</f>
        <v>0.0</v>
      </c>
      <c r="AJ13" s="190">
        <f>'NME-5 Kolom Berat'!K22</f>
        <v>0.0</v>
      </c>
      <c r="AK13" s="190">
        <f>'NME-5 Kolom Berat'!G22</f>
        <v>0.0</v>
      </c>
      <c r="AL13" s="190">
        <f>'NME-5 Kolom Berat'!G22</f>
        <v>0.0</v>
      </c>
      <c r="AM13" s="190">
        <f>'NME-6 Pirolisis'!C20</f>
        <v>0.0</v>
      </c>
      <c r="AN13" s="190">
        <f>'NME-6 Pirolisis'!G20</f>
        <v>0.0</v>
      </c>
      <c r="AO13" s="190">
        <f>'NME-7 Kolom HCl'!C20</f>
        <v>0.0</v>
      </c>
      <c r="AP13" s="190">
        <f>'NME-7 Kolom HCl'!C20</f>
        <v>0.0</v>
      </c>
      <c r="AQ13" s="190">
        <f>'NME-7 Kolom HCl'!G20</f>
        <v>0.0</v>
      </c>
      <c r="AR13" s="190">
        <f>'NME-7 Kolom HCl'!G20</f>
        <v>0.0</v>
      </c>
      <c r="AS13" s="190">
        <f>'NME-2 Oksiklorinasi'!G25</f>
        <v>0.0</v>
      </c>
      <c r="AT13" s="190">
        <f>'NME-7 Kolom HCl'!K20</f>
        <v>0.0</v>
      </c>
      <c r="AU13" s="190">
        <f>'NME-8 Kolom VCM'!C21</f>
        <v>0.0</v>
      </c>
      <c r="AV13" s="190">
        <f>'NME-8 Kolom VCM'!G21</f>
        <v>0.0</v>
      </c>
      <c r="AW13" s="190">
        <f>'NME-8 Kolom VCM'!G21</f>
        <v>0.0</v>
      </c>
      <c r="AX13" s="190">
        <f>'NME-8 Kolom VCM'!K21</f>
        <v>0.0</v>
      </c>
      <c r="AY13" s="190">
        <f>'NME-8 Kolom VCM'!K21</f>
        <v>0.0</v>
      </c>
      <c r="AZ13" s="190">
        <f>'NME-4 Kolom Ringan'!G22</f>
        <v>0.0</v>
      </c>
    </row>
    <row r="14">
      <c r="A14" s="188" t="inlineStr">
        <is>
          <t>Water</t>
        </is>
      </c>
      <c r="B14" s="190">
        <f>'NME-1 Klorinasi Langsung'!C27</f>
        <v>0.18452558254293175</v>
      </c>
      <c r="C14" s="190">
        <f>'NME-1 Klorinasi Langsung'!C27</f>
        <v>0.18452558254293175</v>
      </c>
      <c r="D14" s="190">
        <f>'NME-1 Klorinasi Langsung'!C27</f>
        <v>0.18452558254293175</v>
      </c>
      <c r="E14" s="190">
        <f>'NME-1 Klorinasi Langsung'!G27+'NME-2 Oksiklorinasi'!C26</f>
        <v>0.0</v>
      </c>
      <c r="F14" s="190">
        <f>'NME-1 Klorinasi Langsung'!G27+'NME-2 Oksiklorinasi'!C26</f>
        <v>0.0</v>
      </c>
      <c r="G14" s="190">
        <f>'NME-1 Klorinasi Langsung'!G27+'NME-2 Oksiklorinasi'!C26</f>
        <v>0.0</v>
      </c>
      <c r="H14" s="190">
        <f>'NME-1 Klorinasi Langsung'!G27</f>
        <v>0.0</v>
      </c>
      <c r="I14" s="190">
        <f>'NME-1 Klorinasi Langsung'!G27</f>
        <v>0.0</v>
      </c>
      <c r="J14" s="190">
        <f>'NME-2 Oksiklorinasi'!C26</f>
        <v>0.0</v>
      </c>
      <c r="K14" s="190">
        <f>'NME-1 Klorinasi Langsung'!K27</f>
        <v>0.0</v>
      </c>
      <c r="L14" s="190" t="inlineStr">
        <is>
          <t>-</t>
        </is>
      </c>
      <c r="M14" s="190" t="inlineStr">
        <is>
          <t>-</t>
        </is>
      </c>
      <c r="N14" s="190">
        <f>'NME-1 Klorinasi Langsung'!S27</f>
        <v>0.0</v>
      </c>
      <c r="O14" s="190">
        <f>'NME-1 Klorinasi Langsung'!O27</f>
        <v>0.18452558254293175</v>
      </c>
      <c r="P14" s="190">
        <f>'NME-3 Kondensasi-Dekantasi'!C23</f>
        <v>0.18452558254293175</v>
      </c>
      <c r="Q14" s="190">
        <f>'NME-2 Oksiklorinasi'!K26</f>
        <v>0.0</v>
      </c>
      <c r="R14" s="190">
        <f>'NME-2 Oksiklorinasi'!K26</f>
        <v>0.0</v>
      </c>
      <c r="S14" s="190">
        <f>'NME-2 Oksiklorinasi'!O26</f>
        <v>3632.0666821664117</v>
      </c>
      <c r="T14" s="190" t="inlineStr">
        <is>
          <t>-</t>
        </is>
      </c>
      <c r="U14" s="190" t="inlineStr">
        <is>
          <t>-</t>
        </is>
      </c>
      <c r="V14" s="190" t="inlineStr">
        <is>
          <t>-</t>
        </is>
      </c>
      <c r="W14" s="190" t="inlineStr">
        <is>
          <t>-</t>
        </is>
      </c>
      <c r="X14" s="190" t="inlineStr">
        <is>
          <t>-</t>
        </is>
      </c>
      <c r="Y14" s="190" t="inlineStr">
        <is>
          <t>-</t>
        </is>
      </c>
      <c r="Z14" s="190">
        <f>'NME-3 Kondensasi-Dekantasi'!K23</f>
        <v>0.0</v>
      </c>
      <c r="AA14" s="190" t="inlineStr">
        <is>
          <t>-</t>
        </is>
      </c>
      <c r="AB14" s="190" t="inlineStr">
        <is>
          <t>-</t>
        </is>
      </c>
      <c r="AC14" s="190">
        <f>'NME-3 Kondensasi-Dekantasi'!O23</f>
        <v>3549.818993766917</v>
      </c>
      <c r="AD14" s="190">
        <f>'NME-3 Kondensasi-Dekantasi'!S23</f>
        <v>82.43221398205901</v>
      </c>
      <c r="AE14" s="190">
        <f>'NME-3 Kondensasi-Dekantasi'!S23</f>
        <v>82.43221398205901</v>
      </c>
      <c r="AF14" s="190">
        <f>'NME-4 Kolom Ringan'!C23</f>
        <v>82.43221398205901</v>
      </c>
      <c r="AG14" s="190">
        <f>'NME-4 Kolom Ringan'!K23</f>
        <v>82.43221398205901</v>
      </c>
      <c r="AH14" s="190">
        <f>'NME-4 Kolom Ringan'!O23</f>
        <v>2.614266409950987</v>
      </c>
      <c r="AI14" s="190">
        <f>'NME-5 Kolom Berat'!C23</f>
        <v>2.614266409950987</v>
      </c>
      <c r="AJ14" s="190">
        <f>'NME-5 Kolom Berat'!K23</f>
        <v>0.0</v>
      </c>
      <c r="AK14" s="190">
        <f>'NME-5 Kolom Berat'!G23</f>
        <v>2.614266409950987</v>
      </c>
      <c r="AL14" s="190">
        <f>'NME-5 Kolom Berat'!G23</f>
        <v>2.614266409950987</v>
      </c>
      <c r="AM14" s="190">
        <f>'NME-6 Pirolisis'!C21</f>
        <v>2.614266409950987</v>
      </c>
      <c r="AN14" s="190">
        <f>'NME-6 Pirolisis'!G21</f>
        <v>2.614266409950987</v>
      </c>
      <c r="AO14" s="190">
        <f>'NME-7 Kolom HCl'!C21</f>
        <v>2.614266409950987</v>
      </c>
      <c r="AP14" s="190">
        <f>'NME-7 Kolom HCl'!C21</f>
        <v>2.614266409950987</v>
      </c>
      <c r="AQ14" s="190">
        <f>'NME-7 Kolom HCl'!G21</f>
        <v>0.0</v>
      </c>
      <c r="AR14" s="190">
        <f>'NME-7 Kolom HCl'!G21</f>
        <v>0.0</v>
      </c>
      <c r="AS14" s="190">
        <f>'NME-2 Oksiklorinasi'!G26</f>
        <v>0.0</v>
      </c>
      <c r="AT14" s="190">
        <f>'NME-7 Kolom HCl'!K21</f>
        <v>2.614266409950987</v>
      </c>
      <c r="AU14" s="190">
        <f>'NME-8 Kolom VCM'!C22</f>
        <v>2.614266409950987</v>
      </c>
      <c r="AV14" s="190">
        <f>'NME-8 Kolom VCM'!G22</f>
        <v>0.0</v>
      </c>
      <c r="AW14" s="190">
        <f>'NME-8 Kolom VCM'!G22</f>
        <v>0.0</v>
      </c>
      <c r="AX14" s="190">
        <f>'NME-8 Kolom VCM'!K22</f>
        <v>2.6142664099510515</v>
      </c>
      <c r="AY14" s="190">
        <f>'NME-8 Kolom VCM'!K22</f>
        <v>2.6142664099510515</v>
      </c>
      <c r="AZ14" s="190">
        <f>'NME-4 Kolom Ringan'!G23</f>
        <v>2.614266409950987</v>
      </c>
    </row>
    <row r="15">
      <c r="A15" s="188" t="inlineStr">
        <is>
          <t>CₓHᵧCl</t>
        </is>
      </c>
      <c r="B15" s="190">
        <f>'NME-1 Klorinasi Langsung'!C28</f>
        <v>0.12301705502862118</v>
      </c>
      <c r="C15" s="190">
        <f>'NME-1 Klorinasi Langsung'!C28</f>
        <v>0.12301705502862118</v>
      </c>
      <c r="D15" s="190">
        <f>'NME-1 Klorinasi Langsung'!C28</f>
        <v>0.12301705502862118</v>
      </c>
      <c r="E15" s="190">
        <f>'NME-1 Klorinasi Langsung'!G28+'NME-2 Oksiklorinasi'!C27</f>
        <v>0.0</v>
      </c>
      <c r="F15" s="190">
        <f>'NME-1 Klorinasi Langsung'!G28+'NME-2 Oksiklorinasi'!C27</f>
        <v>0.0</v>
      </c>
      <c r="G15" s="190">
        <f>'NME-1 Klorinasi Langsung'!G28+'NME-2 Oksiklorinasi'!C27</f>
        <v>0.0</v>
      </c>
      <c r="H15" s="190">
        <f>'NME-1 Klorinasi Langsung'!G28</f>
        <v>0.0</v>
      </c>
      <c r="I15" s="190">
        <f>'NME-1 Klorinasi Langsung'!G28</f>
        <v>0.0</v>
      </c>
      <c r="J15" s="190">
        <f>'NME-2 Oksiklorinasi'!C27</f>
        <v>0.0</v>
      </c>
      <c r="K15" s="190">
        <f>'NME-1 Klorinasi Langsung'!K28</f>
        <v>0.0</v>
      </c>
      <c r="L15" s="190" t="inlineStr">
        <is>
          <t>-</t>
        </is>
      </c>
      <c r="M15" s="190" t="inlineStr">
        <is>
          <t>-</t>
        </is>
      </c>
      <c r="N15" s="190">
        <f>'NME-1 Klorinasi Langsung'!S28</f>
        <v>0.12301705502862118</v>
      </c>
      <c r="O15" s="190">
        <f>'NME-1 Klorinasi Langsung'!O28</f>
        <v>0.0</v>
      </c>
      <c r="P15" s="190">
        <f>'NME-3 Kondensasi-Dekantasi'!C24</f>
        <v>0.0</v>
      </c>
      <c r="Q15" s="190">
        <f>'NME-2 Oksiklorinasi'!K27</f>
        <v>0.0</v>
      </c>
      <c r="R15" s="190">
        <f>'NME-2 Oksiklorinasi'!K27</f>
        <v>0.0</v>
      </c>
      <c r="S15" s="190">
        <f>'NME-2 Oksiklorinasi'!O27</f>
        <v>0.0</v>
      </c>
      <c r="T15" s="190" t="inlineStr">
        <is>
          <t>-</t>
        </is>
      </c>
      <c r="U15" s="190" t="inlineStr">
        <is>
          <t>-</t>
        </is>
      </c>
      <c r="V15" s="190" t="inlineStr">
        <is>
          <t>-</t>
        </is>
      </c>
      <c r="W15" s="190" t="inlineStr">
        <is>
          <t>-</t>
        </is>
      </c>
      <c r="X15" s="190" t="inlineStr">
        <is>
          <t>-</t>
        </is>
      </c>
      <c r="Y15" s="190" t="inlineStr">
        <is>
          <t>-</t>
        </is>
      </c>
      <c r="Z15" s="190">
        <f>'NME-3 Kondensasi-Dekantasi'!K24</f>
        <v>0.0</v>
      </c>
      <c r="AA15" s="190" t="inlineStr">
        <is>
          <t>-</t>
        </is>
      </c>
      <c r="AB15" s="190" t="inlineStr">
        <is>
          <t>-</t>
        </is>
      </c>
      <c r="AC15" s="190">
        <f>'NME-3 Kondensasi-Dekantasi'!O24</f>
        <v>0.0</v>
      </c>
      <c r="AD15" s="190">
        <f>'NME-3 Kondensasi-Dekantasi'!S24</f>
        <v>0.0</v>
      </c>
      <c r="AE15" s="190">
        <f>'NME-3 Kondensasi-Dekantasi'!S24</f>
        <v>0.0</v>
      </c>
      <c r="AF15" s="190">
        <f>'NME-4 Kolom Ringan'!C24</f>
        <v>0.0</v>
      </c>
      <c r="AG15" s="190">
        <f>'NME-4 Kolom Ringan'!K24</f>
        <v>0.0</v>
      </c>
      <c r="AH15" s="190">
        <f>'NME-4 Kolom Ringan'!O24</f>
        <v>0.0</v>
      </c>
      <c r="AI15" s="190">
        <f>'NME-5 Kolom Berat'!C24</f>
        <v>0.0</v>
      </c>
      <c r="AJ15" s="190">
        <f>'NME-5 Kolom Berat'!K24</f>
        <v>0.0</v>
      </c>
      <c r="AK15" s="190">
        <f>'NME-5 Kolom Berat'!G24</f>
        <v>0.0</v>
      </c>
      <c r="AL15" s="190">
        <f>'NME-5 Kolom Berat'!G24</f>
        <v>0.0</v>
      </c>
      <c r="AM15" s="190">
        <f>'NME-6 Pirolisis'!C22</f>
        <v>0.0</v>
      </c>
      <c r="AN15" s="190">
        <f>'NME-6 Pirolisis'!G22</f>
        <v>0.0</v>
      </c>
      <c r="AO15" s="190">
        <f>'NME-7 Kolom HCl'!C22</f>
        <v>0.0</v>
      </c>
      <c r="AP15" s="190">
        <f>'NME-7 Kolom HCl'!C22</f>
        <v>0.0</v>
      </c>
      <c r="AQ15" s="190">
        <f>'NME-7 Kolom HCl'!G22</f>
        <v>0.0</v>
      </c>
      <c r="AR15" s="190">
        <f>'NME-7 Kolom HCl'!G22</f>
        <v>0.0</v>
      </c>
      <c r="AS15" s="190">
        <f>'NME-2 Oksiklorinasi'!G27</f>
        <v>0.0</v>
      </c>
      <c r="AT15" s="190">
        <f>'NME-7 Kolom HCl'!K22</f>
        <v>0.0</v>
      </c>
      <c r="AU15" s="190">
        <f>'NME-8 Kolom VCM'!C23</f>
        <v>0.0</v>
      </c>
      <c r="AV15" s="190">
        <f>'NME-8 Kolom VCM'!G23</f>
        <v>0.0</v>
      </c>
      <c r="AW15" s="190">
        <f>'NME-8 Kolom VCM'!G23</f>
        <v>0.0</v>
      </c>
      <c r="AX15" s="190">
        <f>'NME-8 Kolom VCM'!K23</f>
        <v>0.0</v>
      </c>
      <c r="AY15" s="190">
        <f>'NME-8 Kolom VCM'!K23</f>
        <v>0.0</v>
      </c>
      <c r="AZ15" s="190">
        <f>'NME-4 Kolom Ringan'!G24</f>
        <v>0.0</v>
      </c>
    </row>
    <row r="16">
      <c r="A16" s="188" t="inlineStr">
        <is>
          <t>Bromine</t>
        </is>
      </c>
      <c r="B16" s="190">
        <f>'NME-1 Klorinasi Langsung'!C29</f>
        <v>1.3839418690719882</v>
      </c>
      <c r="C16" s="190">
        <f>'NME-1 Klorinasi Langsung'!C29</f>
        <v>1.3839418690719882</v>
      </c>
      <c r="D16" s="190">
        <f>'NME-1 Klorinasi Langsung'!C29</f>
        <v>1.3839418690719882</v>
      </c>
      <c r="E16" s="190">
        <f>'NME-1 Klorinasi Langsung'!G29+'NME-2 Oksiklorinasi'!C28</f>
        <v>0.0</v>
      </c>
      <c r="F16" s="190">
        <f>'NME-1 Klorinasi Langsung'!G29+'NME-2 Oksiklorinasi'!C28</f>
        <v>0.0</v>
      </c>
      <c r="G16" s="190">
        <f>'NME-1 Klorinasi Langsung'!G29+'NME-2 Oksiklorinasi'!C28</f>
        <v>0.0</v>
      </c>
      <c r="H16" s="190">
        <f>'NME-1 Klorinasi Langsung'!G29</f>
        <v>0.0</v>
      </c>
      <c r="I16" s="190">
        <f>'NME-1 Klorinasi Langsung'!G29</f>
        <v>0.0</v>
      </c>
      <c r="J16" s="190">
        <f>'NME-2 Oksiklorinasi'!C28</f>
        <v>0.0</v>
      </c>
      <c r="K16" s="190">
        <f>'NME-1 Klorinasi Langsung'!K29</f>
        <v>0.0</v>
      </c>
      <c r="L16" s="190" t="inlineStr">
        <is>
          <t>-</t>
        </is>
      </c>
      <c r="M16" s="190" t="inlineStr">
        <is>
          <t>-</t>
        </is>
      </c>
      <c r="N16" s="190">
        <f>'NME-1 Klorinasi Langsung'!S29</f>
        <v>0.0</v>
      </c>
      <c r="O16" s="190">
        <f>'NME-1 Klorinasi Langsung'!O29</f>
        <v>1.3839418690719882</v>
      </c>
      <c r="P16" s="190">
        <f>'NME-3 Kondensasi-Dekantasi'!C25</f>
        <v>1.3839418690719882</v>
      </c>
      <c r="Q16" s="190">
        <f>'NME-2 Oksiklorinasi'!K28</f>
        <v>0.0</v>
      </c>
      <c r="R16" s="190">
        <f>'NME-2 Oksiklorinasi'!K28</f>
        <v>0.0</v>
      </c>
      <c r="S16" s="190">
        <f>'NME-2 Oksiklorinasi'!O28</f>
        <v>0.0</v>
      </c>
      <c r="T16" s="190" t="inlineStr">
        <is>
          <t>-</t>
        </is>
      </c>
      <c r="U16" s="190" t="inlineStr">
        <is>
          <t>-</t>
        </is>
      </c>
      <c r="V16" s="190" t="inlineStr">
        <is>
          <t>-</t>
        </is>
      </c>
      <c r="W16" s="190" t="inlineStr">
        <is>
          <t>-</t>
        </is>
      </c>
      <c r="X16" s="190" t="inlineStr">
        <is>
          <t>-</t>
        </is>
      </c>
      <c r="Y16" s="190" t="inlineStr">
        <is>
          <t>-</t>
        </is>
      </c>
      <c r="Z16" s="190">
        <f>'NME-3 Kondensasi-Dekantasi'!K25</f>
        <v>0.0</v>
      </c>
      <c r="AA16" s="190" t="inlineStr">
        <is>
          <t>-</t>
        </is>
      </c>
      <c r="AB16" s="190" t="inlineStr">
        <is>
          <t>-</t>
        </is>
      </c>
      <c r="AC16" s="190">
        <f>'NME-3 Kondensasi-Dekantasi'!O25</f>
        <v>0.0</v>
      </c>
      <c r="AD16" s="190">
        <f>'NME-3 Kondensasi-Dekantasi'!S25</f>
        <v>1.3839418690720067</v>
      </c>
      <c r="AE16" s="190">
        <f>'NME-3 Kondensasi-Dekantasi'!S25</f>
        <v>1.3839418690720067</v>
      </c>
      <c r="AF16" s="190">
        <f>'NME-4 Kolom Ringan'!C25</f>
        <v>1.3839418690719882</v>
      </c>
      <c r="AG16" s="190">
        <f>'NME-4 Kolom Ringan'!K25</f>
        <v>1.3839418690719882</v>
      </c>
      <c r="AH16" s="190">
        <f>'NME-4 Kolom Ringan'!O25</f>
        <v>0.0</v>
      </c>
      <c r="AI16" s="190">
        <f>'NME-5 Kolom Berat'!C25</f>
        <v>0.0</v>
      </c>
      <c r="AJ16" s="190">
        <f>'NME-5 Kolom Berat'!K25</f>
        <v>0.0</v>
      </c>
      <c r="AK16" s="190">
        <f>'NME-5 Kolom Berat'!G25</f>
        <v>0.0</v>
      </c>
      <c r="AL16" s="190">
        <f>'NME-5 Kolom Berat'!G25</f>
        <v>0.0</v>
      </c>
      <c r="AM16" s="190">
        <f>'NME-6 Pirolisis'!C23</f>
        <v>0.0</v>
      </c>
      <c r="AN16" s="190">
        <f>'NME-6 Pirolisis'!G23</f>
        <v>0.0</v>
      </c>
      <c r="AO16" s="190">
        <f>'NME-7 Kolom HCl'!C23</f>
        <v>0.0</v>
      </c>
      <c r="AP16" s="190">
        <f>'NME-7 Kolom HCl'!C23</f>
        <v>0.0</v>
      </c>
      <c r="AQ16" s="190">
        <f>'NME-7 Kolom HCl'!G23</f>
        <v>0.0</v>
      </c>
      <c r="AR16" s="190">
        <f>'NME-7 Kolom HCl'!G23</f>
        <v>0.0</v>
      </c>
      <c r="AS16" s="190">
        <f>'NME-2 Oksiklorinasi'!G28</f>
        <v>0.0</v>
      </c>
      <c r="AT16" s="190">
        <f>'NME-7 Kolom HCl'!K23</f>
        <v>0.0</v>
      </c>
      <c r="AU16" s="190">
        <f>'NME-8 Kolom VCM'!C24</f>
        <v>0.0</v>
      </c>
      <c r="AV16" s="190">
        <f>'NME-8 Kolom VCM'!G24</f>
        <v>0.0</v>
      </c>
      <c r="AW16" s="190">
        <f>'NME-8 Kolom VCM'!G24</f>
        <v>0.0</v>
      </c>
      <c r="AX16" s="190">
        <f>'NME-8 Kolom VCM'!K24</f>
        <v>0.0</v>
      </c>
      <c r="AY16" s="190">
        <f>'NME-8 Kolom VCM'!K24</f>
        <v>0.0</v>
      </c>
      <c r="AZ16" s="190">
        <f>'NME-4 Kolom Ringan'!G25</f>
        <v>0.0</v>
      </c>
    </row>
    <row r="17">
      <c r="A17" s="188" t="inlineStr">
        <is>
          <t>Nitrogen trichloride</t>
        </is>
      </c>
      <c r="B17" s="190">
        <f>'NME-1 Klorinasi Langsung'!C30</f>
        <v>0.07688565939288824</v>
      </c>
      <c r="C17" s="190">
        <f>'NME-1 Klorinasi Langsung'!C30</f>
        <v>0.07688565939288824</v>
      </c>
      <c r="D17" s="190">
        <f>'NME-1 Klorinasi Langsung'!C30</f>
        <v>0.07688565939288824</v>
      </c>
      <c r="E17" s="190">
        <f>'NME-1 Klorinasi Langsung'!G30+'NME-2 Oksiklorinasi'!C29</f>
        <v>0.0</v>
      </c>
      <c r="F17" s="190">
        <f>'NME-1 Klorinasi Langsung'!G30+'NME-2 Oksiklorinasi'!C29</f>
        <v>0.0</v>
      </c>
      <c r="G17" s="190">
        <f>'NME-1 Klorinasi Langsung'!G30+'NME-2 Oksiklorinasi'!C29</f>
        <v>0.0</v>
      </c>
      <c r="H17" s="190">
        <f>'NME-1 Klorinasi Langsung'!G30</f>
        <v>0.0</v>
      </c>
      <c r="I17" s="190">
        <f>'NME-1 Klorinasi Langsung'!G30</f>
        <v>0.0</v>
      </c>
      <c r="J17" s="190">
        <f>'NME-2 Oksiklorinasi'!C29</f>
        <v>0.0</v>
      </c>
      <c r="K17" s="190">
        <f>'NME-1 Klorinasi Langsung'!K30</f>
        <v>0.0</v>
      </c>
      <c r="L17" s="190" t="inlineStr">
        <is>
          <t>-</t>
        </is>
      </c>
      <c r="M17" s="190" t="inlineStr">
        <is>
          <t>-</t>
        </is>
      </c>
      <c r="N17" s="190">
        <f>'NME-1 Klorinasi Langsung'!S30</f>
        <v>0.0</v>
      </c>
      <c r="O17" s="190">
        <f>'NME-1 Klorinasi Langsung'!O30</f>
        <v>0.07688565939288824</v>
      </c>
      <c r="P17" s="190">
        <f>'NME-3 Kondensasi-Dekantasi'!C26</f>
        <v>0.07688565939288824</v>
      </c>
      <c r="Q17" s="190">
        <f>'NME-2 Oksiklorinasi'!K29</f>
        <v>0.0</v>
      </c>
      <c r="R17" s="190">
        <f>'NME-2 Oksiklorinasi'!K29</f>
        <v>0.0</v>
      </c>
      <c r="S17" s="190">
        <f>'NME-2 Oksiklorinasi'!O29</f>
        <v>0.0</v>
      </c>
      <c r="T17" s="190" t="inlineStr">
        <is>
          <t>-</t>
        </is>
      </c>
      <c r="U17" s="190" t="inlineStr">
        <is>
          <t>-</t>
        </is>
      </c>
      <c r="V17" s="190" t="inlineStr">
        <is>
          <t>-</t>
        </is>
      </c>
      <c r="W17" s="190" t="inlineStr">
        <is>
          <t>-</t>
        </is>
      </c>
      <c r="X17" s="190" t="inlineStr">
        <is>
          <t>-</t>
        </is>
      </c>
      <c r="Y17" s="190" t="inlineStr">
        <is>
          <t>-</t>
        </is>
      </c>
      <c r="Z17" s="190">
        <f>'NME-3 Kondensasi-Dekantasi'!K26</f>
        <v>0.0</v>
      </c>
      <c r="AA17" s="190" t="inlineStr">
        <is>
          <t>-</t>
        </is>
      </c>
      <c r="AB17" s="190" t="inlineStr">
        <is>
          <t>-</t>
        </is>
      </c>
      <c r="AC17" s="190">
        <f>'NME-3 Kondensasi-Dekantasi'!O26</f>
        <v>0.0</v>
      </c>
      <c r="AD17" s="190">
        <f>'NME-3 Kondensasi-Dekantasi'!S26</f>
        <v>0.07688565939288929</v>
      </c>
      <c r="AE17" s="190">
        <f>'NME-3 Kondensasi-Dekantasi'!S26</f>
        <v>0.07688565939288929</v>
      </c>
      <c r="AF17" s="190">
        <f>'NME-4 Kolom Ringan'!C26</f>
        <v>0.07688565939288824</v>
      </c>
      <c r="AG17" s="190">
        <f>'NME-4 Kolom Ringan'!K26</f>
        <v>0.07688565939288824</v>
      </c>
      <c r="AH17" s="190">
        <f>'NME-4 Kolom Ringan'!O26</f>
        <v>0.0</v>
      </c>
      <c r="AI17" s="190">
        <f>'NME-5 Kolom Berat'!C26</f>
        <v>0.0</v>
      </c>
      <c r="AJ17" s="190">
        <f>'NME-5 Kolom Berat'!K26</f>
        <v>0.0</v>
      </c>
      <c r="AK17" s="190">
        <f>'NME-5 Kolom Berat'!G26</f>
        <v>0.0</v>
      </c>
      <c r="AL17" s="190">
        <f>'NME-5 Kolom Berat'!G26</f>
        <v>0.0</v>
      </c>
      <c r="AM17" s="190">
        <f>'NME-6 Pirolisis'!C24</f>
        <v>0.0</v>
      </c>
      <c r="AN17" s="190">
        <f>'NME-6 Pirolisis'!G24</f>
        <v>0.0</v>
      </c>
      <c r="AO17" s="190">
        <f>'NME-7 Kolom HCl'!C24</f>
        <v>0.0</v>
      </c>
      <c r="AP17" s="190">
        <f>'NME-7 Kolom HCl'!C24</f>
        <v>0.0</v>
      </c>
      <c r="AQ17" s="190">
        <f>'NME-7 Kolom HCl'!G24</f>
        <v>0.0</v>
      </c>
      <c r="AR17" s="190">
        <f>'NME-7 Kolom HCl'!G24</f>
        <v>0.0</v>
      </c>
      <c r="AS17" s="190">
        <f>'NME-2 Oksiklorinasi'!G29</f>
        <v>0.0</v>
      </c>
      <c r="AT17" s="190">
        <f>'NME-7 Kolom HCl'!K24</f>
        <v>0.0</v>
      </c>
      <c r="AU17" s="190">
        <f>'NME-8 Kolom VCM'!C25</f>
        <v>0.0</v>
      </c>
      <c r="AV17" s="190">
        <f>'NME-8 Kolom VCM'!G25</f>
        <v>0.0</v>
      </c>
      <c r="AW17" s="190">
        <f>'NME-8 Kolom VCM'!G25</f>
        <v>0.0</v>
      </c>
      <c r="AX17" s="190">
        <f>'NME-8 Kolom VCM'!K25</f>
        <v>0.0</v>
      </c>
      <c r="AY17" s="190">
        <f>'NME-8 Kolom VCM'!K25</f>
        <v>0.0</v>
      </c>
      <c r="AZ17" s="190">
        <f>'NME-4 Kolom Ringan'!G26</f>
        <v>0.0</v>
      </c>
    </row>
    <row r="18">
      <c r="A18" s="188" t="inlineStr">
        <is>
          <t>Hydrogen</t>
        </is>
      </c>
      <c r="B18" s="190">
        <f>'NME-1 Klorinasi Langsung'!C31</f>
        <v>0.4613139563573294</v>
      </c>
      <c r="C18" s="190">
        <f>'NME-1 Klorinasi Langsung'!C31</f>
        <v>0.4613139563573294</v>
      </c>
      <c r="D18" s="190">
        <f>'NME-1 Klorinasi Langsung'!C31</f>
        <v>0.4613139563573294</v>
      </c>
      <c r="E18" s="190">
        <f>'NME-1 Klorinasi Langsung'!G31+'NME-2 Oksiklorinasi'!C30</f>
        <v>0.0</v>
      </c>
      <c r="F18" s="190">
        <f>'NME-1 Klorinasi Langsung'!G31+'NME-2 Oksiklorinasi'!C30</f>
        <v>0.0</v>
      </c>
      <c r="G18" s="190">
        <f>'NME-1 Klorinasi Langsung'!G31+'NME-2 Oksiklorinasi'!C30</f>
        <v>0.0</v>
      </c>
      <c r="H18" s="190">
        <f>'NME-1 Klorinasi Langsung'!G31</f>
        <v>0.0</v>
      </c>
      <c r="I18" s="190">
        <f>'NME-1 Klorinasi Langsung'!G31</f>
        <v>0.0</v>
      </c>
      <c r="J18" s="190">
        <f>'NME-2 Oksiklorinasi'!C30</f>
        <v>0.0</v>
      </c>
      <c r="K18" s="190">
        <f>'NME-1 Klorinasi Langsung'!K31</f>
        <v>0.0</v>
      </c>
      <c r="L18" s="190" t="inlineStr">
        <is>
          <t>-</t>
        </is>
      </c>
      <c r="M18" s="190" t="inlineStr">
        <is>
          <t>-</t>
        </is>
      </c>
      <c r="N18" s="190">
        <f>'NME-1 Klorinasi Langsung'!S31</f>
        <v>0.4613139563573294</v>
      </c>
      <c r="O18" s="190">
        <f>'NME-1 Klorinasi Langsung'!O31</f>
        <v>0.0</v>
      </c>
      <c r="P18" s="190">
        <f>'NME-3 Kondensasi-Dekantasi'!C27</f>
        <v>0.0</v>
      </c>
      <c r="Q18" s="190">
        <f>'NME-2 Oksiklorinasi'!K30</f>
        <v>0.0</v>
      </c>
      <c r="R18" s="190">
        <f>'NME-2 Oksiklorinasi'!K30</f>
        <v>0.0</v>
      </c>
      <c r="S18" s="190">
        <f>'NME-2 Oksiklorinasi'!O30</f>
        <v>0.0</v>
      </c>
      <c r="T18" s="190" t="inlineStr">
        <is>
          <t>-</t>
        </is>
      </c>
      <c r="U18" s="190" t="inlineStr">
        <is>
          <t>-</t>
        </is>
      </c>
      <c r="V18" s="190" t="inlineStr">
        <is>
          <t>-</t>
        </is>
      </c>
      <c r="W18" s="190" t="inlineStr">
        <is>
          <t>-</t>
        </is>
      </c>
      <c r="X18" s="190" t="inlineStr">
        <is>
          <t>-</t>
        </is>
      </c>
      <c r="Y18" s="190" t="inlineStr">
        <is>
          <t>-</t>
        </is>
      </c>
      <c r="Z18" s="190">
        <f>'NME-3 Kondensasi-Dekantasi'!K27</f>
        <v>0.0</v>
      </c>
      <c r="AA18" s="190" t="inlineStr">
        <is>
          <t>-</t>
        </is>
      </c>
      <c r="AB18" s="190" t="inlineStr">
        <is>
          <t>-</t>
        </is>
      </c>
      <c r="AC18" s="190">
        <f>'NME-3 Kondensasi-Dekantasi'!O27</f>
        <v>0.0</v>
      </c>
      <c r="AD18" s="190">
        <f>'NME-3 Kondensasi-Dekantasi'!S27</f>
        <v>0.0</v>
      </c>
      <c r="AE18" s="190">
        <f>'NME-3 Kondensasi-Dekantasi'!S27</f>
        <v>0.0</v>
      </c>
      <c r="AF18" s="190">
        <f>'NME-4 Kolom Ringan'!C27</f>
        <v>0.0</v>
      </c>
      <c r="AG18" s="190">
        <f>'NME-4 Kolom Ringan'!K27</f>
        <v>0.0</v>
      </c>
      <c r="AH18" s="190">
        <f>'NME-4 Kolom Ringan'!O27</f>
        <v>0.0</v>
      </c>
      <c r="AI18" s="190">
        <f>'NME-5 Kolom Berat'!C27</f>
        <v>0.0</v>
      </c>
      <c r="AJ18" s="190">
        <f>'NME-5 Kolom Berat'!K27</f>
        <v>0.0</v>
      </c>
      <c r="AK18" s="190">
        <f>'NME-5 Kolom Berat'!G27</f>
        <v>0.0</v>
      </c>
      <c r="AL18" s="190">
        <f>'NME-5 Kolom Berat'!G27</f>
        <v>0.0</v>
      </c>
      <c r="AM18" s="190">
        <f>'NME-6 Pirolisis'!C25</f>
        <v>0.0</v>
      </c>
      <c r="AN18" s="190">
        <f>'NME-6 Pirolisis'!G25</f>
        <v>0.0</v>
      </c>
      <c r="AO18" s="190">
        <f>'NME-7 Kolom HCl'!C25</f>
        <v>0.0</v>
      </c>
      <c r="AP18" s="190">
        <f>'NME-7 Kolom HCl'!C25</f>
        <v>0.0</v>
      </c>
      <c r="AQ18" s="190">
        <f>'NME-7 Kolom HCl'!G25</f>
        <v>0.0</v>
      </c>
      <c r="AR18" s="190">
        <f>'NME-7 Kolom HCl'!G25</f>
        <v>0.0</v>
      </c>
      <c r="AS18" s="190">
        <f>'NME-2 Oksiklorinasi'!G30</f>
        <v>0.0</v>
      </c>
      <c r="AT18" s="190">
        <f>'NME-7 Kolom HCl'!K25</f>
        <v>0.0</v>
      </c>
      <c r="AU18" s="190">
        <f>'NME-8 Kolom VCM'!C26</f>
        <v>0.0</v>
      </c>
      <c r="AV18" s="190">
        <f>'NME-8 Kolom VCM'!G26</f>
        <v>0.0</v>
      </c>
      <c r="AW18" s="190">
        <f>'NME-8 Kolom VCM'!G26</f>
        <v>0.0</v>
      </c>
      <c r="AX18" s="190">
        <f>'NME-8 Kolom VCM'!K26</f>
        <v>0.0</v>
      </c>
      <c r="AY18" s="190">
        <f>'NME-8 Kolom VCM'!K26</f>
        <v>0.0</v>
      </c>
      <c r="AZ18" s="190">
        <f>'NME-4 Kolom Ringan'!G27</f>
        <v>0.0</v>
      </c>
    </row>
    <row r="19">
      <c r="A19" s="188" t="inlineStr">
        <is>
          <t>Oxygen</t>
        </is>
      </c>
      <c r="B19" s="190">
        <f>'NME-1 Klorinasi Langsung'!C32</f>
        <v>2.7678837381439765</v>
      </c>
      <c r="C19" s="190">
        <f>'NME-1 Klorinasi Langsung'!C32</f>
        <v>2.7678837381439765</v>
      </c>
      <c r="D19" s="190">
        <f>'NME-1 Klorinasi Langsung'!C32</f>
        <v>2.7678837381439765</v>
      </c>
      <c r="E19" s="190">
        <f>'NME-1 Klorinasi Langsung'!G32+'NME-2 Oksiklorinasi'!C31</f>
        <v>0.0</v>
      </c>
      <c r="F19" s="190">
        <f>'NME-1 Klorinasi Langsung'!G32+'NME-2 Oksiklorinasi'!C31</f>
        <v>0.0</v>
      </c>
      <c r="G19" s="190">
        <f>'NME-1 Klorinasi Langsung'!G32+'NME-2 Oksiklorinasi'!C31</f>
        <v>0.0</v>
      </c>
      <c r="H19" s="190">
        <f>'NME-1 Klorinasi Langsung'!G32</f>
        <v>0.0</v>
      </c>
      <c r="I19" s="190">
        <f>'NME-1 Klorinasi Langsung'!G32</f>
        <v>0.0</v>
      </c>
      <c r="J19" s="190">
        <f>'NME-2 Oksiklorinasi'!C31</f>
        <v>0.0</v>
      </c>
      <c r="K19" s="190">
        <f>'NME-1 Klorinasi Langsung'!K32</f>
        <v>0.0</v>
      </c>
      <c r="L19" s="190" t="inlineStr">
        <is>
          <t>-</t>
        </is>
      </c>
      <c r="M19" s="190" t="inlineStr">
        <is>
          <t>-</t>
        </is>
      </c>
      <c r="N19" s="190">
        <f>'NME-1 Klorinasi Langsung'!S32</f>
        <v>2.7678837381439765</v>
      </c>
      <c r="O19" s="190">
        <f>'NME-1 Klorinasi Langsung'!O32</f>
        <v>0.0</v>
      </c>
      <c r="P19" s="190">
        <f>'NME-3 Kondensasi-Dekantasi'!C28</f>
        <v>0.0</v>
      </c>
      <c r="Q19" s="190">
        <f>'NME-2 Oksiklorinasi'!K31</f>
        <v>5202.765695371912</v>
      </c>
      <c r="R19" s="190">
        <f>'NME-2 Oksiklorinasi'!K31</f>
        <v>5202.765695371912</v>
      </c>
      <c r="S19" s="190">
        <f>'NME-2 Oksiklorinasi'!O31</f>
        <v>1912.016393048713</v>
      </c>
      <c r="T19" s="190" t="inlineStr">
        <is>
          <t>-</t>
        </is>
      </c>
      <c r="U19" s="190" t="inlineStr">
        <is>
          <t>-</t>
        </is>
      </c>
      <c r="V19" s="190" t="inlineStr">
        <is>
          <t>-</t>
        </is>
      </c>
      <c r="W19" s="190" t="inlineStr">
        <is>
          <t>-</t>
        </is>
      </c>
      <c r="X19" s="190" t="inlineStr">
        <is>
          <t>-</t>
        </is>
      </c>
      <c r="Y19" s="190" t="inlineStr">
        <is>
          <t>-</t>
        </is>
      </c>
      <c r="Z19" s="190">
        <f>'NME-3 Kondensasi-Dekantasi'!K28</f>
        <v>1912.016393048713</v>
      </c>
      <c r="AA19" s="190" t="inlineStr">
        <is>
          <t>-</t>
        </is>
      </c>
      <c r="AB19" s="190" t="inlineStr">
        <is>
          <t>-</t>
        </is>
      </c>
      <c r="AC19" s="190">
        <f>'NME-3 Kondensasi-Dekantasi'!O28</f>
        <v>0.0</v>
      </c>
      <c r="AD19" s="190">
        <f>'NME-3 Kondensasi-Dekantasi'!S28</f>
        <v>0.0</v>
      </c>
      <c r="AE19" s="190">
        <f>'NME-3 Kondensasi-Dekantasi'!S28</f>
        <v>0.0</v>
      </c>
      <c r="AF19" s="190">
        <f>'NME-4 Kolom Ringan'!C28</f>
        <v>0.0</v>
      </c>
      <c r="AG19" s="190">
        <f>'NME-4 Kolom Ringan'!K28</f>
        <v>0.0</v>
      </c>
      <c r="AH19" s="190">
        <f>'NME-4 Kolom Ringan'!O28</f>
        <v>0.0</v>
      </c>
      <c r="AI19" s="190">
        <f>'NME-5 Kolom Berat'!C28</f>
        <v>0.0</v>
      </c>
      <c r="AJ19" s="190">
        <f>'NME-5 Kolom Berat'!K28</f>
        <v>0.0</v>
      </c>
      <c r="AK19" s="190">
        <f>'NME-5 Kolom Berat'!G28</f>
        <v>0.0</v>
      </c>
      <c r="AL19" s="190">
        <f>'NME-5 Kolom Berat'!G28</f>
        <v>0.0</v>
      </c>
      <c r="AM19" s="190">
        <f>'NME-6 Pirolisis'!C26</f>
        <v>0.0</v>
      </c>
      <c r="AN19" s="190">
        <f>'NME-6 Pirolisis'!G26</f>
        <v>0.0</v>
      </c>
      <c r="AO19" s="190">
        <f>'NME-7 Kolom HCl'!C26</f>
        <v>0.0</v>
      </c>
      <c r="AP19" s="190">
        <f>'NME-7 Kolom HCl'!C26</f>
        <v>0.0</v>
      </c>
      <c r="AQ19" s="190">
        <f>'NME-7 Kolom HCl'!G26</f>
        <v>0.0</v>
      </c>
      <c r="AR19" s="190">
        <f>'NME-7 Kolom HCl'!G26</f>
        <v>0.0</v>
      </c>
      <c r="AS19" s="190">
        <f>'NME-2 Oksiklorinasi'!G31</f>
        <v>0.0</v>
      </c>
      <c r="AT19" s="190">
        <f>'NME-7 Kolom HCl'!K26</f>
        <v>0.0</v>
      </c>
      <c r="AU19" s="190">
        <f>'NME-8 Kolom VCM'!C27</f>
        <v>0.0</v>
      </c>
      <c r="AV19" s="190">
        <f>'NME-8 Kolom VCM'!G27</f>
        <v>0.0</v>
      </c>
      <c r="AW19" s="190">
        <f>'NME-8 Kolom VCM'!G27</f>
        <v>0.0</v>
      </c>
      <c r="AX19" s="190">
        <f>'NME-8 Kolom VCM'!K27</f>
        <v>0.0</v>
      </c>
      <c r="AY19" s="190">
        <f>'NME-8 Kolom VCM'!K27</f>
        <v>0.0</v>
      </c>
      <c r="AZ19" s="190">
        <f>'NME-4 Kolom Ringan'!G28</f>
        <v>0.0</v>
      </c>
    </row>
    <row r="20">
      <c r="A20" s="188" t="inlineStr">
        <is>
          <t>Nitrogen</t>
        </is>
      </c>
      <c r="B20" s="190">
        <f>'NME-1 Klorinasi Langsung'!C33</f>
        <v>9.226279127146588</v>
      </c>
      <c r="C20" s="190">
        <f>'NME-1 Klorinasi Langsung'!C33</f>
        <v>9.226279127146588</v>
      </c>
      <c r="D20" s="190">
        <f>'NME-1 Klorinasi Langsung'!C33</f>
        <v>9.226279127146588</v>
      </c>
      <c r="E20" s="190">
        <f>'NME-1 Klorinasi Langsung'!G33+'NME-2 Oksiklorinasi'!C32</f>
        <v>0.0</v>
      </c>
      <c r="F20" s="190">
        <f>'NME-1 Klorinasi Langsung'!G33+'NME-2 Oksiklorinasi'!C32</f>
        <v>0.0</v>
      </c>
      <c r="G20" s="190">
        <f>'NME-1 Klorinasi Langsung'!G33+'NME-2 Oksiklorinasi'!C32</f>
        <v>0.0</v>
      </c>
      <c r="H20" s="190">
        <f>'NME-1 Klorinasi Langsung'!G33</f>
        <v>0.0</v>
      </c>
      <c r="I20" s="190">
        <f>'NME-1 Klorinasi Langsung'!G33</f>
        <v>0.0</v>
      </c>
      <c r="J20" s="190">
        <f>'NME-2 Oksiklorinasi'!C32</f>
        <v>0.0</v>
      </c>
      <c r="K20" s="190">
        <f>'NME-1 Klorinasi Langsung'!K33</f>
        <v>0.0</v>
      </c>
      <c r="L20" s="190" t="inlineStr">
        <is>
          <t>-</t>
        </is>
      </c>
      <c r="M20" s="190" t="inlineStr">
        <is>
          <t>-</t>
        </is>
      </c>
      <c r="N20" s="190">
        <f>'NME-1 Klorinasi Langsung'!S33</f>
        <v>9.226279127146588</v>
      </c>
      <c r="O20" s="190">
        <f>'NME-1 Klorinasi Langsung'!O33</f>
        <v>0.0</v>
      </c>
      <c r="P20" s="190">
        <f>'NME-3 Kondensasi-Dekantasi'!C29</f>
        <v>0.0</v>
      </c>
      <c r="Q20" s="190">
        <f>'NME-2 Oksiklorinasi'!K32</f>
        <v>17134.868763788385</v>
      </c>
      <c r="R20" s="190">
        <f>'NME-2 Oksiklorinasi'!K32</f>
        <v>17134.868763788385</v>
      </c>
      <c r="S20" s="190">
        <f>'NME-2 Oksiklorinasi'!O32</f>
        <v>17134.868763788385</v>
      </c>
      <c r="T20" s="190" t="inlineStr">
        <is>
          <t>-</t>
        </is>
      </c>
      <c r="U20" s="190" t="inlineStr">
        <is>
          <t>-</t>
        </is>
      </c>
      <c r="V20" s="190" t="inlineStr">
        <is>
          <t>-</t>
        </is>
      </c>
      <c r="W20" s="190" t="inlineStr">
        <is>
          <t>-</t>
        </is>
      </c>
      <c r="X20" s="190" t="inlineStr">
        <is>
          <t>-</t>
        </is>
      </c>
      <c r="Y20" s="190" t="inlineStr">
        <is>
          <t>-</t>
        </is>
      </c>
      <c r="Z20" s="190">
        <f>'NME-3 Kondensasi-Dekantasi'!K29</f>
        <v>17134.868763788385</v>
      </c>
      <c r="AA20" s="190" t="inlineStr">
        <is>
          <t>-</t>
        </is>
      </c>
      <c r="AB20" s="190" t="inlineStr">
        <is>
          <t>-</t>
        </is>
      </c>
      <c r="AC20" s="190">
        <f>'NME-3 Kondensasi-Dekantasi'!O29</f>
        <v>0.0</v>
      </c>
      <c r="AD20" s="190">
        <f>'NME-3 Kondensasi-Dekantasi'!S29</f>
        <v>0.0</v>
      </c>
      <c r="AE20" s="190">
        <f>'NME-3 Kondensasi-Dekantasi'!S29</f>
        <v>0.0</v>
      </c>
      <c r="AF20" s="190">
        <f>'NME-4 Kolom Ringan'!C29</f>
        <v>0.0</v>
      </c>
      <c r="AG20" s="190">
        <f>'NME-4 Kolom Ringan'!K29</f>
        <v>0.0</v>
      </c>
      <c r="AH20" s="190">
        <f>'NME-4 Kolom Ringan'!O29</f>
        <v>0.0</v>
      </c>
      <c r="AI20" s="190">
        <f>'NME-5 Kolom Berat'!C29</f>
        <v>0.0</v>
      </c>
      <c r="AJ20" s="190">
        <f>'NME-5 Kolom Berat'!K29</f>
        <v>0.0</v>
      </c>
      <c r="AK20" s="190">
        <f>'NME-5 Kolom Berat'!G29</f>
        <v>0.0</v>
      </c>
      <c r="AL20" s="190">
        <f>'NME-5 Kolom Berat'!G29</f>
        <v>0.0</v>
      </c>
      <c r="AM20" s="190">
        <f>'NME-6 Pirolisis'!C27</f>
        <v>0.0</v>
      </c>
      <c r="AN20" s="190">
        <f>'NME-6 Pirolisis'!G27</f>
        <v>0.0</v>
      </c>
      <c r="AO20" s="190">
        <f>'NME-7 Kolom HCl'!C27</f>
        <v>0.0</v>
      </c>
      <c r="AP20" s="190">
        <f>'NME-7 Kolom HCl'!C27</f>
        <v>0.0</v>
      </c>
      <c r="AQ20" s="190">
        <f>'NME-7 Kolom HCl'!G27</f>
        <v>0.0</v>
      </c>
      <c r="AR20" s="190">
        <f>'NME-7 Kolom HCl'!G27</f>
        <v>0.0</v>
      </c>
      <c r="AS20" s="190">
        <f>'NME-2 Oksiklorinasi'!G32</f>
        <v>0.0</v>
      </c>
      <c r="AT20" s="190">
        <f>'NME-7 Kolom HCl'!K27</f>
        <v>0.0</v>
      </c>
      <c r="AU20" s="190">
        <f>'NME-8 Kolom VCM'!C28</f>
        <v>0.0</v>
      </c>
      <c r="AV20" s="190">
        <f>'NME-8 Kolom VCM'!G28</f>
        <v>0.0</v>
      </c>
      <c r="AW20" s="190">
        <f>'NME-8 Kolom VCM'!G28</f>
        <v>0.0</v>
      </c>
      <c r="AX20" s="190">
        <f>'NME-8 Kolom VCM'!K28</f>
        <v>0.0</v>
      </c>
      <c r="AY20" s="190">
        <f>'NME-8 Kolom VCM'!K28</f>
        <v>0.0</v>
      </c>
      <c r="AZ20" s="190">
        <f>'NME-4 Kolom Ringan'!G29</f>
        <v>0.0</v>
      </c>
    </row>
    <row r="21">
      <c r="A21" s="188" t="inlineStr">
        <is>
          <t>Carbon dioxide</t>
        </is>
      </c>
      <c r="B21" s="190">
        <f>'NME-1 Klorinasi Langsung'!C34</f>
        <v>9.226279127146588</v>
      </c>
      <c r="C21" s="190">
        <f>'NME-1 Klorinasi Langsung'!C34</f>
        <v>9.226279127146588</v>
      </c>
      <c r="D21" s="190">
        <f>'NME-1 Klorinasi Langsung'!C34</f>
        <v>9.226279127146588</v>
      </c>
      <c r="E21" s="190">
        <f>'NME-1 Klorinasi Langsung'!G34+'NME-2 Oksiklorinasi'!C33</f>
        <v>0.0</v>
      </c>
      <c r="F21" s="190">
        <f>'NME-1 Klorinasi Langsung'!G34+'NME-2 Oksiklorinasi'!C33</f>
        <v>0.0</v>
      </c>
      <c r="G21" s="190">
        <f>'NME-1 Klorinasi Langsung'!G34+'NME-2 Oksiklorinasi'!C33</f>
        <v>0.0</v>
      </c>
      <c r="H21" s="190">
        <f>'NME-1 Klorinasi Langsung'!G34</f>
        <v>0.0</v>
      </c>
      <c r="I21" s="190">
        <f>'NME-1 Klorinasi Langsung'!G34</f>
        <v>0.0</v>
      </c>
      <c r="J21" s="190">
        <f>'NME-2 Oksiklorinasi'!C33</f>
        <v>0.0</v>
      </c>
      <c r="K21" s="190">
        <f>'NME-1 Klorinasi Langsung'!K34</f>
        <v>0.0</v>
      </c>
      <c r="L21" s="190" t="inlineStr">
        <is>
          <t>-</t>
        </is>
      </c>
      <c r="M21" s="190" t="inlineStr">
        <is>
          <t>-</t>
        </is>
      </c>
      <c r="N21" s="190">
        <f>'NME-1 Klorinasi Langsung'!S34</f>
        <v>9.226279127146588</v>
      </c>
      <c r="O21" s="190">
        <f>'NME-1 Klorinasi Langsung'!O34</f>
        <v>0.0</v>
      </c>
      <c r="P21" s="190">
        <f>'NME-3 Kondensasi-Dekantasi'!C30</f>
        <v>0.0</v>
      </c>
      <c r="Q21" s="190">
        <f>'NME-2 Oksiklorinasi'!K33</f>
        <v>0.0</v>
      </c>
      <c r="R21" s="190">
        <f>'NME-2 Oksiklorinasi'!K33</f>
        <v>0.0</v>
      </c>
      <c r="S21" s="190">
        <f>'NME-2 Oksiklorinasi'!O33</f>
        <v>89.44565386981179</v>
      </c>
      <c r="T21" s="190" t="inlineStr">
        <is>
          <t>-</t>
        </is>
      </c>
      <c r="U21" s="190" t="inlineStr">
        <is>
          <t>-</t>
        </is>
      </c>
      <c r="V21" s="190" t="inlineStr">
        <is>
          <t>-</t>
        </is>
      </c>
      <c r="W21" s="190" t="inlineStr">
        <is>
          <t>-</t>
        </is>
      </c>
      <c r="X21" s="190" t="inlineStr">
        <is>
          <t>-</t>
        </is>
      </c>
      <c r="Y21" s="190" t="inlineStr">
        <is>
          <t>-</t>
        </is>
      </c>
      <c r="Z21" s="190">
        <f>'NME-3 Kondensasi-Dekantasi'!K30</f>
        <v>89.44565386981179</v>
      </c>
      <c r="AA21" s="190" t="inlineStr">
        <is>
          <t>-</t>
        </is>
      </c>
      <c r="AB21" s="190" t="inlineStr">
        <is>
          <t>-</t>
        </is>
      </c>
      <c r="AC21" s="190">
        <f>'NME-3 Kondensasi-Dekantasi'!O30</f>
        <v>0.0</v>
      </c>
      <c r="AD21" s="190">
        <f>'NME-3 Kondensasi-Dekantasi'!S30</f>
        <v>0.0</v>
      </c>
      <c r="AE21" s="190">
        <f>'NME-3 Kondensasi-Dekantasi'!S30</f>
        <v>0.0</v>
      </c>
      <c r="AF21" s="190">
        <f>'NME-4 Kolom Ringan'!C30</f>
        <v>0.0</v>
      </c>
      <c r="AG21" s="190">
        <f>'NME-4 Kolom Ringan'!K30</f>
        <v>0.0</v>
      </c>
      <c r="AH21" s="190">
        <f>'NME-4 Kolom Ringan'!O30</f>
        <v>0.0</v>
      </c>
      <c r="AI21" s="190">
        <f>'NME-5 Kolom Berat'!C30</f>
        <v>0.0</v>
      </c>
      <c r="AJ21" s="190">
        <f>'NME-5 Kolom Berat'!K30</f>
        <v>0.0</v>
      </c>
      <c r="AK21" s="190">
        <f>'NME-5 Kolom Berat'!G30</f>
        <v>0.0</v>
      </c>
      <c r="AL21" s="190">
        <f>'NME-5 Kolom Berat'!G30</f>
        <v>0.0</v>
      </c>
      <c r="AM21" s="190">
        <f>'NME-6 Pirolisis'!C28</f>
        <v>0.0</v>
      </c>
      <c r="AN21" s="190">
        <f>'NME-6 Pirolisis'!G28</f>
        <v>0.0</v>
      </c>
      <c r="AO21" s="190">
        <f>'NME-7 Kolom HCl'!C28</f>
        <v>0.0</v>
      </c>
      <c r="AP21" s="190">
        <f>'NME-7 Kolom HCl'!C28</f>
        <v>0.0</v>
      </c>
      <c r="AQ21" s="190">
        <f>'NME-7 Kolom HCl'!G28</f>
        <v>0.0</v>
      </c>
      <c r="AR21" s="190">
        <f>'NME-7 Kolom HCl'!G28</f>
        <v>0.0</v>
      </c>
      <c r="AS21" s="190">
        <f>'NME-2 Oksiklorinasi'!G33</f>
        <v>0.0</v>
      </c>
      <c r="AT21" s="190">
        <f>'NME-7 Kolom HCl'!K28</f>
        <v>0.0</v>
      </c>
      <c r="AU21" s="190">
        <f>'NME-8 Kolom VCM'!C29</f>
        <v>0.0</v>
      </c>
      <c r="AV21" s="190">
        <f>'NME-8 Kolom VCM'!G29</f>
        <v>0.0</v>
      </c>
      <c r="AW21" s="190">
        <f>'NME-8 Kolom VCM'!G29</f>
        <v>0.0</v>
      </c>
      <c r="AX21" s="190">
        <f>'NME-8 Kolom VCM'!K29</f>
        <v>0.0</v>
      </c>
      <c r="AY21" s="190">
        <f>'NME-8 Kolom VCM'!K29</f>
        <v>0.0</v>
      </c>
      <c r="AZ21" s="190">
        <f>'NME-4 Kolom Ringan'!G30</f>
        <v>0.0</v>
      </c>
    </row>
    <row r="22">
      <c r="A22" s="188" t="inlineStr">
        <is>
          <t>EDC</t>
        </is>
      </c>
      <c r="B22" s="190">
        <f>'NME-1 Klorinasi Langsung'!C35</f>
        <v>0.0</v>
      </c>
      <c r="C22" s="190">
        <f>'NME-1 Klorinasi Langsung'!C35</f>
        <v>0.0</v>
      </c>
      <c r="D22" s="190">
        <f>'NME-1 Klorinasi Langsung'!C35</f>
        <v>0.0</v>
      </c>
      <c r="E22" s="190">
        <f>'NME-1 Klorinasi Langsung'!G35+'NME-2 Oksiklorinasi'!C34</f>
        <v>0.0</v>
      </c>
      <c r="F22" s="190">
        <f>'NME-1 Klorinasi Langsung'!G35+'NME-2 Oksiklorinasi'!C34</f>
        <v>0.0</v>
      </c>
      <c r="G22" s="190">
        <f>'NME-1 Klorinasi Langsung'!G35+'NME-2 Oksiklorinasi'!C34</f>
        <v>0.0</v>
      </c>
      <c r="H22" s="190">
        <f>'NME-1 Klorinasi Langsung'!G35</f>
        <v>0.0</v>
      </c>
      <c r="I22" s="190">
        <f>'NME-1 Klorinasi Langsung'!G35</f>
        <v>0.0</v>
      </c>
      <c r="J22" s="190">
        <f>'NME-2 Oksiklorinasi'!C34</f>
        <v>0.0</v>
      </c>
      <c r="K22" s="190">
        <f>'NME-1 Klorinasi Langsung'!K35</f>
        <v>0.0</v>
      </c>
      <c r="L22" s="190" t="inlineStr">
        <is>
          <t>-</t>
        </is>
      </c>
      <c r="M22" s="190" t="inlineStr">
        <is>
          <t>-</t>
        </is>
      </c>
      <c r="N22" s="190">
        <f>'NME-1 Klorinasi Langsung'!S35</f>
        <v>44.46040383285724</v>
      </c>
      <c r="O22" s="190">
        <f>'NME-1 Klorinasi Langsung'!O35</f>
        <v>21372.236358110484</v>
      </c>
      <c r="P22" s="190">
        <f>'NME-3 Kondensasi-Dekantasi'!C31</f>
        <v>21372.236358110484</v>
      </c>
      <c r="Q22" s="190">
        <f>'NME-2 Oksiklorinasi'!K34</f>
        <v>0.0</v>
      </c>
      <c r="R22" s="190">
        <f>'NME-2 Oksiklorinasi'!K34</f>
        <v>0.0</v>
      </c>
      <c r="S22" s="190">
        <f>'NME-2 Oksiklorinasi'!O34</f>
        <v>19750.34382403511</v>
      </c>
      <c r="T22" s="190" t="inlineStr">
        <is>
          <t>-</t>
        </is>
      </c>
      <c r="U22" s="190" t="inlineStr">
        <is>
          <t>-</t>
        </is>
      </c>
      <c r="V22" s="190" t="inlineStr">
        <is>
          <t>-</t>
        </is>
      </c>
      <c r="W22" s="190" t="inlineStr">
        <is>
          <t>-</t>
        </is>
      </c>
      <c r="X22" s="190" t="inlineStr">
        <is>
          <t>-</t>
        </is>
      </c>
      <c r="Y22" s="190" t="inlineStr">
        <is>
          <t>-</t>
        </is>
      </c>
      <c r="Z22" s="190">
        <f>'NME-3 Kondensasi-Dekantasi'!K31</f>
        <v>98.80089740634826</v>
      </c>
      <c r="AA22" s="190" t="inlineStr">
        <is>
          <t>-</t>
        </is>
      </c>
      <c r="AB22" s="190" t="inlineStr">
        <is>
          <t>-</t>
        </is>
      </c>
      <c r="AC22" s="190">
        <f>'NME-3 Kondensasi-Dekantasi'!O31</f>
        <v>3.011585363497441</v>
      </c>
      <c r="AD22" s="190">
        <f>'NME-3 Kondensasi-Dekantasi'!S31</f>
        <v>41020.76769937599</v>
      </c>
      <c r="AE22" s="190">
        <f>'NME-3 Kondensasi-Dekantasi'!S31</f>
        <v>41020.76769937599</v>
      </c>
      <c r="AF22" s="190">
        <f>'NME-4 Kolom Ringan'!C31</f>
        <v>41020.76769937575</v>
      </c>
      <c r="AG22" s="190">
        <f>'NME-4 Kolom Ringan'!K31</f>
        <v>123.50112175793534</v>
      </c>
      <c r="AH22" s="190">
        <f>'NME-4 Kolom Ringan'!O31</f>
        <v>74289.63852619742</v>
      </c>
      <c r="AI22" s="190">
        <f>'NME-5 Kolom Berat'!C31</f>
        <v>74289.63852619648</v>
      </c>
      <c r="AJ22" s="190">
        <f>'NME-5 Kolom Berat'!K31</f>
        <v>39.95304731758825</v>
      </c>
      <c r="AK22" s="190">
        <f>'NME-5 Kolom Berat'!G31</f>
        <v>74249.68547887889</v>
      </c>
      <c r="AL22" s="190">
        <f>'NME-5 Kolom Berat'!G31</f>
        <v>74249.68547887889</v>
      </c>
      <c r="AM22" s="190">
        <f>'NME-6 Pirolisis'!C29</f>
        <v>74249.68547887889</v>
      </c>
      <c r="AN22" s="190">
        <f>'NME-6 Pirolisis'!G29</f>
        <v>33412.3584654955</v>
      </c>
      <c r="AO22" s="190">
        <f>'NME-7 Kolom HCl'!C29</f>
        <v>33412.3584654955</v>
      </c>
      <c r="AP22" s="190">
        <f>'NME-7 Kolom HCl'!C29</f>
        <v>33412.3584654955</v>
      </c>
      <c r="AQ22" s="190">
        <f>'NME-7 Kolom HCl'!G29</f>
        <v>0.0</v>
      </c>
      <c r="AR22" s="190">
        <f>'NME-7 Kolom HCl'!G29</f>
        <v>0.0</v>
      </c>
      <c r="AS22" s="190">
        <f>'NME-2 Oksiklorinasi'!G34</f>
        <v>0.0</v>
      </c>
      <c r="AT22" s="190">
        <f>'NME-7 Kolom HCl'!K29</f>
        <v>33412.3584654955</v>
      </c>
      <c r="AU22" s="190">
        <f>'NME-8 Kolom VCM'!C30</f>
        <v>33412.3584654955</v>
      </c>
      <c r="AV22" s="190">
        <f>'NME-8 Kolom VCM'!G30</f>
        <v>19.986516917250967</v>
      </c>
      <c r="AW22" s="190">
        <f>'NME-8 Kolom VCM'!G30</f>
        <v>19.986516917250967</v>
      </c>
      <c r="AX22" s="190">
        <f>'NME-8 Kolom VCM'!K30</f>
        <v>33392.37194857867</v>
      </c>
      <c r="AY22" s="190">
        <f>'NME-8 Kolom VCM'!K30</f>
        <v>33392.37194857867</v>
      </c>
      <c r="AZ22" s="190">
        <f>'NME-4 Kolom Ringan'!G31</f>
        <v>33392.37194857867</v>
      </c>
    </row>
    <row r="23">
      <c r="A23" s="188" t="inlineStr">
        <is>
          <t>TCE</t>
        </is>
      </c>
      <c r="B23" s="190">
        <f>'NME-1 Klorinasi Langsung'!C36</f>
        <v>0.0</v>
      </c>
      <c r="C23" s="190">
        <f>'NME-1 Klorinasi Langsung'!C36</f>
        <v>0.0</v>
      </c>
      <c r="D23" s="190">
        <f>'NME-1 Klorinasi Langsung'!C36</f>
        <v>0.0</v>
      </c>
      <c r="E23" s="190">
        <f>'NME-1 Klorinasi Langsung'!G36+'NME-2 Oksiklorinasi'!C35</f>
        <v>0.0</v>
      </c>
      <c r="F23" s="190">
        <f>'NME-1 Klorinasi Langsung'!G36+'NME-2 Oksiklorinasi'!C35</f>
        <v>0.0</v>
      </c>
      <c r="G23" s="190">
        <f>'NME-1 Klorinasi Langsung'!G36+'NME-2 Oksiklorinasi'!C35</f>
        <v>0.0</v>
      </c>
      <c r="H23" s="190">
        <f>'NME-1 Klorinasi Langsung'!G36</f>
        <v>0.0</v>
      </c>
      <c r="I23" s="190">
        <f>'NME-1 Klorinasi Langsung'!G36</f>
        <v>0.0</v>
      </c>
      <c r="J23" s="190">
        <f>'NME-2 Oksiklorinasi'!C35</f>
        <v>0.0</v>
      </c>
      <c r="K23" s="190">
        <f>'NME-1 Klorinasi Langsung'!K36</f>
        <v>0.0</v>
      </c>
      <c r="L23" s="190" t="inlineStr">
        <is>
          <t>-</t>
        </is>
      </c>
      <c r="M23" s="190" t="inlineStr">
        <is>
          <t>-</t>
        </is>
      </c>
      <c r="N23" s="190">
        <f>'NME-1 Klorinasi Langsung'!S36</f>
        <v>0.0</v>
      </c>
      <c r="O23" s="190">
        <f>'NME-1 Klorinasi Langsung'!O36</f>
        <v>6.426937109715917</v>
      </c>
      <c r="P23" s="190">
        <f>'NME-3 Kondensasi-Dekantasi'!C32</f>
        <v>6.426937109715917</v>
      </c>
      <c r="Q23" s="190">
        <f>'NME-2 Oksiklorinasi'!K35</f>
        <v>0.0</v>
      </c>
      <c r="R23" s="190">
        <f>'NME-2 Oksiklorinasi'!K35</f>
        <v>0.0</v>
      </c>
      <c r="S23" s="190">
        <f>'NME-2 Oksiklorinasi'!O35</f>
        <v>0.0</v>
      </c>
      <c r="T23" s="190" t="inlineStr">
        <is>
          <t>-</t>
        </is>
      </c>
      <c r="U23" s="190" t="inlineStr">
        <is>
          <t>-</t>
        </is>
      </c>
      <c r="V23" s="190" t="inlineStr">
        <is>
          <t>-</t>
        </is>
      </c>
      <c r="W23" s="190" t="inlineStr">
        <is>
          <t>-</t>
        </is>
      </c>
      <c r="X23" s="190" t="inlineStr">
        <is>
          <t>-</t>
        </is>
      </c>
      <c r="Y23" s="190" t="inlineStr">
        <is>
          <t>-</t>
        </is>
      </c>
      <c r="Z23" s="190">
        <f>'NME-3 Kondensasi-Dekantasi'!K32</f>
        <v>0.0</v>
      </c>
      <c r="AA23" s="190" t="inlineStr">
        <is>
          <t>-</t>
        </is>
      </c>
      <c r="AB23" s="190" t="inlineStr">
        <is>
          <t>-</t>
        </is>
      </c>
      <c r="AC23" s="190">
        <f>'NME-3 Kondensasi-Dekantasi'!O32</f>
        <v>0.0</v>
      </c>
      <c r="AD23" s="190">
        <f>'NME-3 Kondensasi-Dekantasi'!S32</f>
        <v>6.426937109715849</v>
      </c>
      <c r="AE23" s="190">
        <f>'NME-3 Kondensasi-Dekantasi'!S32</f>
        <v>6.426937109715849</v>
      </c>
      <c r="AF23" s="190">
        <f>'NME-4 Kolom Ringan'!C32</f>
        <v>6.426937109715917</v>
      </c>
      <c r="AG23" s="190">
        <f>'NME-4 Kolom Ringan'!K32</f>
        <v>0.0</v>
      </c>
      <c r="AH23" s="190">
        <f>'NME-4 Kolom Ringan'!O32</f>
        <v>7.095265327677765</v>
      </c>
      <c r="AI23" s="190">
        <f>'NME-5 Kolom Berat'!C32</f>
        <v>7.095265327677823</v>
      </c>
      <c r="AJ23" s="190">
        <f>'NME-5 Kolom Berat'!K32</f>
        <v>6.426937109715912</v>
      </c>
      <c r="AK23" s="190">
        <f>'NME-5 Kolom Berat'!G32</f>
        <v>0.6683282179619111</v>
      </c>
      <c r="AL23" s="190">
        <f>'NME-5 Kolom Berat'!G32</f>
        <v>0.6683282179619111</v>
      </c>
      <c r="AM23" s="190">
        <f>'NME-6 Pirolisis'!C30</f>
        <v>0.6683282179619111</v>
      </c>
      <c r="AN23" s="190">
        <f>'NME-6 Pirolisis'!G30</f>
        <v>0.6683282179619111</v>
      </c>
      <c r="AO23" s="190">
        <f>'NME-7 Kolom HCl'!C30</f>
        <v>0.6683282179619111</v>
      </c>
      <c r="AP23" s="190">
        <f>'NME-7 Kolom HCl'!C30</f>
        <v>0.6683282179619111</v>
      </c>
      <c r="AQ23" s="190">
        <f>'NME-7 Kolom HCl'!G30</f>
        <v>0.0</v>
      </c>
      <c r="AR23" s="190">
        <f>'NME-7 Kolom HCl'!G30</f>
        <v>0.0</v>
      </c>
      <c r="AS23" s="190">
        <f>'NME-2 Oksiklorinasi'!G35</f>
        <v>0.0</v>
      </c>
      <c r="AT23" s="190">
        <f>'NME-7 Kolom HCl'!K30</f>
        <v>0.6683282179619111</v>
      </c>
      <c r="AU23" s="190">
        <f>'NME-8 Kolom VCM'!C31</f>
        <v>0.6683282179619111</v>
      </c>
      <c r="AV23" s="190">
        <f>'NME-8 Kolom VCM'!G31</f>
        <v>0.0</v>
      </c>
      <c r="AW23" s="190">
        <f>'NME-8 Kolom VCM'!G31</f>
        <v>0.0</v>
      </c>
      <c r="AX23" s="190">
        <f>'NME-8 Kolom VCM'!K31</f>
        <v>0.6683282179619057</v>
      </c>
      <c r="AY23" s="190">
        <f>'NME-8 Kolom VCM'!K31</f>
        <v>0.6683282179619057</v>
      </c>
      <c r="AZ23" s="190">
        <f>'NME-4 Kolom Ringan'!G32</f>
        <v>0.6683282179619057</v>
      </c>
    </row>
    <row r="24">
      <c r="A24" s="188" t="inlineStr">
        <is>
          <t>HCl</t>
        </is>
      </c>
      <c r="B24" s="190">
        <f>'NME-1 Klorinasi Langsung'!C37</f>
        <v>0.0</v>
      </c>
      <c r="C24" s="190">
        <f>'NME-1 Klorinasi Langsung'!C37</f>
        <v>0.0</v>
      </c>
      <c r="D24" s="190">
        <f>'NME-1 Klorinasi Langsung'!C37</f>
        <v>0.0</v>
      </c>
      <c r="E24" s="190">
        <f>'NME-1 Klorinasi Langsung'!G37+'NME-2 Oksiklorinasi'!C36</f>
        <v>0.0</v>
      </c>
      <c r="F24" s="190">
        <f>'NME-1 Klorinasi Langsung'!G37+'NME-2 Oksiklorinasi'!C36</f>
        <v>0.0</v>
      </c>
      <c r="G24" s="190">
        <f>'NME-1 Klorinasi Langsung'!G37+'NME-2 Oksiklorinasi'!C36</f>
        <v>0.0</v>
      </c>
      <c r="H24" s="190">
        <f>'NME-1 Klorinasi Langsung'!G37</f>
        <v>0.0</v>
      </c>
      <c r="I24" s="190">
        <f>'NME-1 Klorinasi Langsung'!G37</f>
        <v>0.0</v>
      </c>
      <c r="J24" s="190">
        <f>'NME-2 Oksiklorinasi'!C36</f>
        <v>0.0</v>
      </c>
      <c r="K24" s="190">
        <f>'NME-1 Klorinasi Langsung'!K37</f>
        <v>0.0</v>
      </c>
      <c r="L24" s="190" t="inlineStr">
        <is>
          <t>-</t>
        </is>
      </c>
      <c r="M24" s="190" t="inlineStr">
        <is>
          <t>-</t>
        </is>
      </c>
      <c r="N24" s="190">
        <f>'NME-1 Klorinasi Langsung'!S37</f>
        <v>1.7565763435406405</v>
      </c>
      <c r="O24" s="190">
        <f>'NME-1 Klorinasi Langsung'!O37</f>
        <v>0.0</v>
      </c>
      <c r="P24" s="190">
        <f>'NME-3 Kondensasi-Dekantasi'!C33</f>
        <v>0.0</v>
      </c>
      <c r="Q24" s="190">
        <f>'NME-2 Oksiklorinasi'!K36</f>
        <v>0.0</v>
      </c>
      <c r="R24" s="190">
        <f>'NME-2 Oksiklorinasi'!K36</f>
        <v>0.0</v>
      </c>
      <c r="S24" s="190">
        <f>'NME-2 Oksiklorinasi'!O36</f>
        <v>207.48871529308113</v>
      </c>
      <c r="T24" s="190" t="inlineStr">
        <is>
          <t>-</t>
        </is>
      </c>
      <c r="U24" s="190" t="inlineStr">
        <is>
          <t>-</t>
        </is>
      </c>
      <c r="V24" s="190" t="inlineStr">
        <is>
          <t>-</t>
        </is>
      </c>
      <c r="W24" s="190" t="inlineStr">
        <is>
          <t>-</t>
        </is>
      </c>
      <c r="X24" s="190" t="inlineStr">
        <is>
          <t>-</t>
        </is>
      </c>
      <c r="Y24" s="190" t="inlineStr">
        <is>
          <t>-</t>
        </is>
      </c>
      <c r="Z24" s="190">
        <f>'NME-3 Kondensasi-Dekantasi'!K33</f>
        <v>0.0</v>
      </c>
      <c r="AA24" s="190" t="inlineStr">
        <is>
          <t>-</t>
        </is>
      </c>
      <c r="AB24" s="190" t="inlineStr">
        <is>
          <t>-</t>
        </is>
      </c>
      <c r="AC24" s="190">
        <f>'NME-3 Kondensasi-Dekantasi'!O33</f>
        <v>207.48871529308545</v>
      </c>
      <c r="AD24" s="190">
        <f>'NME-3 Kondensasi-Dekantasi'!S33</f>
        <v>0.0</v>
      </c>
      <c r="AE24" s="190">
        <f>'NME-3 Kondensasi-Dekantasi'!S33</f>
        <v>0.0</v>
      </c>
      <c r="AF24" s="190">
        <f>'NME-4 Kolom Ringan'!C33</f>
        <v>0.0</v>
      </c>
      <c r="AG24" s="190">
        <f>'NME-4 Kolom Ringan'!K33</f>
        <v>0.0</v>
      </c>
      <c r="AH24" s="190">
        <f>'NME-4 Kolom Ringan'!O33</f>
        <v>0.0</v>
      </c>
      <c r="AI24" s="190">
        <f>'NME-5 Kolom Berat'!C33</f>
        <v>0.0</v>
      </c>
      <c r="AJ24" s="190">
        <f>'NME-5 Kolom Berat'!K33</f>
        <v>0.0</v>
      </c>
      <c r="AK24" s="190">
        <f>'NME-5 Kolom Berat'!G33</f>
        <v>0.0</v>
      </c>
      <c r="AL24" s="190">
        <f>'NME-5 Kolom Berat'!G33</f>
        <v>0.0</v>
      </c>
      <c r="AM24" s="190">
        <f>'NME-6 Pirolisis'!C31</f>
        <v>0.0</v>
      </c>
      <c r="AN24" s="190">
        <f>'NME-6 Pirolisis'!G31</f>
        <v>14820.63514719679</v>
      </c>
      <c r="AO24" s="190">
        <f>'NME-7 Kolom HCl'!C31</f>
        <v>14820.63514719679</v>
      </c>
      <c r="AP24" s="190">
        <f>'NME-7 Kolom HCl'!C31</f>
        <v>14820.63514719679</v>
      </c>
      <c r="AQ24" s="190">
        <f>'NME-7 Kolom HCl'!G31</f>
        <v>14820.622520934165</v>
      </c>
      <c r="AR24" s="190">
        <f>'NME-7 Kolom HCl'!G31</f>
        <v>14820.622520934165</v>
      </c>
      <c r="AS24" s="190">
        <f>'NME-2 Oksiklorinasi'!G36</f>
        <v>14820.622520934352</v>
      </c>
      <c r="AT24" s="190">
        <f>'NME-7 Kolom HCl'!K31</f>
        <v>0.01262626262626249</v>
      </c>
      <c r="AU24" s="190">
        <f>'NME-8 Kolom VCM'!C32</f>
        <v>0.01262626262626249</v>
      </c>
      <c r="AV24" s="190">
        <f>'NME-8 Kolom VCM'!G32</f>
        <v>0.012626262626262798</v>
      </c>
      <c r="AW24" s="190">
        <f>'NME-8 Kolom VCM'!G32</f>
        <v>0.012626262626262798</v>
      </c>
      <c r="AX24" s="190">
        <f>'NME-8 Kolom VCM'!K32</f>
        <v>0.0</v>
      </c>
      <c r="AY24" s="190">
        <f>'NME-8 Kolom VCM'!K32</f>
        <v>0.0</v>
      </c>
      <c r="AZ24" s="190">
        <f>'NME-4 Kolom Ringan'!G33</f>
        <v>0.0</v>
      </c>
    </row>
    <row r="25">
      <c r="A25" s="188" t="inlineStr">
        <is>
          <t>FeCl₃</t>
        </is>
      </c>
      <c r="B25" s="190">
        <f>'NME-1 Klorinasi Langsung'!C38</f>
        <v>0.0</v>
      </c>
      <c r="C25" s="190">
        <f>'NME-1 Klorinasi Langsung'!C38</f>
        <v>0.0</v>
      </c>
      <c r="D25" s="190">
        <f>'NME-1 Klorinasi Langsung'!C38</f>
        <v>0.0</v>
      </c>
      <c r="E25" s="190">
        <f>'NME-1 Klorinasi Langsung'!G38+'NME-2 Oksiklorinasi'!C37</f>
        <v>0.0</v>
      </c>
      <c r="F25" s="190">
        <f>'NME-1 Klorinasi Langsung'!G38+'NME-2 Oksiklorinasi'!C37</f>
        <v>0.0</v>
      </c>
      <c r="G25" s="190">
        <f>'NME-1 Klorinasi Langsung'!G38+'NME-2 Oksiklorinasi'!C37</f>
        <v>0.0</v>
      </c>
      <c r="H25" s="190">
        <f>'NME-1 Klorinasi Langsung'!G38</f>
        <v>0.0</v>
      </c>
      <c r="I25" s="190">
        <f>'NME-1 Klorinasi Langsung'!G38</f>
        <v>0.0</v>
      </c>
      <c r="J25" s="190">
        <f>'NME-2 Oksiklorinasi'!C37</f>
        <v>0.0</v>
      </c>
      <c r="K25" s="190">
        <f>'NME-1 Klorinasi Langsung'!K38</f>
        <v>4.2858109726273375</v>
      </c>
      <c r="L25" s="190" t="inlineStr">
        <is>
          <t>-</t>
        </is>
      </c>
      <c r="M25" s="190" t="inlineStr">
        <is>
          <t>-</t>
        </is>
      </c>
      <c r="N25" s="190">
        <f>'NME-1 Klorinasi Langsung'!S38</f>
        <v>0.0</v>
      </c>
      <c r="O25" s="190">
        <f>'NME-1 Klorinasi Langsung'!O38</f>
        <v>4.2858109726273375</v>
      </c>
      <c r="P25" s="190">
        <f>'NME-3 Kondensasi-Dekantasi'!C34</f>
        <v>4.2858109726273375</v>
      </c>
      <c r="Q25" s="190">
        <f>'NME-2 Oksiklorinasi'!K37</f>
        <v>0.0</v>
      </c>
      <c r="R25" s="190">
        <f>'NME-2 Oksiklorinasi'!K37</f>
        <v>0.0</v>
      </c>
      <c r="S25" s="190">
        <f>'NME-2 Oksiklorinasi'!O37</f>
        <v>0.0</v>
      </c>
      <c r="T25" s="190" t="inlineStr">
        <is>
          <t>-</t>
        </is>
      </c>
      <c r="U25" s="190" t="inlineStr">
        <is>
          <t>-</t>
        </is>
      </c>
      <c r="V25" s="190" t="inlineStr">
        <is>
          <t>-</t>
        </is>
      </c>
      <c r="W25" s="190" t="inlineStr">
        <is>
          <t>-</t>
        </is>
      </c>
      <c r="X25" s="190" t="inlineStr">
        <is>
          <t>-</t>
        </is>
      </c>
      <c r="Y25" s="190" t="inlineStr">
        <is>
          <t>-</t>
        </is>
      </c>
      <c r="Z25" s="190">
        <f>'NME-3 Kondensasi-Dekantasi'!K34</f>
        <v>0.0</v>
      </c>
      <c r="AA25" s="190" t="inlineStr">
        <is>
          <t>-</t>
        </is>
      </c>
      <c r="AB25" s="190" t="inlineStr">
        <is>
          <t>-</t>
        </is>
      </c>
      <c r="AC25" s="190">
        <f>'NME-3 Kondensasi-Dekantasi'!O34</f>
        <v>4.162409948296146</v>
      </c>
      <c r="AD25" s="190">
        <f>'NME-3 Kondensasi-Dekantasi'!S34</f>
        <v>0.12340102433114294</v>
      </c>
      <c r="AE25" s="190">
        <f>'NME-3 Kondensasi-Dekantasi'!S34</f>
        <v>0.12340102433114294</v>
      </c>
      <c r="AF25" s="190">
        <f>'NME-4 Kolom Ringan'!C34</f>
        <v>0.12340102433114014</v>
      </c>
      <c r="AG25" s="190">
        <f>'NME-4 Kolom Ringan'!K34</f>
        <v>0.0</v>
      </c>
      <c r="AH25" s="190">
        <f>'NME-4 Kolom Ringan'!O34</f>
        <v>0.12340102433114294</v>
      </c>
      <c r="AI25" s="190">
        <f>'NME-5 Kolom Berat'!C34</f>
        <v>0.12340102433114014</v>
      </c>
      <c r="AJ25" s="190">
        <f>'NME-5 Kolom Berat'!K34</f>
        <v>0.12340102433114014</v>
      </c>
      <c r="AK25" s="190">
        <f>'NME-5 Kolom Berat'!G34</f>
        <v>0.0</v>
      </c>
      <c r="AL25" s="190">
        <f>'NME-5 Kolom Berat'!G34</f>
        <v>0.0</v>
      </c>
      <c r="AM25" s="190">
        <f>'NME-6 Pirolisis'!C32</f>
        <v>0.0</v>
      </c>
      <c r="AN25" s="190">
        <f>'NME-6 Pirolisis'!G32</f>
        <v>0.0</v>
      </c>
      <c r="AO25" s="190">
        <f>'NME-7 Kolom HCl'!C32</f>
        <v>0.0</v>
      </c>
      <c r="AP25" s="190">
        <f>'NME-7 Kolom HCl'!C32</f>
        <v>0.0</v>
      </c>
      <c r="AQ25" s="190">
        <f>'NME-7 Kolom HCl'!G32</f>
        <v>0.0</v>
      </c>
      <c r="AR25" s="190">
        <f>'NME-7 Kolom HCl'!G32</f>
        <v>0.0</v>
      </c>
      <c r="AS25" s="190">
        <f>'NME-2 Oksiklorinasi'!G37</f>
        <v>0.0</v>
      </c>
      <c r="AT25" s="190">
        <f>'NME-7 Kolom HCl'!K32</f>
        <v>0.0</v>
      </c>
      <c r="AU25" s="190">
        <f>'NME-8 Kolom VCM'!C33</f>
        <v>0.0</v>
      </c>
      <c r="AV25" s="190">
        <f>'NME-8 Kolom VCM'!G33</f>
        <v>0.0</v>
      </c>
      <c r="AW25" s="190">
        <f>'NME-8 Kolom VCM'!G33</f>
        <v>0.0</v>
      </c>
      <c r="AX25" s="190">
        <f>'NME-8 Kolom VCM'!K33</f>
        <v>0.0</v>
      </c>
      <c r="AY25" s="190">
        <f>'NME-8 Kolom VCM'!K33</f>
        <v>0.0</v>
      </c>
      <c r="AZ25" s="190">
        <f>'NME-4 Kolom Ringan'!G34</f>
        <v>0.0</v>
      </c>
    </row>
    <row r="26">
      <c r="A26" s="188" t="inlineStr">
        <is>
          <t>Ethyl chloride</t>
        </is>
      </c>
      <c r="B26" s="190">
        <f>'NME-1 Klorinasi Langsung'!C39</f>
        <v>0.0</v>
      </c>
      <c r="C26" s="190">
        <f>'NME-1 Klorinasi Langsung'!C39</f>
        <v>0.0</v>
      </c>
      <c r="D26" s="190">
        <f>'NME-1 Klorinasi Langsung'!C39</f>
        <v>0.0</v>
      </c>
      <c r="E26" s="190">
        <f>'NME-1 Klorinasi Langsung'!G39+'NME-2 Oksiklorinasi'!C38</f>
        <v>0.0</v>
      </c>
      <c r="F26" s="190">
        <f>'NME-1 Klorinasi Langsung'!G39+'NME-2 Oksiklorinasi'!C38</f>
        <v>0.0</v>
      </c>
      <c r="G26" s="190">
        <f>'NME-1 Klorinasi Langsung'!G39+'NME-2 Oksiklorinasi'!C38</f>
        <v>0.0</v>
      </c>
      <c r="H26" s="190">
        <f>'NME-1 Klorinasi Langsung'!G39</f>
        <v>0.0</v>
      </c>
      <c r="I26" s="190">
        <f>'NME-1 Klorinasi Langsung'!G39</f>
        <v>0.0</v>
      </c>
      <c r="J26" s="190">
        <f>'NME-2 Oksiklorinasi'!C38</f>
        <v>0.0</v>
      </c>
      <c r="K26" s="190">
        <f>'NME-1 Klorinasi Langsung'!K39</f>
        <v>0.0</v>
      </c>
      <c r="L26" s="190" t="inlineStr">
        <is>
          <t>-</t>
        </is>
      </c>
      <c r="M26" s="190" t="inlineStr">
        <is>
          <t>-</t>
        </is>
      </c>
      <c r="N26" s="190">
        <f>'NME-1 Klorinasi Langsung'!S39</f>
        <v>0.0</v>
      </c>
      <c r="O26" s="190">
        <f>'NME-1 Klorinasi Langsung'!O39</f>
        <v>0.0</v>
      </c>
      <c r="P26" s="190">
        <f>'NME-3 Kondensasi-Dekantasi'!C35</f>
        <v>0.0</v>
      </c>
      <c r="Q26" s="190">
        <f>'NME-2 Oksiklorinasi'!K38</f>
        <v>0.0</v>
      </c>
      <c r="R26" s="190">
        <f>'NME-2 Oksiklorinasi'!K38</f>
        <v>0.0</v>
      </c>
      <c r="S26" s="190">
        <f>'NME-2 Oksiklorinasi'!O38</f>
        <v>104.89591200824856</v>
      </c>
      <c r="T26" s="190" t="inlineStr">
        <is>
          <t>-</t>
        </is>
      </c>
      <c r="U26" s="190" t="inlineStr">
        <is>
          <t>-</t>
        </is>
      </c>
      <c r="V26" s="190" t="inlineStr">
        <is>
          <t>-</t>
        </is>
      </c>
      <c r="W26" s="190" t="inlineStr">
        <is>
          <t>-</t>
        </is>
      </c>
      <c r="X26" s="190" t="inlineStr">
        <is>
          <t>-</t>
        </is>
      </c>
      <c r="Y26" s="190" t="inlineStr">
        <is>
          <t>-</t>
        </is>
      </c>
      <c r="Z26" s="190">
        <f>'NME-3 Kondensasi-Dekantasi'!K35</f>
        <v>0.0</v>
      </c>
      <c r="AA26" s="190" t="inlineStr">
        <is>
          <t>-</t>
        </is>
      </c>
      <c r="AB26" s="190" t="inlineStr">
        <is>
          <t>-</t>
        </is>
      </c>
      <c r="AC26" s="190">
        <f>'NME-3 Kondensasi-Dekantasi'!O35</f>
        <v>0.0</v>
      </c>
      <c r="AD26" s="190">
        <f>'NME-3 Kondensasi-Dekantasi'!S35</f>
        <v>104.89591200816055</v>
      </c>
      <c r="AE26" s="190">
        <f>'NME-3 Kondensasi-Dekantasi'!S35</f>
        <v>104.89591200816055</v>
      </c>
      <c r="AF26" s="190">
        <f>'NME-4 Kolom Ringan'!C35</f>
        <v>104.89591200824856</v>
      </c>
      <c r="AG26" s="190">
        <f>'NME-4 Kolom Ringan'!K35</f>
        <v>104.89591200824856</v>
      </c>
      <c r="AH26" s="190">
        <f>'NME-4 Kolom Ringan'!O35</f>
        <v>0.0</v>
      </c>
      <c r="AI26" s="190">
        <f>'NME-5 Kolom Berat'!C35</f>
        <v>0.0</v>
      </c>
      <c r="AJ26" s="190">
        <f>'NME-5 Kolom Berat'!K35</f>
        <v>0.0</v>
      </c>
      <c r="AK26" s="190">
        <f>'NME-5 Kolom Berat'!G35</f>
        <v>0.0</v>
      </c>
      <c r="AL26" s="190">
        <f>'NME-5 Kolom Berat'!G35</f>
        <v>0.0</v>
      </c>
      <c r="AM26" s="190">
        <f>'NME-6 Pirolisis'!C33</f>
        <v>0.0</v>
      </c>
      <c r="AN26" s="190">
        <f>'NME-6 Pirolisis'!G33</f>
        <v>0.0</v>
      </c>
      <c r="AO26" s="190">
        <f>'NME-7 Kolom HCl'!C33</f>
        <v>0.0</v>
      </c>
      <c r="AP26" s="190">
        <f>'NME-7 Kolom HCl'!C33</f>
        <v>0.0</v>
      </c>
      <c r="AQ26" s="190">
        <f>'NME-7 Kolom HCl'!G33</f>
        <v>0.0</v>
      </c>
      <c r="AR26" s="190">
        <f>'NME-7 Kolom HCl'!G33</f>
        <v>0.0</v>
      </c>
      <c r="AS26" s="190">
        <f>'NME-2 Oksiklorinasi'!G38</f>
        <v>0.0</v>
      </c>
      <c r="AT26" s="190">
        <f>'NME-7 Kolom HCl'!K33</f>
        <v>0.0</v>
      </c>
      <c r="AU26" s="190">
        <f>'NME-8 Kolom VCM'!C34</f>
        <v>0.0</v>
      </c>
      <c r="AV26" s="190">
        <f>'NME-8 Kolom VCM'!G34</f>
        <v>0.0</v>
      </c>
      <c r="AW26" s="190">
        <f>'NME-8 Kolom VCM'!G34</f>
        <v>0.0</v>
      </c>
      <c r="AX26" s="190">
        <f>'NME-8 Kolom VCM'!K34</f>
        <v>0.0</v>
      </c>
      <c r="AY26" s="190">
        <f>'NME-8 Kolom VCM'!K34</f>
        <v>0.0</v>
      </c>
      <c r="AZ26" s="190">
        <f>'NME-4 Kolom Ringan'!G35</f>
        <v>0.0</v>
      </c>
    </row>
    <row r="27">
      <c r="A27" s="188" t="inlineStr">
        <is>
          <t>VCM</t>
        </is>
      </c>
      <c r="B27" s="190">
        <f>'NME-1 Klorinasi Langsung'!C40</f>
        <v>0.0</v>
      </c>
      <c r="C27" s="190">
        <f>'NME-1 Klorinasi Langsung'!C40</f>
        <v>0.0</v>
      </c>
      <c r="D27" s="190">
        <f>'NME-1 Klorinasi Langsung'!C40</f>
        <v>0.0</v>
      </c>
      <c r="E27" s="190">
        <f>'NME-1 Klorinasi Langsung'!G40+'NME-2 Oksiklorinasi'!C39</f>
        <v>0.0</v>
      </c>
      <c r="F27" s="190">
        <f>'NME-1 Klorinasi Langsung'!G40+'NME-2 Oksiklorinasi'!C39</f>
        <v>0.0</v>
      </c>
      <c r="G27" s="190">
        <f>'NME-1 Klorinasi Langsung'!G40+'NME-2 Oksiklorinasi'!C39</f>
        <v>0.0</v>
      </c>
      <c r="H27" s="190">
        <f>'NME-1 Klorinasi Langsung'!G40</f>
        <v>0.0</v>
      </c>
      <c r="I27" s="190">
        <f>'NME-1 Klorinasi Langsung'!G40</f>
        <v>0.0</v>
      </c>
      <c r="J27" s="190">
        <f>'NME-2 Oksiklorinasi'!C39</f>
        <v>0.0</v>
      </c>
      <c r="K27" s="190">
        <f>'NME-1 Klorinasi Langsung'!K40</f>
        <v>0.0</v>
      </c>
      <c r="L27" s="190" t="inlineStr">
        <is>
          <t>-</t>
        </is>
      </c>
      <c r="M27" s="190" t="inlineStr">
        <is>
          <t>-</t>
        </is>
      </c>
      <c r="N27" s="190">
        <f>'NME-1 Klorinasi Langsung'!S40</f>
        <v>0.0</v>
      </c>
      <c r="O27" s="190">
        <f>'NME-1 Klorinasi Langsung'!O40</f>
        <v>0.0</v>
      </c>
      <c r="P27" s="190">
        <f>'NME-3 Kondensasi-Dekantasi'!C36</f>
        <v>0.0</v>
      </c>
      <c r="Q27" s="190">
        <f>'NME-2 Oksiklorinasi'!K39</f>
        <v>0.0</v>
      </c>
      <c r="R27" s="190">
        <f>'NME-2 Oksiklorinasi'!K39</f>
        <v>0.0</v>
      </c>
      <c r="S27" s="190">
        <f>'NME-2 Oksiklorinasi'!O39</f>
        <v>2.56001028053807</v>
      </c>
      <c r="T27" s="190" t="inlineStr">
        <is>
          <t>-</t>
        </is>
      </c>
      <c r="U27" s="190" t="inlineStr">
        <is>
          <t>-</t>
        </is>
      </c>
      <c r="V27" s="190" t="inlineStr">
        <is>
          <t>-</t>
        </is>
      </c>
      <c r="W27" s="190" t="inlineStr">
        <is>
          <t>-</t>
        </is>
      </c>
      <c r="X27" s="190" t="inlineStr">
        <is>
          <t>-</t>
        </is>
      </c>
      <c r="Y27" s="190" t="inlineStr">
        <is>
          <t>-</t>
        </is>
      </c>
      <c r="Z27" s="190">
        <f>'NME-3 Kondensasi-Dekantasi'!K36</f>
        <v>2.56001028053807</v>
      </c>
      <c r="AA27" s="190" t="inlineStr">
        <is>
          <t>-</t>
        </is>
      </c>
      <c r="AB27" s="190" t="inlineStr">
        <is>
          <t>-</t>
        </is>
      </c>
      <c r="AC27" s="190">
        <f>'NME-3 Kondensasi-Dekantasi'!O36</f>
        <v>0.0</v>
      </c>
      <c r="AD27" s="190">
        <f>'NME-3 Kondensasi-Dekantasi'!S36</f>
        <v>0.0</v>
      </c>
      <c r="AE27" s="190">
        <f>'NME-3 Kondensasi-Dekantasi'!S36</f>
        <v>0.0</v>
      </c>
      <c r="AF27" s="190">
        <f>'NME-4 Kolom Ringan'!C36</f>
        <v>0.0</v>
      </c>
      <c r="AG27" s="190">
        <f>'NME-4 Kolom Ringan'!K36</f>
        <v>169.04584136104577</v>
      </c>
      <c r="AH27" s="190">
        <f>'NME-4 Kolom Ringan'!O36</f>
        <v>0.746933259985981</v>
      </c>
      <c r="AI27" s="190">
        <f>'NME-5 Kolom Berat'!C36</f>
        <v>0.746933259985981</v>
      </c>
      <c r="AJ27" s="190">
        <f>'NME-5 Kolom Berat'!K36</f>
        <v>0.0</v>
      </c>
      <c r="AK27" s="190">
        <f>'NME-5 Kolom Berat'!G36</f>
        <v>0.746933259985981</v>
      </c>
      <c r="AL27" s="190">
        <f>'NME-5 Kolom Berat'!G36</f>
        <v>0.746933259985981</v>
      </c>
      <c r="AM27" s="190">
        <f>'NME-6 Pirolisis'!C34</f>
        <v>0.746933259985981</v>
      </c>
      <c r="AN27" s="190">
        <f>'NME-6 Pirolisis'!G34</f>
        <v>25404.878894245834</v>
      </c>
      <c r="AO27" s="190">
        <f>'NME-7 Kolom HCl'!C34</f>
        <v>25404.878894245834</v>
      </c>
      <c r="AP27" s="190">
        <f>'NME-7 Kolom HCl'!C34</f>
        <v>25404.878894245834</v>
      </c>
      <c r="AQ27" s="190">
        <f>'NME-7 Kolom HCl'!G34</f>
        <v>2.56001028053807</v>
      </c>
      <c r="AR27" s="190">
        <f>'NME-7 Kolom HCl'!G34</f>
        <v>2.56001028053807</v>
      </c>
      <c r="AS27" s="190">
        <f>'NME-2 Oksiklorinasi'!G39</f>
        <v>2.56001028053807</v>
      </c>
      <c r="AT27" s="190">
        <f>'NME-7 Kolom HCl'!K34</f>
        <v>25402.318883965298</v>
      </c>
      <c r="AU27" s="190">
        <f>'NME-8 Kolom VCM'!C35</f>
        <v>25402.318883965298</v>
      </c>
      <c r="AV27" s="190">
        <f>'NME-8 Kolom VCM'!G35</f>
        <v>25232.52610934458</v>
      </c>
      <c r="AW27" s="190">
        <f>'NME-8 Kolom VCM'!G35</f>
        <v>25232.52610934458</v>
      </c>
      <c r="AX27" s="190">
        <f>'NME-8 Kolom VCM'!K35</f>
        <v>169.79277462103175</v>
      </c>
      <c r="AY27" s="190">
        <f>'NME-8 Kolom VCM'!K35</f>
        <v>169.79277462103175</v>
      </c>
      <c r="AZ27" s="190">
        <f>'NME-4 Kolom Ringan'!G36</f>
        <v>169.79277462103175</v>
      </c>
    </row>
    <row r="28">
      <c r="A28" s="188" t="inlineStr">
        <is>
          <t>Fraksi berat (C₄H₈Cl₂)</t>
        </is>
      </c>
      <c r="B28" s="190">
        <f>'NME-1 Klorinasi Langsung'!C41</f>
        <v>0.0</v>
      </c>
      <c r="C28" s="190">
        <f>'NME-1 Klorinasi Langsung'!C41</f>
        <v>0.0</v>
      </c>
      <c r="D28" s="190">
        <f>'NME-1 Klorinasi Langsung'!C41</f>
        <v>0.0</v>
      </c>
      <c r="E28" s="190">
        <f>'NME-1 Klorinasi Langsung'!G41+'NME-2 Oksiklorinasi'!C40</f>
        <v>0.0</v>
      </c>
      <c r="F28" s="190">
        <f>'NME-1 Klorinasi Langsung'!G41+'NME-2 Oksiklorinasi'!C40</f>
        <v>0.0</v>
      </c>
      <c r="G28" s="190">
        <f>'NME-1 Klorinasi Langsung'!G41+'NME-2 Oksiklorinasi'!C40</f>
        <v>0.0</v>
      </c>
      <c r="H28" s="190">
        <f>'NME-1 Klorinasi Langsung'!G41</f>
        <v>0.0</v>
      </c>
      <c r="I28" s="190">
        <f>'NME-1 Klorinasi Langsung'!G41</f>
        <v>0.0</v>
      </c>
      <c r="J28" s="190">
        <f>'NME-2 Oksiklorinasi'!C40</f>
        <v>0.0</v>
      </c>
      <c r="K28" s="190">
        <f>'NME-1 Klorinasi Langsung'!K41</f>
        <v>0.0</v>
      </c>
      <c r="L28" s="190" t="inlineStr">
        <is>
          <t>-</t>
        </is>
      </c>
      <c r="M28" s="190" t="inlineStr">
        <is>
          <t>-</t>
        </is>
      </c>
      <c r="N28" s="190">
        <f>'NME-1 Klorinasi Langsung'!S41</f>
        <v>0.0</v>
      </c>
      <c r="O28" s="190">
        <f>'NME-1 Klorinasi Langsung'!O41</f>
        <v>0.0</v>
      </c>
      <c r="P28" s="190">
        <f>'NME-3 Kondensasi-Dekantasi'!C37</f>
        <v>0.0</v>
      </c>
      <c r="Q28" s="190">
        <f>'NME-2 Oksiklorinasi'!K40</f>
        <v>0.0</v>
      </c>
      <c r="R28" s="190">
        <f>'NME-2 Oksiklorinasi'!K40</f>
        <v>0.0</v>
      </c>
      <c r="S28" s="190">
        <f>'NME-2 Oksiklorinasi'!O40</f>
        <v>0.0</v>
      </c>
      <c r="T28" s="190" t="inlineStr">
        <is>
          <t>-</t>
        </is>
      </c>
      <c r="U28" s="190" t="inlineStr">
        <is>
          <t>-</t>
        </is>
      </c>
      <c r="V28" s="190" t="inlineStr">
        <is>
          <t>-</t>
        </is>
      </c>
      <c r="W28" s="190" t="inlineStr">
        <is>
          <t>-</t>
        </is>
      </c>
      <c r="X28" s="190" t="inlineStr">
        <is>
          <t>-</t>
        </is>
      </c>
      <c r="Y28" s="190" t="inlineStr">
        <is>
          <t>-</t>
        </is>
      </c>
      <c r="Z28" s="190">
        <f>'NME-3 Kondensasi-Dekantasi'!K37</f>
        <v>0.0</v>
      </c>
      <c r="AA28" s="190" t="inlineStr">
        <is>
          <t>-</t>
        </is>
      </c>
      <c r="AB28" s="190" t="inlineStr">
        <is>
          <t>-</t>
        </is>
      </c>
      <c r="AC28" s="190">
        <f>'NME-3 Kondensasi-Dekantasi'!O37</f>
        <v>0.0</v>
      </c>
      <c r="AD28" s="190">
        <f>'NME-3 Kondensasi-Dekantasi'!S37</f>
        <v>0.0</v>
      </c>
      <c r="AE28" s="190">
        <f>'NME-3 Kondensasi-Dekantasi'!S37</f>
        <v>0.0</v>
      </c>
      <c r="AF28" s="190">
        <f>'NME-4 Kolom Ringan'!C37</f>
        <v>0.0</v>
      </c>
      <c r="AG28" s="190">
        <f>'NME-4 Kolom Ringan'!K37</f>
        <v>0.0</v>
      </c>
      <c r="AH28" s="190">
        <f>'NME-4 Kolom Ringan'!O37</f>
        <v>393.10760637873085</v>
      </c>
      <c r="AI28" s="190">
        <f>'NME-5 Kolom Berat'!C37</f>
        <v>393.10760637872266</v>
      </c>
      <c r="AJ28" s="190">
        <f>'NME-5 Kolom Berat'!K37</f>
        <v>393.10760637872266</v>
      </c>
      <c r="AK28" s="190">
        <f>'NME-5 Kolom Berat'!G37</f>
        <v>0.0</v>
      </c>
      <c r="AL28" s="190">
        <f>'NME-5 Kolom Berat'!G37</f>
        <v>0.0</v>
      </c>
      <c r="AM28" s="190">
        <f>'NME-6 Pirolisis'!C35</f>
        <v>0.0</v>
      </c>
      <c r="AN28" s="190">
        <f>'NME-6 Pirolisis'!G35</f>
        <v>393.1076063787176</v>
      </c>
      <c r="AO28" s="190">
        <f>'NME-7 Kolom HCl'!C35</f>
        <v>393.1076063787176</v>
      </c>
      <c r="AP28" s="190">
        <f>'NME-7 Kolom HCl'!C35</f>
        <v>393.1076063787176</v>
      </c>
      <c r="AQ28" s="190">
        <f>'NME-7 Kolom HCl'!G35</f>
        <v>0.0</v>
      </c>
      <c r="AR28" s="190">
        <f>'NME-7 Kolom HCl'!G35</f>
        <v>0.0</v>
      </c>
      <c r="AS28" s="190">
        <f>'NME-2 Oksiklorinasi'!G40</f>
        <v>0.0</v>
      </c>
      <c r="AT28" s="190">
        <f>'NME-7 Kolom HCl'!K35</f>
        <v>393.1076063787176</v>
      </c>
      <c r="AU28" s="190">
        <f>'NME-8 Kolom VCM'!C36</f>
        <v>393.1076063787176</v>
      </c>
      <c r="AV28" s="190">
        <f>'NME-8 Kolom VCM'!G36</f>
        <v>0.0</v>
      </c>
      <c r="AW28" s="190">
        <f>'NME-8 Kolom VCM'!G36</f>
        <v>0.0</v>
      </c>
      <c r="AX28" s="190">
        <f>'NME-8 Kolom VCM'!K36</f>
        <v>393.10760637872266</v>
      </c>
      <c r="AY28" s="190">
        <f>'NME-8 Kolom VCM'!K36</f>
        <v>393.10760637872266</v>
      </c>
      <c r="AZ28" s="190">
        <f>'NME-4 Kolom Ringan'!G37</f>
        <v>393.10760637872266</v>
      </c>
    </row>
    <row r="29">
      <c r="A29" s="196" t="inlineStr">
        <is>
          <t>Total (kg/h)</t>
        </is>
      </c>
      <c r="B29" s="205">
        <f>SUM(B8:B28)</f>
        <v>15377.131878577646</v>
      </c>
      <c r="C29" s="205">
        <f>SUM(C8:C28)</f>
        <v>15377.131878577646</v>
      </c>
      <c r="D29" s="205">
        <f>SUM(D8:D28)</f>
        <v>15377.131878577646</v>
      </c>
      <c r="E29" s="205">
        <f>SUM(E8:E28)</f>
        <v>11803.669714949243</v>
      </c>
      <c r="F29" s="205">
        <f>SUM(F8:F28)</f>
        <v>11803.669714949243</v>
      </c>
      <c r="G29" s="205">
        <f>SUM(G8:G28)</f>
        <v>11803.669714949243</v>
      </c>
      <c r="H29" s="205">
        <f>SUM(H8:H28)</f>
        <v>6100.572183061604</v>
      </c>
      <c r="I29" s="205">
        <f>SUM(I8:I28)</f>
        <v>6100.572183061604</v>
      </c>
      <c r="J29" s="205">
        <f>SUM(J8:J28)</f>
        <v>5703.097531887638</v>
      </c>
      <c r="K29" s="205">
        <f>SUM(K8:K28)</f>
        <v>4.2858109726273375</v>
      </c>
      <c r="L29" s="192" t="inlineStr">
        <is>
          <t>-</t>
        </is>
      </c>
      <c r="M29" s="192" t="inlineStr">
        <is>
          <t>-</t>
        </is>
      </c>
      <c r="N29" s="205">
        <f>SUM(N8:N28)</f>
        <v>97.39541330820659</v>
      </c>
      <c r="O29" s="205">
        <f>SUM(O8:O28)</f>
        <v>21384.594459303833</v>
      </c>
      <c r="P29" s="205">
        <f>SUM(P8:P28)</f>
        <v>21384.594459303833</v>
      </c>
      <c r="Q29" s="205">
        <f>SUM(Q8:Q28)</f>
        <v>22337.634459160297</v>
      </c>
      <c r="R29" s="205">
        <f>SUM(R8:R28)</f>
        <v>22337.634459160297</v>
      </c>
      <c r="S29" s="205">
        <f>SUM(S8:S28)</f>
        <v>43083.06643327203</v>
      </c>
      <c r="T29" s="192" t="inlineStr">
        <is>
          <t>-</t>
        </is>
      </c>
      <c r="U29" s="192" t="inlineStr">
        <is>
          <t>-</t>
        </is>
      </c>
      <c r="V29" s="192" t="inlineStr">
        <is>
          <t>-</t>
        </is>
      </c>
      <c r="W29" s="192" t="inlineStr">
        <is>
          <t>-</t>
        </is>
      </c>
      <c r="X29" s="192" t="inlineStr">
        <is>
          <t>-</t>
        </is>
      </c>
      <c r="Y29" s="192" t="inlineStr">
        <is>
          <t>-</t>
        </is>
      </c>
      <c r="Z29" s="205">
        <f>SUM(Z8:Z28)</f>
        <v>19487.072197175527</v>
      </c>
      <c r="AA29" s="192" t="inlineStr">
        <is>
          <t>-</t>
        </is>
      </c>
      <c r="AB29" s="192" t="inlineStr">
        <is>
          <t>-</t>
        </is>
      </c>
      <c r="AC29" s="205">
        <f>SUM(AC8:AC28)</f>
        <v>3764.4817043717962</v>
      </c>
      <c r="AD29" s="205">
        <f>SUM(AD8:AD28)</f>
        <v>41216.10699102872</v>
      </c>
      <c r="AE29" s="205">
        <f>SUM(AE8:AE28)</f>
        <v>41216.10699102872</v>
      </c>
      <c r="AF29" s="205">
        <f>SUM(AF8:AF28)</f>
        <v>41216.106991028566</v>
      </c>
      <c r="AG29" s="205">
        <f>SUM(AG8:AG28)</f>
        <v>481.3359166377536</v>
      </c>
      <c r="AH29" s="205">
        <f>SUM(AH8:AH28)</f>
        <v>74693.3259985981</v>
      </c>
      <c r="AI29" s="205">
        <f>SUM(AI8:AI28)</f>
        <v>74693.32599859714</v>
      </c>
      <c r="AJ29" s="205">
        <f>SUM(AJ8:AJ28)</f>
        <v>439.610991830358</v>
      </c>
      <c r="AK29" s="205">
        <f>SUM(AK8:AK28)</f>
        <v>74253.71500676678</v>
      </c>
      <c r="AL29" s="205">
        <f>SUM(AL8:AL28)</f>
        <v>74253.71500676678</v>
      </c>
      <c r="AM29" s="205">
        <f>SUM(AM8:AM28)</f>
        <v>74253.71500676678</v>
      </c>
      <c r="AN29" s="205">
        <f>SUM(AN8:AN28)</f>
        <v>74253.71500676678</v>
      </c>
      <c r="AO29" s="205">
        <f>SUM(AO8:AO28)</f>
        <v>74253.71500676678</v>
      </c>
      <c r="AP29" s="205">
        <f>SUM(AP8:AP28)</f>
        <v>74253.71500676678</v>
      </c>
      <c r="AQ29" s="205">
        <f>SUM(AQ8:AQ28)</f>
        <v>15042.634830036739</v>
      </c>
      <c r="AR29" s="205">
        <f>SUM(AR8:AR28)</f>
        <v>15042.634830036739</v>
      </c>
      <c r="AS29" s="205">
        <f>SUM(AS8:AS28)</f>
        <v>15042.634830036926</v>
      </c>
      <c r="AT29" s="205">
        <f>SUM(AT8:AT28)</f>
        <v>59211.08017673006</v>
      </c>
      <c r="AU29" s="205">
        <f>SUM(AU8:AU28)</f>
        <v>59211.08017673006</v>
      </c>
      <c r="AV29" s="205">
        <f>SUM(AV8:AV28)</f>
        <v>25252.525252524458</v>
      </c>
      <c r="AW29" s="205">
        <f>SUM(AW8:AW28)</f>
        <v>25252.525252524458</v>
      </c>
      <c r="AX29" s="205">
        <f>SUM(AX8:AX28)</f>
        <v>33958.55492420634</v>
      </c>
      <c r="AY29" s="205">
        <f>SUM(AY8:AY28)</f>
        <v>33958.55492420634</v>
      </c>
      <c r="AZ29" s="205">
        <f>SUM(AZ8:AZ28)</f>
        <v>33958.55492420634</v>
      </c>
    </row>
    <row r="30">
      <c r="A30" s="196" t="inlineStr">
        <is>
          <t>Total (kmol/h)</t>
        </is>
      </c>
      <c r="B30" s="191">
        <f>'NME-1 Klorinasi Langsung'!E42</f>
        <v>217.41802974233588</v>
      </c>
      <c r="C30" s="191">
        <f>'NME-1 Klorinasi Langsung'!E42</f>
        <v>217.41802974233588</v>
      </c>
      <c r="D30" s="191">
        <f>'NME-1 Klorinasi Langsung'!E42</f>
        <v>217.41802974233588</v>
      </c>
      <c r="E30" s="191">
        <f>'NME-1 Klorinasi Langsung'!I42+'NME-2 Oksiklorinasi'!E41</f>
        <v>420.8209082824245</v>
      </c>
      <c r="F30" s="191">
        <f>'NME-1 Klorinasi Langsung'!I42+'NME-2 Oksiklorinasi'!E41</f>
        <v>420.8209082824245</v>
      </c>
      <c r="G30" s="191">
        <f>'NME-1 Klorinasi Langsung'!I42+'NME-2 Oksiklorinasi'!E41</f>
        <v>420.8209082824245</v>
      </c>
      <c r="H30" s="191">
        <f>'NME-1 Klorinasi Langsung'!I42</f>
        <v>217.4957779331186</v>
      </c>
      <c r="I30" s="191">
        <f>'NME-1 Klorinasi Langsung'!I42</f>
        <v>217.4957779331186</v>
      </c>
      <c r="J30" s="191">
        <f>'NME-2 Oksiklorinasi'!E41</f>
        <v>203.32513034930594</v>
      </c>
      <c r="K30" s="191">
        <f>'NME-1 Klorinasi Langsung'!M42</f>
        <v>0.02642235069805515</v>
      </c>
      <c r="L30" s="192" t="inlineStr">
        <is>
          <t>-</t>
        </is>
      </c>
      <c r="M30" s="192" t="inlineStr">
        <is>
          <t>-</t>
        </is>
      </c>
      <c r="N30" s="191">
        <f>'NME-1 Klorinasi Langsung'!U42</f>
        <v>2.407395801428002</v>
      </c>
      <c r="O30" s="191">
        <f>'NME-1 Klorinasi Langsung'!Q42</f>
        <v>216.06475860322578</v>
      </c>
      <c r="P30" s="191">
        <f>'NME-3 Kondensasi-Dekantasi'!E38</f>
        <v>216.06475860322578</v>
      </c>
      <c r="Q30" s="191">
        <f>'NME-2 Oksiklorinasi'!M41</f>
        <v>774.245280785845</v>
      </c>
      <c r="R30" s="191">
        <f>'NME-2 Oksiklorinasi'!M41</f>
        <v>774.245280785845</v>
      </c>
      <c r="S30" s="191">
        <f>'NME-2 Oksiklorinasi'!Q41</f>
        <v>1086.1876327218315</v>
      </c>
      <c r="T30" s="192" t="inlineStr">
        <is>
          <t>-</t>
        </is>
      </c>
      <c r="U30" s="192" t="inlineStr">
        <is>
          <t>-</t>
        </is>
      </c>
      <c r="V30" s="192" t="inlineStr">
        <is>
          <t>-</t>
        </is>
      </c>
      <c r="W30" s="192" t="inlineStr">
        <is>
          <t>-</t>
        </is>
      </c>
      <c r="X30" s="192" t="inlineStr">
        <is>
          <t>-</t>
        </is>
      </c>
      <c r="Y30" s="192" t="inlineStr">
        <is>
          <t>-</t>
        </is>
      </c>
      <c r="Z30" s="191">
        <f>'NME-3 Kondensasi-Dekantasi'!M38</f>
        <v>678.6748687896428</v>
      </c>
      <c r="AA30" s="192" t="inlineStr">
        <is>
          <t>-</t>
        </is>
      </c>
      <c r="AB30" s="192" t="inlineStr">
        <is>
          <t>-</t>
        </is>
      </c>
      <c r="AC30" s="191">
        <f>'NME-3 Kondensasi-Dekantasi'!Q38</f>
        <v>202.7947567326817</v>
      </c>
      <c r="AD30" s="191">
        <f>'NME-3 Kondensasi-Dekantasi'!U38</f>
        <v>420.7827658027324</v>
      </c>
      <c r="AE30" s="191">
        <f>'NME-3 Kondensasi-Dekantasi'!U38</f>
        <v>420.7827658027324</v>
      </c>
      <c r="AF30" s="191">
        <f>'NME-4 Kolom Ringan'!E38</f>
        <v>420.7827658027324</v>
      </c>
      <c r="AG30" s="191">
        <f>'NME-4 Kolom Ringan'!M38</f>
        <v>10.16379114818792</v>
      </c>
      <c r="AH30" s="191">
        <f>'NME-4 Kolom Ringan'!Q38</f>
        <v>754.0173233429365</v>
      </c>
      <c r="AI30" s="191">
        <f>'NME-5 Kolom Berat'!E38</f>
        <v>754.0173233429365</v>
      </c>
      <c r="AJ30" s="191">
        <f>'NME-5 Kolom Berat'!M38</f>
        <v>3.547689640197211</v>
      </c>
      <c r="AK30" s="191">
        <f>'NME-5 Kolom Berat'!I38</f>
        <v>750.4696337027393</v>
      </c>
      <c r="AL30" s="191">
        <f>'NME-5 Kolom Berat'!I38</f>
        <v>750.4696337027393</v>
      </c>
      <c r="AM30" s="191">
        <f>'NME-6 Pirolisis'!E36</f>
        <v>750.4696337027393</v>
      </c>
      <c r="AN30" s="191">
        <f>'NME-6 Pirolisis'!I36</f>
        <v>1156.9487524103115</v>
      </c>
      <c r="AO30" s="191">
        <f>'NME-7 Kolom HCl'!E36</f>
        <v>1156.9487524103115</v>
      </c>
      <c r="AP30" s="191">
        <f>'NME-7 Kolom HCl'!E36</f>
        <v>1156.9487524103115</v>
      </c>
      <c r="AQ30" s="191">
        <f>'NME-7 Kolom HCl'!I36</f>
        <v>409.614752558173</v>
      </c>
      <c r="AR30" s="191">
        <f>'NME-7 Kolom HCl'!I36</f>
        <v>409.614752558173</v>
      </c>
      <c r="AS30" s="191">
        <f>'NME-2 Oksiklorinasi'!I41</f>
        <v>409.61475255817817</v>
      </c>
      <c r="AT30" s="191">
        <f>'NME-7 Kolom HCl'!M36</f>
        <v>747.3339998521386</v>
      </c>
      <c r="AU30" s="191">
        <f>'NME-8 Kolom VCM'!E37</f>
        <v>747.3339998521386</v>
      </c>
      <c r="AV30" s="191">
        <f>'NME-8 Kolom VCM'!I37</f>
        <v>403.9356511637508</v>
      </c>
      <c r="AW30" s="191">
        <f>'NME-8 Kolom VCM'!I37</f>
        <v>403.9356511637508</v>
      </c>
      <c r="AX30" s="191">
        <f>'NME-8 Kolom VCM'!M37</f>
        <v>343.3983486883878</v>
      </c>
      <c r="AY30" s="191">
        <f>'NME-8 Kolom VCM'!M37</f>
        <v>343.3983486883878</v>
      </c>
      <c r="AZ30" s="191">
        <f>'NME-4 Kolom Ringan'!I38</f>
        <v>343.39834868839216</v>
      </c>
    </row>
    <row r="31">
      <c r="A31" s="196" t="inlineStr">
        <is>
          <t>T (°C)</t>
        </is>
      </c>
      <c r="B31" s="193">
        <f>'NME-1 Klorinasi Langsung'!$B$53</f>
        <v>30.0</v>
      </c>
      <c r="C31" s="193">
        <f>'NME-1 Klorinasi Langsung'!$D$53</f>
        <v>-34.02999999999997</v>
      </c>
      <c r="D31" s="193">
        <f>'NME-1 Klorinasi Langsung'!$D$84</f>
        <v>-23.029999999999973</v>
      </c>
      <c r="E31" s="193">
        <f>'NME-1 Klorinasi Langsung'!$B$115</f>
        <v>30.0</v>
      </c>
      <c r="F31" s="193">
        <f>'NME-1 Klorinasi Langsung'!$D$115</f>
        <v>30.0</v>
      </c>
      <c r="G31" s="193">
        <f>'NME-1 Klorinasi Langsung'!$D$141</f>
        <v>-0.22921247263764144</v>
      </c>
      <c r="H31" s="193">
        <f>'NME-1 Klorinasi Langsung'!$D$167</f>
        <v>30.0</v>
      </c>
      <c r="I31" s="193">
        <f>'NME-1 Klorinasi Langsung'!$D$193</f>
        <v>25.696181643161253</v>
      </c>
      <c r="J31" s="193">
        <f>'NME-1 Klorinasi Langsung'!$F$167</f>
        <v>30.0</v>
      </c>
      <c r="K31" s="193">
        <f>'NME-1 Klorinasi Langsung'!$F$219</f>
        <v>30.0</v>
      </c>
      <c r="L31" s="192" t="inlineStr">
        <is>
          <t>-</t>
        </is>
      </c>
      <c r="M31" s="192" t="inlineStr">
        <is>
          <t>-</t>
        </is>
      </c>
      <c r="N31" s="193">
        <f>'NME-1 Klorinasi Langsung'!$H$219</f>
        <v>5.0</v>
      </c>
      <c r="O31" s="193">
        <f>'NME-1 Klorinasi Langsung'!$J$219</f>
        <v>65.0</v>
      </c>
      <c r="P31" s="193">
        <f>'NME-3 Kondensasi-Dekantasi'!$D$49</f>
        <v>65.35947027780242</v>
      </c>
      <c r="Q31" s="193">
        <f>'NME-2 Oksiklorinasi'!$B$52</f>
        <v>30.0</v>
      </c>
      <c r="R31" s="193">
        <f>'NME-2 Oksiklorinasi'!$D$52</f>
        <v>271.9714721407605</v>
      </c>
      <c r="S31" s="193">
        <f>'NME-2 Oksiklorinasi'!$H$124</f>
        <v>225.0</v>
      </c>
      <c r="T31" s="192" t="inlineStr">
        <is>
          <t>-</t>
        </is>
      </c>
      <c r="U31" s="192" t="inlineStr">
        <is>
          <t>-</t>
        </is>
      </c>
      <c r="V31" s="192" t="inlineStr">
        <is>
          <t>-</t>
        </is>
      </c>
      <c r="W31" s="192" t="inlineStr">
        <is>
          <t>-</t>
        </is>
      </c>
      <c r="X31" s="192" t="inlineStr">
        <is>
          <t>-</t>
        </is>
      </c>
      <c r="Y31" s="192" t="inlineStr">
        <is>
          <t>-</t>
        </is>
      </c>
      <c r="Z31" s="193">
        <f>'NME-3 Kondensasi-Dekantasi'!$F$76</f>
        <v>-25.0</v>
      </c>
      <c r="AA31" s="192" t="inlineStr">
        <is>
          <t>-</t>
        </is>
      </c>
      <c r="AB31" s="192" t="inlineStr">
        <is>
          <t>-</t>
        </is>
      </c>
      <c r="AC31" s="193">
        <f>'NME-3 Kondensasi-Dekantasi'!$H$76</f>
        <v>35.0</v>
      </c>
      <c r="AD31" s="193">
        <f>'NME-3 Kondensasi-Dekantasi'!$J$76</f>
        <v>35.0</v>
      </c>
      <c r="AE31" s="193">
        <f>'NME-4 Kolom Ringan'!$D$49</f>
        <v>35.0</v>
      </c>
      <c r="AF31" s="193">
        <f>'NME-4 Kolom Ringan'!$D$77</f>
        <v>83.44</v>
      </c>
      <c r="AG31" s="193">
        <f>'NME-4 Kolom Ringan'!$F$157</f>
        <v>75.0</v>
      </c>
      <c r="AH31" s="193">
        <f>'NME-4 Kolom Ringan'!$H$157</f>
        <v>83.44</v>
      </c>
      <c r="AI31" s="193">
        <f>'NME-5 Kolom Berat'!$D$49</f>
        <v>83.58338508961367</v>
      </c>
      <c r="AJ31" s="193">
        <f>'NME-5 Kolom Berat'!$D$76</f>
        <v>127.0</v>
      </c>
      <c r="AK31" s="193">
        <f>'NME-5 Kolom Berat'!$F$76</f>
        <v>118.0</v>
      </c>
      <c r="AL31" s="193">
        <f>'NME-6 Pirolisis'!$D$47</f>
        <v>119.19749578981174</v>
      </c>
      <c r="AM31" s="193">
        <f>'NME-6 Pirolisis'!$D$72</f>
        <v>190.0</v>
      </c>
      <c r="AN31" s="193">
        <f>'NME-6 Pirolisis'!$D$97</f>
        <v>516.0</v>
      </c>
      <c r="AO31" s="193">
        <f>'NME-6 Pirolisis'!$D$125</f>
        <v>80.0</v>
      </c>
      <c r="AP31" s="193">
        <f>'NME-7 Kolom HCl'!$D$47</f>
        <v>30.0</v>
      </c>
      <c r="AQ31" s="193">
        <f>'NME-7 Kolom HCl'!$D$75</f>
        <v>-28.9</v>
      </c>
      <c r="AR31" s="193" t="str">
        <f>'NME-2 Oksiklorinasi'!$D$76</f>
        <v>-</v>
      </c>
      <c r="AS31" s="193">
        <f>'NME-2 Oksiklorinasi'!$D$100</f>
        <v>-40.893264561928305</v>
      </c>
      <c r="AT31" s="193">
        <f>'NME-7 Kolom HCl'!$F$75</f>
        <v>81.0</v>
      </c>
      <c r="AU31" s="193" t="str">
        <f>'NME-8 Kolom VCM'!$D$48</f>
        <v>-</v>
      </c>
      <c r="AV31" s="193">
        <f>'NME-8 Kolom VCM'!$D$75</f>
        <v>37.0</v>
      </c>
      <c r="AW31" s="193">
        <f>'NME-8 Kolom VCM'!$D$104</f>
        <v>30.0</v>
      </c>
      <c r="AX31" s="193">
        <f>'NME-8 Kolom VCM'!$F$75</f>
        <v>152.0</v>
      </c>
      <c r="AY31" s="193">
        <f>'NME-4 Kolom Ringan'!$D$105</f>
        <v>83.44</v>
      </c>
      <c r="AZ31" s="193" t="str">
        <f>'NME-4 Kolom Ringan'!$D$131</f>
        <v>-</v>
      </c>
    </row>
    <row r="32">
      <c r="A32" s="196" t="inlineStr">
        <is>
          <t>P (bar abs)</t>
        </is>
      </c>
      <c r="B32" s="194">
        <f>'NME-1 Klorinasi Langsung'!$B$54</f>
        <v>8.9</v>
      </c>
      <c r="C32" s="194">
        <f>'NME-1 Klorinasi Langsung'!$D$54</f>
        <v>1.01325</v>
      </c>
      <c r="D32" s="194">
        <f>'NME-1 Klorinasi Langsung'!$D$85</f>
        <v>1.01325</v>
      </c>
      <c r="E32" s="194">
        <f>'NME-1 Klorinasi Langsung'!$B$116</f>
        <v>36.3</v>
      </c>
      <c r="F32" s="194">
        <f>'NME-1 Klorinasi Langsung'!$D$116</f>
        <v>36.3</v>
      </c>
      <c r="G32" s="194">
        <f>'NME-1 Klorinasi Langsung'!$D$142</f>
        <v>5.370225</v>
      </c>
      <c r="H32" s="194">
        <f>'NME-1 Klorinasi Langsung'!$D$168</f>
        <v>5.370225</v>
      </c>
      <c r="I32" s="194">
        <f>'NME-1 Klorinasi Langsung'!$D$194</f>
        <v>1.01325</v>
      </c>
      <c r="J32" s="194">
        <f>'NME-1 Klorinasi Langsung'!$F$168</f>
        <v>5.370225</v>
      </c>
      <c r="K32" s="194">
        <f>'NME-1 Klorinasi Langsung'!$F$220</f>
        <v>1.01325</v>
      </c>
      <c r="L32" s="192" t="inlineStr">
        <is>
          <t>-</t>
        </is>
      </c>
      <c r="M32" s="192" t="inlineStr">
        <is>
          <t>-</t>
        </is>
      </c>
      <c r="N32" s="194">
        <f>'NME-1 Klorinasi Langsung'!$H$220</f>
        <v>1.01325</v>
      </c>
      <c r="O32" s="194">
        <f>'NME-1 Klorinasi Langsung'!$J$220</f>
        <v>1.01325</v>
      </c>
      <c r="P32" s="194">
        <f>'NME-3 Kondensasi-Dekantasi'!$D$50</f>
        <v>5.370225</v>
      </c>
      <c r="Q32" s="194">
        <f>'NME-2 Oksiklorinasi'!$B$53</f>
        <v>1.01325</v>
      </c>
      <c r="R32" s="194">
        <f>'NME-2 Oksiklorinasi'!$D$53</f>
        <v>5.370225</v>
      </c>
      <c r="S32" s="194">
        <f>'NME-2 Oksiklorinasi'!$H$125</f>
        <v>5.370225</v>
      </c>
      <c r="T32" s="192" t="inlineStr">
        <is>
          <t>-</t>
        </is>
      </c>
      <c r="U32" s="192" t="inlineStr">
        <is>
          <t>-</t>
        </is>
      </c>
      <c r="V32" s="192" t="inlineStr">
        <is>
          <t>-</t>
        </is>
      </c>
      <c r="W32" s="192" t="inlineStr">
        <is>
          <t>-</t>
        </is>
      </c>
      <c r="X32" s="192" t="inlineStr">
        <is>
          <t>-</t>
        </is>
      </c>
      <c r="Y32" s="192" t="inlineStr">
        <is>
          <t>-</t>
        </is>
      </c>
      <c r="Z32" s="194">
        <f>'NME-3 Kondensasi-Dekantasi'!$F$77</f>
        <v>5.370225</v>
      </c>
      <c r="AA32" s="192" t="inlineStr">
        <is>
          <t>-</t>
        </is>
      </c>
      <c r="AB32" s="192" t="inlineStr">
        <is>
          <t>-</t>
        </is>
      </c>
      <c r="AC32" s="194">
        <f>'NME-3 Kondensasi-Dekantasi'!$H$77</f>
        <v>5.370225</v>
      </c>
      <c r="AD32" s="194">
        <f>'NME-3 Kondensasi-Dekantasi'!$J$77</f>
        <v>5.370225</v>
      </c>
      <c r="AE32" s="194">
        <f>'NME-4 Kolom Ringan'!$D$50</f>
        <v>5.370225</v>
      </c>
      <c r="AF32" s="194">
        <f>'NME-4 Kolom Ringan'!$D$78</f>
        <v>1.01325</v>
      </c>
      <c r="AG32" s="194">
        <f>'NME-4 Kolom Ringan'!$F$158</f>
        <v>1.01325</v>
      </c>
      <c r="AH32" s="194">
        <f>'NME-4 Kolom Ringan'!$H$158</f>
        <v>1.01325</v>
      </c>
      <c r="AI32" s="194">
        <f>'NME-5 Kolom Berat'!$D$50</f>
        <v>2.75</v>
      </c>
      <c r="AJ32" s="194">
        <f>'NME-5 Kolom Berat'!$D$77</f>
        <v>3.0</v>
      </c>
      <c r="AK32" s="194">
        <f>'NME-5 Kolom Berat'!$F$77</f>
        <v>2.5</v>
      </c>
      <c r="AL32" s="194">
        <f>'NME-6 Pirolisis'!$D$48</f>
        <v>17.0</v>
      </c>
      <c r="AM32" s="194">
        <f>'NME-6 Pirolisis'!$D$73</f>
        <v>17.0</v>
      </c>
      <c r="AN32" s="194">
        <f>'NME-6 Pirolisis'!$D$98</f>
        <v>13.0</v>
      </c>
      <c r="AO32" s="194">
        <f>'NME-6 Pirolisis'!$D$126</f>
        <v>11.0</v>
      </c>
      <c r="AP32" s="194">
        <f>'NME-7 Kolom HCl'!$D$48</f>
        <v>11.0</v>
      </c>
      <c r="AQ32" s="194">
        <f>'NME-7 Kolom HCl'!$D$76</f>
        <v>11.0</v>
      </c>
      <c r="AR32" s="194">
        <f>'NME-2 Oksiklorinasi'!$D$77</f>
        <v>5.370225</v>
      </c>
      <c r="AS32" s="194">
        <f>'NME-2 Oksiklorinasi'!$D$101</f>
        <v>5.370225</v>
      </c>
      <c r="AT32" s="194">
        <f>'NME-7 Kolom HCl'!$F$76</f>
        <v>9.8</v>
      </c>
      <c r="AU32" s="194">
        <f>'NME-8 Kolom VCM'!$D$49</f>
        <v>6.5</v>
      </c>
      <c r="AV32" s="194">
        <f>'NME-8 Kolom VCM'!$D$76</f>
        <v>6.5</v>
      </c>
      <c r="AW32" s="194">
        <f>'NME-8 Kolom VCM'!$D$105</f>
        <v>6.5</v>
      </c>
      <c r="AX32" s="194">
        <f>'NME-8 Kolom VCM'!$F$76</f>
        <v>6.5</v>
      </c>
      <c r="AY32" s="194">
        <f>'NME-4 Kolom Ringan'!$D$106</f>
        <v>6.5</v>
      </c>
      <c r="AZ32" s="194">
        <f>'NME-4 Kolom Ringan'!$D$132</f>
        <v>1.01325</v>
      </c>
    </row>
    <row r="33">
      <c r="A33" s="196" t="inlineStr">
        <is>
          <t>Ḣ aliran (kW)</t>
        </is>
      </c>
      <c r="B33" s="195">
        <f>'NME-1 Klorinasi Langsung'!$B$68/3600</f>
        <v>-1040.1420397512293</v>
      </c>
      <c r="C33" s="195">
        <f>'NME-1 Klorinasi Langsung'!$D$68/3600</f>
        <v>-1040.1420397512293</v>
      </c>
      <c r="D33" s="195">
        <f>'NME-1 Klorinasi Langsung'!$D$99/3600</f>
        <v>-120.35350955852951</v>
      </c>
      <c r="E33" s="195">
        <f>'NME-1 Klorinasi Langsung'!$B$125/3600</f>
        <v>5947.05894932977</v>
      </c>
      <c r="F33" s="195">
        <f>'NME-1 Klorinasi Langsung'!$D$125/3600</f>
        <v>5947.05894932977</v>
      </c>
      <c r="G33" s="195">
        <f>'NME-1 Klorinasi Langsung'!$D$151/3600</f>
        <v>5947.058949329773</v>
      </c>
      <c r="H33" s="195">
        <f>'NME-1 Klorinasi Langsung'!$D$177/3600</f>
        <v>3155.666067931388</v>
      </c>
      <c r="I33" s="195">
        <f>'NME-1 Klorinasi Langsung'!$D$203/3600</f>
        <v>3155.666067931388</v>
      </c>
      <c r="J33" s="195">
        <f>'NME-1 Klorinasi Langsung'!$F$177/3600</f>
        <v>2950.0628504077695</v>
      </c>
      <c r="K33" s="195">
        <f>'NME-1 Klorinasi Langsung'!$F$243/3600</f>
        <v>-2.928562216339299</v>
      </c>
      <c r="L33" s="192" t="inlineStr">
        <is>
          <t>-</t>
        </is>
      </c>
      <c r="M33" s="192" t="inlineStr">
        <is>
          <t>-</t>
        </is>
      </c>
      <c r="N33" s="195">
        <f>'NME-1 Klorinasi Langsung'!$H$243/3600</f>
        <v>-29.294806146678358</v>
      </c>
      <c r="O33" s="195">
        <f>'NME-1 Klorinasi Langsung'!$J$243/3600</f>
        <v>-9573.51779545749</v>
      </c>
      <c r="P33" s="195">
        <f>'NME-3 Kondensasi-Dekantasi'!$D$60/3600</f>
        <v>-9570.607756006488</v>
      </c>
      <c r="Q33" s="195">
        <f>'NME-2 Oksiklorinasi'!$B$60/3600</f>
        <v>31.35539744032504</v>
      </c>
      <c r="R33" s="195">
        <f>'NME-2 Oksiklorinasi'!$D$60/3600</f>
        <v>1570.8065856862904</v>
      </c>
      <c r="S33" s="195">
        <f>'NME-2 Oksiklorinasi'!$H$143/3600</f>
        <v>-18610.61772980456</v>
      </c>
      <c r="T33" s="192" t="inlineStr">
        <is>
          <t>-</t>
        </is>
      </c>
      <c r="U33" s="192" t="inlineStr">
        <is>
          <t>-</t>
        </is>
      </c>
      <c r="V33" s="192" t="inlineStr">
        <is>
          <t>-</t>
        </is>
      </c>
      <c r="W33" s="192" t="inlineStr">
        <is>
          <t>-</t>
        </is>
      </c>
      <c r="X33" s="192" t="inlineStr">
        <is>
          <t>-</t>
        </is>
      </c>
      <c r="Y33" s="192" t="inlineStr">
        <is>
          <t>-</t>
        </is>
      </c>
      <c r="Z33" s="195">
        <f>'NME-3 Kondensasi-Dekantasi'!$F$98/3600</f>
        <v>-520.0011711307844</v>
      </c>
      <c r="AA33" s="192" t="inlineStr">
        <is>
          <t>-</t>
        </is>
      </c>
      <c r="AB33" s="192" t="inlineStr">
        <is>
          <t>-</t>
        </is>
      </c>
      <c r="AC33" s="195">
        <f>'NME-3 Kondensasi-Dekantasi'!$H$98/3600</f>
        <v>-15798.456864636362</v>
      </c>
      <c r="AD33" s="195">
        <f>'NME-3 Kondensasi-Dekantasi'!$J$98/3600</f>
        <v>-19245.06193278183</v>
      </c>
      <c r="AE33" s="195">
        <f>'NME-4 Kolom Ringan'!$D$61/3600</f>
        <v>-19245.06193278183</v>
      </c>
      <c r="AF33" s="195">
        <f>'NME-4 Kolom Ringan'!$D$89/3600</f>
        <v>-18490.515765584798</v>
      </c>
      <c r="AG33" s="195">
        <f>'NME-4 Kolom Ringan'!$F$171/3600</f>
        <v>-436.99129055770413</v>
      </c>
      <c r="AH33" s="195">
        <f>'NME-4 Kolom Ringan'!$H$171/3600</f>
        <v>-32929.32074000367</v>
      </c>
      <c r="AI33" s="195">
        <f>'NME-5 Kolom Berat'!$D$60/3600</f>
        <v>-32925.16749868405</v>
      </c>
      <c r="AJ33" s="195">
        <f>'NME-5 Kolom Berat'!$D$87/3600</f>
        <v>-195.00165985700625</v>
      </c>
      <c r="AK33" s="195">
        <f>'NME-5 Kolom Berat'!$F$87/3600</f>
        <v>-31706.875174799825</v>
      </c>
      <c r="AL33" s="195">
        <f>'NME-6 Pirolisis'!$D$56/3600</f>
        <v>-31670.603465183</v>
      </c>
      <c r="AM33" s="195">
        <f>'NME-6 Pirolisis'!$D$81/3600</f>
        <v>-29377.588554113</v>
      </c>
      <c r="AN33" s="195">
        <f>'NME-6 Pirolisis'!$D$109/3600</f>
        <v>-8648.294859468386</v>
      </c>
      <c r="AO33" s="195">
        <f>'NME-6 Pirolisis'!$D$137/3600</f>
        <v>-21629.749798279663</v>
      </c>
      <c r="AP33" s="195">
        <f>'NME-7 Kolom HCl'!$D$59/3600</f>
        <v>-25020.46520553905</v>
      </c>
      <c r="AQ33" s="195">
        <f>'NME-7 Kolom HCl'!$D$87/3600</f>
        <v>-11646.28272774276</v>
      </c>
      <c r="AR33" s="195">
        <f>'NME-2 Oksiklorinasi'!$D$84/3600</f>
        <v>-11646.28272774276</v>
      </c>
      <c r="AS33" s="195">
        <f>'NME-2 Oksiklorinasi'!$D$108/3600</f>
        <v>-10639.543216939355</v>
      </c>
      <c r="AT33" s="195">
        <f>'NME-7 Kolom HCl'!$F$87/3600</f>
        <v>-13436.764035153295</v>
      </c>
      <c r="AU33" s="195">
        <f>'NME-8 Kolom VCM'!$D$59/3600</f>
        <v>-13436.764035153295</v>
      </c>
      <c r="AV33" s="195">
        <f>'NME-8 Kolom VCM'!$D$86/3600</f>
        <v>1032.5336834177238</v>
      </c>
      <c r="AW33" s="195">
        <f>'NME-8 Kolom VCM'!$D$112/3600</f>
        <v>963.728781410947</v>
      </c>
      <c r="AX33" s="195">
        <f>'NME-8 Kolom VCM'!$F$86/3600</f>
        <v>-13944.782010671985</v>
      </c>
      <c r="AY33" s="195">
        <f>'NME-4 Kolom Ringan'!$D$115/3600</f>
        <v>-14897.328878018883</v>
      </c>
      <c r="AZ33" s="195">
        <f>'NME-4 Kolom Ringan'!$D$141/3600</f>
        <v>-14897.328878019074</v>
      </c>
    </row>
    <row r="35">
      <c r="A35" s="174" t="inlineStr">
        <is>
          <t>Aliran bertanda '-' berada di dalam satu blok neraca massa (kondensat vent R-01, aliran di dalam Q-201, E-104, M-101, D-101, E-105, P-105, dan air quench sirkulasi), sehingga tidak dihitung terpisah.</t>
        </is>
      </c>
    </row>
    <row r="36">
      <c r="A36" s="174" t="inlineStr">
        <is>
          <t>Aliran yang hanya melewati valve atau penukar panas memiliki laju dan komposisi yang sama dengan aliran sebelumnya.</t>
        </is>
      </c>
    </row>
  </sheetData>
  <mergeCells count="1">
    <mergeCell ref="A1:A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2026-10-06T04:37:05Z</dcterms:created>
  <dcterms:modified xmlns:dcterms="http://purl.org/dc/terms/" xmlns:xsi="http://www.w3.org/2001/XMLSchema-instance" xsi:type="dcterms:W3CDTF">2026-10-14T15:02:17Z</dcterms:modified>
  <cp:revision>0</cp:revision>
</cp:coreProperties>
</file>